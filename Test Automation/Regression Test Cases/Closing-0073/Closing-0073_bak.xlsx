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7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SelectTradeUnexpiredUnsettled" sheetId="6" r:id="rId6"/>
    <sheet name="ExerciseAssignment" sheetId="7" r:id="rId7"/>
    <sheet name="VerifyExpiredSettledGrid" sheetId="8" r:id="rId8"/>
    <sheet name="GetDataAllocation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BK5" i="11" l="1"/>
  <c r="FK5" i="11"/>
  <c r="FC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I4" i="11"/>
  <c r="FA4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F4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K4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Q5" i="10"/>
  <c r="DB5" i="10"/>
  <c r="BV5" i="10"/>
  <c r="AP5" i="10"/>
  <c r="J5" i="10"/>
  <c r="EB4" i="10"/>
  <c r="CV4" i="10"/>
  <c r="BP4" i="10"/>
  <c r="AJ4" i="10"/>
  <c r="D4" i="10"/>
  <c r="ED5" i="9"/>
  <c r="DG5" i="9"/>
  <c r="CP5" i="9"/>
  <c r="BZ5" i="9"/>
  <c r="BJ5" i="9"/>
  <c r="AT5" i="9"/>
  <c r="AD5" i="9"/>
  <c r="N5" i="9"/>
  <c r="EV4" i="9"/>
  <c r="EF4" i="9"/>
  <c r="DP4" i="9"/>
  <c r="CZ4" i="9"/>
  <c r="CJ4" i="9"/>
  <c r="BT4" i="9"/>
  <c r="BD4" i="9"/>
  <c r="AN4" i="9"/>
  <c r="Y4" i="9"/>
  <c r="M4" i="9"/>
  <c r="EX5" i="8"/>
  <c r="EN5" i="8"/>
  <c r="ED5" i="8"/>
  <c r="DR5" i="8"/>
  <c r="DH5" i="8"/>
  <c r="CX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EI5" i="10"/>
  <c r="CU5" i="10"/>
  <c r="BO5" i="10"/>
  <c r="AI5" i="10"/>
  <c r="C5" i="10"/>
  <c r="DU4" i="10"/>
  <c r="CO4" i="10"/>
  <c r="BI4" i="10"/>
  <c r="AC4" i="10"/>
  <c r="EU5" i="9"/>
  <c r="EA5" i="9"/>
  <c r="DF5" i="9"/>
  <c r="CN5" i="9"/>
  <c r="BX5" i="9"/>
  <c r="BH5" i="9"/>
  <c r="AR5" i="9"/>
  <c r="AB5" i="9"/>
  <c r="L5" i="9"/>
  <c r="ET4" i="9"/>
  <c r="ED4" i="9"/>
  <c r="DN4" i="9"/>
  <c r="CX4" i="9"/>
  <c r="CH4" i="9"/>
  <c r="BR4" i="9"/>
  <c r="BB4" i="9"/>
  <c r="AL4" i="9"/>
  <c r="X4" i="9"/>
  <c r="L4" i="9"/>
  <c r="EW5" i="8"/>
  <c r="EM5" i="8"/>
  <c r="EA5" i="8"/>
  <c r="DQ5" i="8"/>
  <c r="DG5" i="8"/>
  <c r="CU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EA5" i="10"/>
  <c r="CT5" i="10"/>
  <c r="BN5" i="10"/>
  <c r="AH5" i="10"/>
  <c r="B5" i="10"/>
  <c r="DT4" i="10"/>
  <c r="CN4" i="10"/>
  <c r="BH4" i="10"/>
  <c r="AB4" i="10"/>
  <c r="ET5" i="9"/>
  <c r="DW5" i="9"/>
  <c r="DC5" i="9"/>
  <c r="CM5" i="9"/>
  <c r="BW5" i="9"/>
  <c r="BG5" i="9"/>
  <c r="AQ5" i="9"/>
  <c r="AA5" i="9"/>
  <c r="K5" i="9"/>
  <c r="ES4" i="9"/>
  <c r="EC4" i="9"/>
  <c r="DM4" i="9"/>
  <c r="CW4" i="9"/>
  <c r="CG4" i="9"/>
  <c r="BQ4" i="9"/>
  <c r="BA4" i="9"/>
  <c r="AK4" i="9"/>
  <c r="V4" i="9"/>
  <c r="I4" i="9"/>
  <c r="EV5" i="8"/>
  <c r="EL5" i="8"/>
  <c r="DZ5" i="8"/>
  <c r="DP5" i="8"/>
  <c r="DF5" i="8"/>
  <c r="CT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S5" i="10"/>
  <c r="CM5" i="10"/>
  <c r="BG5" i="10"/>
  <c r="AA5" i="10"/>
  <c r="ES4" i="10"/>
  <c r="DM4" i="10"/>
  <c r="CG4" i="10"/>
  <c r="BA4" i="10"/>
  <c r="U4" i="10"/>
  <c r="EQ5" i="9"/>
  <c r="DV5" i="9"/>
  <c r="CY5" i="9"/>
  <c r="CI5" i="9"/>
  <c r="BS5" i="9"/>
  <c r="BC5" i="9"/>
  <c r="AM5" i="9"/>
  <c r="W5" i="9"/>
  <c r="G5" i="9"/>
  <c r="EO4" i="9"/>
  <c r="DY4" i="9"/>
  <c r="DI4" i="9"/>
  <c r="CS4" i="9"/>
  <c r="CC4" i="9"/>
  <c r="BM4" i="9"/>
  <c r="AW4" i="9"/>
  <c r="AG4" i="9"/>
  <c r="U4" i="9"/>
  <c r="H4" i="9"/>
  <c r="EU5" i="8"/>
  <c r="EI5" i="8"/>
  <c r="DY5" i="8"/>
  <c r="DO5" i="8"/>
  <c r="DC5" i="8"/>
  <c r="CS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R5" i="10"/>
  <c r="CL5" i="10"/>
  <c r="BF5" i="10"/>
  <c r="Z5" i="10"/>
  <c r="ER4" i="10"/>
  <c r="DL4" i="10"/>
  <c r="CF4" i="10"/>
  <c r="AZ4" i="10"/>
  <c r="T4" i="10"/>
  <c r="EM5" i="9"/>
  <c r="DS5" i="9"/>
  <c r="CX5" i="9"/>
  <c r="CH5" i="9"/>
  <c r="BR5" i="9"/>
  <c r="BB5" i="9"/>
  <c r="AL5" i="9"/>
  <c r="V5" i="9"/>
  <c r="F5" i="9"/>
  <c r="EN4" i="9"/>
  <c r="DX4" i="9"/>
  <c r="DH4" i="9"/>
  <c r="CR4" i="9"/>
  <c r="CB4" i="9"/>
  <c r="BL4" i="9"/>
  <c r="AV4" i="9"/>
  <c r="AF4" i="9"/>
  <c r="T4" i="9"/>
  <c r="F4" i="9"/>
  <c r="ET5" i="8"/>
  <c r="EH5" i="8"/>
  <c r="DX5" i="8"/>
  <c r="DN5" i="8"/>
  <c r="DB5" i="8"/>
  <c r="CR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K5" i="10"/>
  <c r="CE5" i="10"/>
  <c r="AY5" i="10"/>
  <c r="S5" i="10"/>
  <c r="EK4" i="10"/>
  <c r="DE4" i="10"/>
  <c r="BY4" i="10"/>
  <c r="AS4" i="10"/>
  <c r="M4" i="10"/>
  <c r="EL5" i="9"/>
  <c r="DO5" i="9"/>
  <c r="CV5" i="9"/>
  <c r="CF5" i="9"/>
  <c r="BP5" i="9"/>
  <c r="AZ5" i="9"/>
  <c r="AJ5" i="9"/>
  <c r="T5" i="9"/>
  <c r="D5" i="9"/>
  <c r="EL4" i="9"/>
  <c r="DV4" i="9"/>
  <c r="DF4" i="9"/>
  <c r="CP4" i="9"/>
  <c r="BZ4" i="9"/>
  <c r="BJ4" i="9"/>
  <c r="AT4" i="9"/>
  <c r="AD4" i="9"/>
  <c r="Q4" i="9"/>
  <c r="E4" i="9"/>
  <c r="EQ5" i="8"/>
  <c r="EG5" i="8"/>
  <c r="DW5" i="8"/>
  <c r="DK5" i="8"/>
  <c r="DA5" i="8"/>
  <c r="CQ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J5" i="10"/>
  <c r="CD5" i="10"/>
  <c r="AX5" i="10"/>
  <c r="R5" i="10"/>
  <c r="EJ4" i="10"/>
  <c r="DD4" i="10"/>
  <c r="BX4" i="10"/>
  <c r="AR4" i="10"/>
  <c r="L4" i="10"/>
  <c r="EI5" i="9"/>
  <c r="DN5" i="9"/>
  <c r="CU5" i="9"/>
  <c r="CE5" i="9"/>
  <c r="BO5" i="9"/>
  <c r="AY5" i="9"/>
  <c r="AI5" i="9"/>
  <c r="S5" i="9"/>
  <c r="C5" i="9"/>
  <c r="EK4" i="9"/>
  <c r="DU4" i="9"/>
  <c r="DE4" i="9"/>
  <c r="CO4" i="9"/>
  <c r="BY4" i="9"/>
  <c r="BI4" i="9"/>
  <c r="AS4" i="9"/>
  <c r="AC4" i="9"/>
  <c r="P4" i="9"/>
  <c r="D4" i="9"/>
  <c r="EP5" i="8"/>
  <c r="EF5" i="8"/>
  <c r="DV5" i="8"/>
  <c r="DJ5" i="8"/>
  <c r="CZ5" i="8"/>
  <c r="CP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C5" i="10"/>
  <c r="BW5" i="10"/>
  <c r="AQ5" i="10"/>
  <c r="K5" i="10"/>
  <c r="EC4" i="10"/>
  <c r="CW4" i="10"/>
  <c r="BQ4" i="10"/>
  <c r="AK4" i="10"/>
  <c r="E4" i="10"/>
  <c r="EE5" i="9"/>
  <c r="DK5" i="9"/>
  <c r="CQ5" i="9"/>
  <c r="CA5" i="9"/>
  <c r="BK5" i="9"/>
  <c r="AU5" i="9"/>
  <c r="AE5" i="9"/>
  <c r="O5" i="9"/>
  <c r="EW4" i="9"/>
  <c r="EG4" i="9"/>
  <c r="DQ4" i="9"/>
  <c r="DA4" i="9"/>
  <c r="CK4" i="9"/>
  <c r="BU4" i="9"/>
  <c r="BE4" i="9"/>
  <c r="AO4" i="9"/>
  <c r="AB4" i="9"/>
  <c r="N4" i="9"/>
  <c r="EO5" i="8"/>
  <c r="EE5" i="8"/>
  <c r="DS5" i="8"/>
  <c r="DI5" i="8"/>
  <c r="CY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S5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BW5" i="6"/>
  <c r="K5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BO5" i="6"/>
  <c r="C5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BG5" i="6"/>
  <c r="ES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AY5" i="6"/>
  <c r="EK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AQ5" i="6"/>
  <c r="EC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AI5" i="6"/>
  <c r="DU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AA5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F980" i="3"/>
  <c r="H979" i="3"/>
  <c r="J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E980" i="3"/>
  <c r="G979" i="3"/>
  <c r="I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D980" i="3"/>
  <c r="F979" i="3"/>
  <c r="H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C980" i="3"/>
  <c r="E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980" i="3"/>
  <c r="B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980" i="3"/>
  <c r="A979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J979" i="3"/>
  <c r="L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I979" i="3"/>
  <c r="K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A814" i="3"/>
  <c r="B812" i="3"/>
  <c r="H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L813" i="3"/>
  <c r="A812" i="3"/>
  <c r="F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F813" i="3"/>
  <c r="L811" i="3"/>
  <c r="E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E813" i="3"/>
  <c r="F811" i="3"/>
  <c r="D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D813" i="3"/>
  <c r="E811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812" i="3"/>
  <c r="D811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812" i="3"/>
  <c r="J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812" i="3"/>
  <c r="I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J744" i="3"/>
  <c r="F739" i="3"/>
  <c r="B734" i="3"/>
  <c r="J728" i="3"/>
  <c r="F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B744" i="3"/>
  <c r="J738" i="3"/>
  <c r="F733" i="3"/>
  <c r="B728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F743" i="3"/>
  <c r="B738" i="3"/>
  <c r="J732" i="3"/>
  <c r="F727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J742" i="3"/>
  <c r="F737" i="3"/>
  <c r="B732" i="3"/>
  <c r="K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B742" i="3"/>
  <c r="J736" i="3"/>
  <c r="F731" i="3"/>
  <c r="J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F741" i="3"/>
  <c r="B736" i="3"/>
  <c r="J730" i="3"/>
  <c r="I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J740" i="3"/>
  <c r="F735" i="3"/>
  <c r="B730" i="3"/>
  <c r="H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B740" i="3"/>
  <c r="J734" i="3"/>
  <c r="F729" i="3"/>
  <c r="G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A566" i="3"/>
  <c r="B565" i="3"/>
  <c r="B564" i="3"/>
  <c r="E563" i="3"/>
  <c r="H562" i="3"/>
  <c r="K561" i="3"/>
  <c r="B561" i="3"/>
  <c r="E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L565" i="3"/>
  <c r="K564" i="3"/>
  <c r="A564" i="3"/>
  <c r="D563" i="3"/>
  <c r="G562" i="3"/>
  <c r="J561" i="3"/>
  <c r="A561" i="3"/>
  <c r="C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K565" i="3"/>
  <c r="J564" i="3"/>
  <c r="L563" i="3"/>
  <c r="C563" i="3"/>
  <c r="F562" i="3"/>
  <c r="I561" i="3"/>
  <c r="K560" i="3"/>
  <c r="B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J565" i="3"/>
  <c r="I564" i="3"/>
  <c r="K563" i="3"/>
  <c r="B563" i="3"/>
  <c r="E562" i="3"/>
  <c r="G561" i="3"/>
  <c r="J560" i="3"/>
  <c r="A560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F565" i="3"/>
  <c r="H564" i="3"/>
  <c r="J563" i="3"/>
  <c r="A563" i="3"/>
  <c r="C562" i="3"/>
  <c r="F561" i="3"/>
  <c r="I560" i="3"/>
  <c r="L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E565" i="3"/>
  <c r="G564" i="3"/>
  <c r="I563" i="3"/>
  <c r="K562" i="3"/>
  <c r="B562" i="3"/>
  <c r="E561" i="3"/>
  <c r="H560" i="3"/>
  <c r="K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D565" i="3"/>
  <c r="F564" i="3"/>
  <c r="G563" i="3"/>
  <c r="J562" i="3"/>
  <c r="A562" i="3"/>
  <c r="D561" i="3"/>
  <c r="G560" i="3"/>
  <c r="J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C565" i="3"/>
  <c r="C564" i="3"/>
  <c r="F563" i="3"/>
  <c r="I562" i="3"/>
  <c r="L561" i="3"/>
  <c r="C561" i="3"/>
  <c r="F560" i="3"/>
  <c r="I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E396" i="3"/>
  <c r="L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J395" i="3"/>
  <c r="K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I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H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E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D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B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395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I226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D226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B226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A226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J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H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J56" i="3"/>
  <c r="H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E56" i="3"/>
  <c r="G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D56" i="3"/>
  <c r="F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C56" i="3"/>
  <c r="E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B56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A56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J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I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A754" i="1"/>
  <c r="J752" i="1"/>
  <c r="A752" i="1"/>
  <c r="D751" i="1"/>
  <c r="G750" i="1"/>
  <c r="J749" i="1"/>
  <c r="L748" i="1"/>
  <c r="C748" i="1"/>
  <c r="F747" i="1"/>
  <c r="I746" i="1"/>
  <c r="L745" i="1"/>
  <c r="C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753" i="1"/>
  <c r="I752" i="1"/>
  <c r="L751" i="1"/>
  <c r="C751" i="1"/>
  <c r="F750" i="1"/>
  <c r="H749" i="1"/>
  <c r="K748" i="1"/>
  <c r="B748" i="1"/>
  <c r="E747" i="1"/>
  <c r="H746" i="1"/>
  <c r="K745" i="1"/>
  <c r="B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E753" i="1"/>
  <c r="H752" i="1"/>
  <c r="K751" i="1"/>
  <c r="B751" i="1"/>
  <c r="D750" i="1"/>
  <c r="G749" i="1"/>
  <c r="J748" i="1"/>
  <c r="A748" i="1"/>
  <c r="D747" i="1"/>
  <c r="G746" i="1"/>
  <c r="J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D753" i="1"/>
  <c r="G752" i="1"/>
  <c r="J751" i="1"/>
  <c r="L750" i="1"/>
  <c r="C750" i="1"/>
  <c r="F749" i="1"/>
  <c r="I748" i="1"/>
  <c r="L747" i="1"/>
  <c r="C747" i="1"/>
  <c r="F746" i="1"/>
  <c r="H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C753" i="1"/>
  <c r="F752" i="1"/>
  <c r="H751" i="1"/>
  <c r="K750" i="1"/>
  <c r="B750" i="1"/>
  <c r="E749" i="1"/>
  <c r="H748" i="1"/>
  <c r="K747" i="1"/>
  <c r="B747" i="1"/>
  <c r="D746" i="1"/>
  <c r="G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753" i="1"/>
  <c r="D752" i="1"/>
  <c r="G751" i="1"/>
  <c r="J750" i="1"/>
  <c r="A750" i="1"/>
  <c r="D749" i="1"/>
  <c r="G748" i="1"/>
  <c r="J747" i="1"/>
  <c r="L746" i="1"/>
  <c r="C746" i="1"/>
  <c r="F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L752" i="1"/>
  <c r="C752" i="1"/>
  <c r="F751" i="1"/>
  <c r="I750" i="1"/>
  <c r="L749" i="1"/>
  <c r="C749" i="1"/>
  <c r="F748" i="1"/>
  <c r="H747" i="1"/>
  <c r="K746" i="1"/>
  <c r="B746" i="1"/>
  <c r="E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K752" i="1"/>
  <c r="B752" i="1"/>
  <c r="E751" i="1"/>
  <c r="H750" i="1"/>
  <c r="K749" i="1"/>
  <c r="B749" i="1"/>
  <c r="D748" i="1"/>
  <c r="G747" i="1"/>
  <c r="J746" i="1"/>
  <c r="A746" i="1"/>
  <c r="D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F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582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L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B412" i="1"/>
  <c r="E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A412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K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J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I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H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G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F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A241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F4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J2" i="10" l="1"/>
  <c r="J2" i="11"/>
  <c r="J2" i="8"/>
  <c r="J2" i="9"/>
  <c r="J2" i="7"/>
  <c r="J2" i="6"/>
  <c r="J2" i="4"/>
  <c r="J2" i="5"/>
</calcChain>
</file>

<file path=xl/sharedStrings.xml><?xml version="1.0" encoding="utf-8"?>
<sst xmlns="http://schemas.openxmlformats.org/spreadsheetml/2006/main" count="235" uniqueCount="50">
  <si>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</si>
  <si>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</si>
  <si>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</si>
  <si>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</si>
  <si>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</si>
  <si>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</si>
  <si>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</si>
  <si>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</si>
  <si>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</si>
  <si>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</si>
  <si>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</si>
  <si>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</si>
  <si>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</si>
  <si>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</si>
  <si>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</si>
  <si>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</si>
  <si>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</si>
  <si>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</t>
  </si>
  <si>
    <t>Allocation1</t>
  </si>
  <si>
    <t>TA1</t>
  </si>
  <si>
    <t>O:EOG 10D95.00</t>
  </si>
  <si>
    <t>TA2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</si>
  <si>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</si>
  <si>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</si>
  <si>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</si>
  <si>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</si>
  <si>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</si>
  <si>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</si>
  <si>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</si>
  <si>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</si>
  <si>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</si>
  <si>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</si>
  <si>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</si>
  <si>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</si>
  <si>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</si>
  <si>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>US</t>
  </si>
  <si>
    <t>Allocation</t>
  </si>
  <si>
    <t>GetDataAllocation</t>
  </si>
  <si>
    <t>CheckAllocatedGroups</t>
  </si>
  <si>
    <t>MS</t>
  </si>
  <si>
    <t>Closed</t>
  </si>
  <si>
    <t/>
  </si>
  <si>
    <t>Sell</t>
  </si>
  <si>
    <t>Market</t>
  </si>
  <si>
    <t>Equity</t>
  </si>
  <si>
    <t>Open</t>
  </si>
  <si>
    <t>EOG</t>
  </si>
  <si>
    <t>ABM</t>
  </si>
  <si>
    <t>PortfolioManagement</t>
  </si>
  <si>
    <t>CheckPortfolioManagement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</si>
</sst>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  <font>
      <sz val="10"/>
      <color rgb="FF000000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164" fontId="15" fillId="0" borderId="0" xfId="0" applyNumberFormat="1" applyFont="1" applyAlignment="1">
      <alignment horizontal="right"/>
    </xf>
    <xf numFmtId="0" fontId="15" fillId="0" borderId="0" xfId="0" applyFont="1" applyAlignment="1"/>
    <xf numFmtId="0" fontId="3" fillId="0" borderId="0" xfId="0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0" t="s">
        <v>0</v>
      </c>
      <c r="B1" s="41"/>
      <c r="C1" s="41"/>
      <c r="D1" s="41"/>
      <c r="E1" s="41"/>
      <c r="F1" s="42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3" t="s">
        <v>2</v>
      </c>
      <c r="B1" s="41"/>
      <c r="C1" s="4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0" t="s">
        <v>7</v>
      </c>
      <c r="B1" s="41"/>
      <c r="C1" s="41"/>
      <c r="D1" s="41"/>
      <c r="E1" s="41"/>
      <c r="F1" s="4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19.1406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100</v>
      </c>
      <c r="E6" s="7">
        <v>100</v>
      </c>
      <c r="F6" s="7" t="s">
        <v>18</v>
      </c>
      <c r="G6" s="5"/>
      <c r="H6" s="5"/>
      <c r="I6" s="5"/>
      <c r="J6" s="7">
        <v>10</v>
      </c>
      <c r="K6" s="5"/>
      <c r="L6" s="5"/>
      <c r="M6" s="5"/>
      <c r="N6" s="5"/>
      <c r="O6" s="5"/>
      <c r="AA6" s="6" t="s">
        <v>19</v>
      </c>
    </row>
    <row r="7" spans="1:154" ht="15.75" customHeight="1">
      <c r="A7" s="5"/>
      <c r="B7" s="7" t="s">
        <v>20</v>
      </c>
      <c r="C7" s="7" t="s">
        <v>17</v>
      </c>
      <c r="D7" s="7">
        <v>200</v>
      </c>
      <c r="E7" s="7">
        <v>200</v>
      </c>
      <c r="F7" s="7" t="s">
        <v>18</v>
      </c>
      <c r="G7" s="5"/>
      <c r="H7" s="5"/>
      <c r="I7" s="5"/>
      <c r="J7" s="7">
        <v>20</v>
      </c>
      <c r="K7" s="5"/>
      <c r="L7" s="5"/>
      <c r="M7" s="5"/>
      <c r="N7" s="5"/>
      <c r="O7" s="5"/>
      <c r="AA7" s="6" t="s">
        <v>21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24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  <col min="112" max="112" width="25.28515625" customWidth="1"/>
    <col min="113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IFERROR(__xludf.DUMMYFUNCTION("""COMPUTED_VALUE"""),"AccruedInterest")</f>
        <v>AccruedInterest</v>
      </c>
      <c r="D5" s="22" t="str">
        <f ca="1">IFERROR(__xludf.DUMMYFUNCTION("""COMPUTED_VALUE"""),"Analyst")</f>
        <v>Analyst</v>
      </c>
      <c r="E5" s="22" t="str">
        <f ca="1">IFERROR(__xludf.DUMMYFUNCTION("""COMPUTED_VALUE"""),"Asset Class")</f>
        <v>Asset Class</v>
      </c>
      <c r="F5" s="23" t="str">
        <f ca="1">IFERROR(__xludf.DUMMYFUNCTION("""COMPUTED_VALUE"""),"Asset Derivative")</f>
        <v>Asset Derivative</v>
      </c>
      <c r="G5" s="22" t="str">
        <f ca="1">IFERROR(__xludf.DUMMYFUNCTION("""COMPUTED_VALUE"""),"AUECID")</f>
        <v>AUECID</v>
      </c>
      <c r="H5" s="22" t="str">
        <f ca="1">IFERROR(__xludf.DUMMYFUNCTION("""COMPUTED_VALUE"""),"AUECModifiedDate")</f>
        <v>AUECModifiedDate</v>
      </c>
      <c r="I5" s="22" t="str">
        <f ca="1">IFERROR(__xludf.DUMMYFUNCTION("""COMPUTED_VALUE"""),"Average Price")</f>
        <v>Average Price</v>
      </c>
      <c r="J5" s="22" t="str">
        <f ca="1">IFERROR(__xludf.DUMMYFUNCTION("""COMPUTED_VALUE"""),"BloombergSymbol")</f>
        <v>BloombergSymbol</v>
      </c>
      <c r="K5" s="22" t="str">
        <f ca="1">IFERROR(__xludf.DUMMYFUNCTION("""COMPUTED_VALUE"""),"Broker")</f>
        <v>Broker</v>
      </c>
      <c r="L5" s="22" t="str">
        <f ca="1">IFERROR(__xludf.DUMMYFUNCTION("""COMPUTED_VALUE"""),"CalcBasis")</f>
        <v>CalcBasis</v>
      </c>
      <c r="M5" s="22" t="str">
        <f ca="1">IFERROR(__xludf.DUMMYFUNCTION("""COMPUTED_VALUE"""),"CashSettledPrice")</f>
        <v>CashSettledPrice</v>
      </c>
      <c r="N5" s="22" t="str">
        <f ca="1">IFERROR(__xludf.DUMMYFUNCTION("""COMPUTED_VALUE"""),"ChangeComment")</f>
        <v>ChangeComment</v>
      </c>
      <c r="O5" s="22" t="str">
        <f ca="1">IFERROR(__xludf.DUMMYFUNCTION("""COMPUTED_VALUE"""),"ChangeType")</f>
        <v>ChangeType</v>
      </c>
      <c r="P5" s="22" t="str">
        <f ca="1">IFERROR(__xludf.DUMMYFUNCTION("""COMPUTED_VALUE"""),"ClearingBrokerFee")</f>
        <v>ClearingBrokerFee</v>
      </c>
      <c r="Q5" s="22" t="str">
        <f ca="1">IFERROR(__xludf.DUMMYFUNCTION("""COMPUTED_VALUE"""),"ClearingFee")</f>
        <v>ClearingFee</v>
      </c>
      <c r="R5" s="22" t="str">
        <f ca="1">IFERROR(__xludf.DUMMYFUNCTION("""COMPUTED_VALUE"""),"ClosedTotalCommissionandFees")</f>
        <v>ClosedTotalCommissionandFees</v>
      </c>
      <c r="S5" s="22" t="str">
        <f ca="1">IFERROR(__xludf.DUMMYFUNCTION("""COMPUTED_VALUE"""),"ClosingAlgo")</f>
        <v>ClosingAlgo</v>
      </c>
      <c r="T5" s="24" t="str">
        <f ca="1">IFERROR(__xludf.DUMMYFUNCTION("""COMPUTED_VALUE"""),"ClosingDate")</f>
        <v>ClosingDate</v>
      </c>
      <c r="U5" s="24" t="str">
        <f ca="1">IFERROR(__xludf.DUMMYFUNCTION("""COMPUTED_VALUE"""),"ClosingStatus")</f>
        <v>ClosingStatus</v>
      </c>
      <c r="V5" s="24" t="str">
        <f ca="1">IFERROR(__xludf.DUMMYFUNCTION("""COMPUTED_VALUE"""),"Commission")</f>
        <v>Commission</v>
      </c>
      <c r="W5" s="24" t="str">
        <f ca="1">IFERROR(__xludf.DUMMYFUNCTION("""COMPUTED_VALUE"""),"CommissionAmt")</f>
        <v>CommissionAmt</v>
      </c>
      <c r="X5" s="24" t="str">
        <f ca="1">IFERROR(__xludf.DUMMYFUNCTION("""COMPUTED_VALUE"""),"CommissionRate")</f>
        <v>CommissionRate</v>
      </c>
      <c r="Y5" s="24" t="str">
        <f ca="1">IFERROR(__xludf.DUMMYFUNCTION("""COMPUTED_VALUE"""),"CompanyUserName")</f>
        <v>CompanyUserName</v>
      </c>
      <c r="Z5" s="24" t="str">
        <f ca="1">IFERROR(__xludf.DUMMYFUNCTION("""COMPUTED_VALUE"""),"ContractMultiplier")</f>
        <v>ContractMultiplier</v>
      </c>
      <c r="AA5" s="24" t="str">
        <f ca="1">IFERROR(__xludf.DUMMYFUNCTION("""COMPUTED_VALUE"""),"CountryName")</f>
        <v>CountryName</v>
      </c>
      <c r="AB5" s="24" t="str">
        <f ca="1">IFERROR(__xludf.DUMMYFUNCTION("""COMPUTED_VALUE"""),"CountryOfRisk")</f>
        <v>CountryOfRisk</v>
      </c>
      <c r="AC5" s="24" t="str">
        <f ca="1">IFERROR(__xludf.DUMMYFUNCTION("""COMPUTED_VALUE"""),"CumQty")</f>
        <v>CumQty</v>
      </c>
      <c r="AD5" s="24" t="str">
        <f ca="1">IFERROR(__xludf.DUMMYFUNCTION("""COMPUTED_VALUE"""),"CurrencyID")</f>
        <v>CurrencyID</v>
      </c>
      <c r="AE5" s="24" t="str">
        <f ca="1">IFERROR(__xludf.DUMMYFUNCTION("""COMPUTED_VALUE"""),"CurrencyName")</f>
        <v>CurrencyName</v>
      </c>
      <c r="AF5" s="24" t="str">
        <f ca="1">IFERROR(__xludf.DUMMYFUNCTION("""COMPUTED_VALUE"""),"CusipSymbol")</f>
        <v>CusipSymbol</v>
      </c>
      <c r="AG5" s="24" t="str">
        <f ca="1">IFERROR(__xludf.DUMMYFUNCTION("""COMPUTED_VALUE"""),"CustomUDA1")</f>
        <v>CustomUDA1</v>
      </c>
      <c r="AH5" s="24" t="str">
        <f ca="1">IFERROR(__xludf.DUMMYFUNCTION("""COMPUTED_VALUE"""),"CustomUDA2")</f>
        <v>CustomUDA2</v>
      </c>
      <c r="AI5" s="24" t="str">
        <f ca="1">IFERROR(__xludf.DUMMYFUNCTION("""COMPUTED_VALUE"""),"CustomUDA3")</f>
        <v>CustomUDA3</v>
      </c>
      <c r="AJ5" s="24" t="str">
        <f ca="1">IFERROR(__xludf.DUMMYFUNCTION("""COMPUTED_VALUE"""),"CustomUDA4")</f>
        <v>CustomUDA4</v>
      </c>
      <c r="AK5" s="24" t="str">
        <f ca="1">IFERROR(__xludf.DUMMYFUNCTION("""COMPUTED_VALUE"""),"CustomUDA5")</f>
        <v>CustomUDA5</v>
      </c>
      <c r="AL5" s="24" t="str">
        <f ca="1">IFERROR(__xludf.DUMMYFUNCTION("""COMPUTED_VALUE"""),"CustomUDA6")</f>
        <v>CustomUDA6</v>
      </c>
      <c r="AM5" s="24" t="str">
        <f ca="1">IFERROR(__xludf.DUMMYFUNCTION("""COMPUTED_VALUE"""),"CustomUDA7")</f>
        <v>CustomUDA7</v>
      </c>
      <c r="AN5" s="24" t="str">
        <f ca="1">IFERROR(__xludf.DUMMYFUNCTION("""COMPUTED_VALUE"""),"Delta")</f>
        <v>Delta</v>
      </c>
      <c r="AO5" s="24" t="str">
        <f ca="1">IFERROR(__xludf.DUMMYFUNCTION("""COMPUTED_VALUE"""),"Description")</f>
        <v>Description</v>
      </c>
      <c r="AP5" s="24" t="str">
        <f ca="1">IFERROR(__xludf.DUMMYFUNCTION("""COMPUTED_VALUE"""),"ExchangeName")</f>
        <v>ExchangeName</v>
      </c>
      <c r="AQ5" s="24" t="str">
        <f ca="1">IFERROR(__xludf.DUMMYFUNCTION("""COMPUTED_VALUE"""),"ExecutedQty")</f>
        <v>ExecutedQty</v>
      </c>
      <c r="AR5" s="24" t="str">
        <f ca="1">IFERROR(__xludf.DUMMYFUNCTION("""COMPUTED_VALUE"""),"ExpirationDate")</f>
        <v>ExpirationDate</v>
      </c>
      <c r="AS5" s="24" t="str">
        <f ca="1">IFERROR(__xludf.DUMMYFUNCTION("""COMPUTED_VALUE"""),"ExternalTransID")</f>
        <v>ExternalTransID</v>
      </c>
      <c r="AT5" s="24" t="str">
        <f ca="1">IFERROR(__xludf.DUMMYFUNCTION("""COMPUTED_VALUE"""),"FXConversionMethodOperator")</f>
        <v>FXConversionMethodOperator</v>
      </c>
      <c r="AU5" s="24" t="str">
        <f ca="1">IFERROR(__xludf.DUMMYFUNCTION("""COMPUTED_VALUE"""),"FXRate")</f>
        <v>FXRate</v>
      </c>
      <c r="AV5" s="24" t="str">
        <f ca="1">IFERROR(__xludf.DUMMYFUNCTION("""COMPUTED_VALUE"""),"GroupID")</f>
        <v>GroupID</v>
      </c>
      <c r="AW5" s="24" t="str">
        <f ca="1">IFERROR(__xludf.DUMMYFUNCTION("""COMPUTED_VALUE"""),"IDCOSymbol")</f>
        <v>IDCOSymbol</v>
      </c>
      <c r="AX5" s="24" t="str">
        <f ca="1">IFERROR(__xludf.DUMMYFUNCTION("""COMPUTED_VALUE"""),"InternalComments")</f>
        <v>InternalComments</v>
      </c>
      <c r="AY5" s="24" t="str">
        <f ca="1">IFERROR(__xludf.DUMMYFUNCTION("""COMPUTED_VALUE"""),"IsExerciseAtZero")</f>
        <v>IsExerciseAtZero</v>
      </c>
      <c r="AZ5" s="24" t="str">
        <f ca="1">IFERROR(__xludf.DUMMYFUNCTION("""COMPUTED_VALUE"""),"ISINSymbol")</f>
        <v>ISINSymbol</v>
      </c>
      <c r="BA5" s="24" t="str">
        <f ca="1">IFERROR(__xludf.DUMMYFUNCTION("""COMPUTED_VALUE"""),"IsNDF")</f>
        <v>IsNDF</v>
      </c>
      <c r="BB5" s="24" t="str">
        <f ca="1">IFERROR(__xludf.DUMMYFUNCTION("""COMPUTED_VALUE"""),"IsPosition")</f>
        <v>IsPosition</v>
      </c>
      <c r="BC5" s="24" t="str">
        <f ca="1">IFERROR(__xludf.DUMMYFUNCTION("""COMPUTED_VALUE"""),"IsPreAllocated")</f>
        <v>IsPreAllocated</v>
      </c>
      <c r="BD5" s="24" t="str">
        <f ca="1">IFERROR(__xludf.DUMMYFUNCTION("""COMPUTED_VALUE"""),"Issuer")</f>
        <v>Issuer</v>
      </c>
      <c r="BE5" s="24" t="str">
        <f ca="1">IFERROR(__xludf.DUMMYFUNCTION("""COMPUTED_VALUE"""),"IsSwapped")</f>
        <v>IsSwapped</v>
      </c>
      <c r="BF5" s="24" t="str">
        <f ca="1">IFERROR(__xludf.DUMMYFUNCTION("""COMPUTED_VALUE"""),"LeadCurrencyID")</f>
        <v>LeadCurrencyID</v>
      </c>
      <c r="BG5" s="24" t="str">
        <f ca="1">IFERROR(__xludf.DUMMYFUNCTION("""COMPUTED_VALUE"""),"LiquidTag")</f>
        <v>LiquidTag</v>
      </c>
      <c r="BH5" s="24" t="str">
        <f ca="1">IFERROR(__xludf.DUMMYFUNCTION("""COMPUTED_VALUE"""),"LongOrShort")</f>
        <v>LongOrShort</v>
      </c>
      <c r="BI5" s="24" t="str">
        <f ca="1">IFERROR(__xludf.DUMMYFUNCTION("""COMPUTED_VALUE"""),"LotId")</f>
        <v>LotId</v>
      </c>
      <c r="BJ5" s="24" t="str">
        <f ca="1">IFERROR(__xludf.DUMMYFUNCTION("""COMPUTED_VALUE"""),"M2MProfitLoss")</f>
        <v>M2MProfitLoss</v>
      </c>
      <c r="BK5" s="24" t="str">
        <f ca="1">IFERROR(__xludf.DUMMYFUNCTION("""COMPUTED_VALUE"""),"MarkPrice")</f>
        <v>MarkPrice</v>
      </c>
      <c r="BL5" s="24" t="str">
        <f ca="1">IFERROR(__xludf.DUMMYFUNCTION("""COMPUTED_VALUE"""),"MasterFund")</f>
        <v>MasterFund</v>
      </c>
      <c r="BM5" s="24" t="str">
        <f ca="1">IFERROR(__xludf.DUMMYFUNCTION("""COMPUTED_VALUE"""),"MiscFees")</f>
        <v>MiscFees</v>
      </c>
      <c r="BN5" s="24" t="str">
        <f ca="1">IFERROR(__xludf.DUMMYFUNCTION("""COMPUTED_VALUE"""),"NavLockStatus")</f>
        <v>NavLockStatus</v>
      </c>
      <c r="BO5" s="24" t="str">
        <f ca="1">IFERROR(__xludf.DUMMYFUNCTION("""COMPUTED_VALUE"""),"Net Notional")</f>
        <v>Net Notional</v>
      </c>
      <c r="BP5" s="24" t="str">
        <f ca="1">IFERROR(__xludf.DUMMYFUNCTION("""COMPUTED_VALUE"""),"NirvanaProcessDate")</f>
        <v>NirvanaProcessDate</v>
      </c>
      <c r="BQ5" s="24" t="str">
        <f ca="1">IFERROR(__xludf.DUMMYFUNCTION("""COMPUTED_VALUE"""),"OccFee")</f>
        <v>OccFee</v>
      </c>
      <c r="BR5" s="24" t="str">
        <f ca="1">IFERROR(__xludf.DUMMYFUNCTION("""COMPUTED_VALUE"""),"OptionPremiumAdjustment")</f>
        <v>OptionPremiumAdjustment</v>
      </c>
      <c r="BS5" s="24" t="str">
        <f ca="1">IFERROR(__xludf.DUMMYFUNCTION("""COMPUTED_VALUE"""),"OrderSideTagValue")</f>
        <v>OrderSideTagValue</v>
      </c>
      <c r="BT5" s="24" t="str">
        <f ca="1">IFERROR(__xludf.DUMMYFUNCTION("""COMPUTED_VALUE"""),"OrderType")</f>
        <v>OrderType</v>
      </c>
      <c r="BU5" s="24" t="str">
        <f ca="1">IFERROR(__xludf.DUMMYFUNCTION("""COMPUTED_VALUE"""),"OrfFee")</f>
        <v>OrfFee</v>
      </c>
      <c r="BV5" s="24" t="str">
        <f ca="1">IFERROR(__xludf.DUMMYFUNCTION("""COMPUTED_VALUE"""),"Original Side")</f>
        <v>Original Side</v>
      </c>
      <c r="BW5" s="24" t="str">
        <f ca="1">IFERROR(__xludf.DUMMYFUNCTION("""COMPUTED_VALUE"""),"OriginalPurchase Date")</f>
        <v>OriginalPurchase Date</v>
      </c>
      <c r="BX5" s="24" t="str">
        <f ca="1">IFERROR(__xludf.DUMMYFUNCTION("""COMPUTED_VALUE"""),"OSISymbol")</f>
        <v>OSISymbol</v>
      </c>
      <c r="BY5" s="24" t="str">
        <f ca="1">IFERROR(__xludf.DUMMYFUNCTION("""COMPUTED_VALUE"""),"OtherBrokerFees")</f>
        <v>OtherBrokerFees</v>
      </c>
      <c r="BZ5" s="24" t="str">
        <f ca="1">IFERROR(__xludf.DUMMYFUNCTION("""COMPUTED_VALUE"""),"ParentRowPK")</f>
        <v>ParentRowPK</v>
      </c>
      <c r="CA5" s="24" t="str">
        <f ca="1">IFERROR(__xludf.DUMMYFUNCTION("""COMPUTED_VALUE"""),"Percentage")</f>
        <v>Percentage</v>
      </c>
      <c r="CB5" s="24" t="str">
        <f ca="1">IFERROR(__xludf.DUMMYFUNCTION("""COMPUTED_VALUE"""),"PositionTag")</f>
        <v>PositionTag</v>
      </c>
      <c r="CC5" s="24" t="str">
        <f ca="1">IFERROR(__xludf.DUMMYFUNCTION("""COMPUTED_VALUE"""),"PositionType")</f>
        <v>PositionType</v>
      </c>
      <c r="CD5" s="24" t="str">
        <f ca="1">IFERROR(__xludf.DUMMYFUNCTION("""COMPUTED_VALUE"""),"Process Date")</f>
        <v>Process Date</v>
      </c>
      <c r="CE5" s="24" t="str">
        <f ca="1">IFERROR(__xludf.DUMMYFUNCTION("""COMPUTED_VALUE"""),"ProxySymbol")</f>
        <v>ProxySymbol</v>
      </c>
      <c r="CF5" s="24" t="str">
        <f ca="1">IFERROR(__xludf.DUMMYFUNCTION("""COMPUTED_VALUE"""),"PutOrCall")</f>
        <v>PutOrCall</v>
      </c>
      <c r="CG5" s="24" t="str">
        <f ca="1">IFERROR(__xludf.DUMMYFUNCTION("""COMPUTED_VALUE"""),"Quantity")</f>
        <v>Quantity</v>
      </c>
      <c r="CH5" s="24" t="str">
        <f ca="1">IFERROR(__xludf.DUMMYFUNCTION("""COMPUTED_VALUE"""),"Region")</f>
        <v>Region</v>
      </c>
      <c r="CI5" s="24" t="str">
        <f ca="1">IFERROR(__xludf.DUMMYFUNCTION("""COMPUTED_VALUE"""),"ReutersSymbol")</f>
        <v>ReutersSymbol</v>
      </c>
      <c r="CJ5" s="24" t="str">
        <f ca="1">IFERROR(__xludf.DUMMYFUNCTION("""COMPUTED_VALUE"""),"RiskCurrency")</f>
        <v>RiskCurrency</v>
      </c>
      <c r="CK5" s="24" t="str">
        <f ca="1">IFERROR(__xludf.DUMMYFUNCTION("""COMPUTED_VALUE"""),"SecFee")</f>
        <v>SecFee</v>
      </c>
      <c r="CL5" s="24" t="str">
        <f ca="1">IFERROR(__xludf.DUMMYFUNCTION("""COMPUTED_VALUE"""),"SectorName")</f>
        <v>SectorName</v>
      </c>
      <c r="CM5" s="24" t="str">
        <f ca="1">IFERROR(__xludf.DUMMYFUNCTION("""COMPUTED_VALUE"""),"Security Name")</f>
        <v>Security Name</v>
      </c>
      <c r="CN5" s="24" t="str">
        <f ca="1">IFERROR(__xludf.DUMMYFUNCTION("""COMPUTED_VALUE"""),"SecurityTypeName")</f>
        <v>SecurityTypeName</v>
      </c>
      <c r="CO5" s="24" t="str">
        <f ca="1">IFERROR(__xludf.DUMMYFUNCTION("""COMPUTED_VALUE"""),"SedolSymbol")</f>
        <v>SedolSymbol</v>
      </c>
      <c r="CP5" s="24" t="str">
        <f ca="1">IFERROR(__xludf.DUMMYFUNCTION("""COMPUTED_VALUE"""),"SettlCurrAmt")</f>
        <v>SettlCurrAmt</v>
      </c>
      <c r="CQ5" s="24" t="str">
        <f ca="1">IFERROR(__xludf.DUMMYFUNCTION("""COMPUTED_VALUE"""),"SettlCurrFxRate")</f>
        <v>SettlCurrFxRate</v>
      </c>
      <c r="CR5" s="24" t="str">
        <f ca="1">IFERROR(__xludf.DUMMYFUNCTION("""COMPUTED_VALUE"""),"SettlCurrFxRateCalc")</f>
        <v>SettlCurrFxRateCalc</v>
      </c>
      <c r="CS5" s="24" t="str">
        <f ca="1">IFERROR(__xludf.DUMMYFUNCTION("""COMPUTED_VALUE"""),"SettlCurrUnitCost")</f>
        <v>SettlCurrUnitCost</v>
      </c>
      <c r="CT5" s="24" t="str">
        <f ca="1">IFERROR(__xludf.DUMMYFUNCTION("""COMPUTED_VALUE"""),"Settlement Mode")</f>
        <v>Settlement Mode</v>
      </c>
      <c r="CU5" s="24" t="str">
        <f ca="1">IFERROR(__xludf.DUMMYFUNCTION("""COMPUTED_VALUE"""),"Settlement Qty")</f>
        <v>Settlement Qty</v>
      </c>
      <c r="CV5" s="24" t="str">
        <f ca="1">IFERROR(__xludf.DUMMYFUNCTION("""COMPUTED_VALUE"""),"SettlementCurrencyID")</f>
        <v>SettlementCurrencyID</v>
      </c>
      <c r="CW5" s="24" t="str">
        <f ca="1">IFERROR(__xludf.DUMMYFUNCTION("""COMPUTED_VALUE"""),"SettlementDate")</f>
        <v>SettlementDate</v>
      </c>
      <c r="CX5" s="24" t="str">
        <f ca="1">IFERROR(__xludf.DUMMYFUNCTION("""COMPUTED_VALUE"""),"SideMultiplier")</f>
        <v>SideMultiplier</v>
      </c>
      <c r="CY5" s="24" t="str">
        <f ca="1">IFERROR(__xludf.DUMMYFUNCTION("""COMPUTED_VALUE"""),"SoftCommission")</f>
        <v>SoftCommission</v>
      </c>
      <c r="CZ5" s="24" t="str">
        <f ca="1">IFERROR(__xludf.DUMMYFUNCTION("""COMPUTED_VALUE"""),"SoftCommissionAmt")</f>
        <v>SoftCommissionAmt</v>
      </c>
      <c r="DA5" s="24" t="str">
        <f ca="1">IFERROR(__xludf.DUMMYFUNCTION("""COMPUTED_VALUE"""),"SoftCommissionCalcBasis")</f>
        <v>SoftCommissionCalcBasis</v>
      </c>
      <c r="DB5" s="24" t="str">
        <f ca="1">IFERROR(__xludf.DUMMYFUNCTION("""COMPUTED_VALUE"""),"SoftCommissionRate")</f>
        <v>SoftCommissionRate</v>
      </c>
      <c r="DC5" s="24" t="str">
        <f ca="1">IFERROR(__xludf.DUMMYFUNCTION("""COMPUTED_VALUE"""),"StampDuty")</f>
        <v>StampDuty</v>
      </c>
      <c r="DD5" s="24" t="str">
        <f ca="1">IFERROR(__xludf.DUMMYFUNCTION("""COMPUTED_VALUE"""),"Strategy")</f>
        <v>Strategy</v>
      </c>
      <c r="DE5" s="24" t="str">
        <f ca="1">IFERROR(__xludf.DUMMYFUNCTION("""COMPUTED_VALUE"""),"Strike Price")</f>
        <v>Strike Price</v>
      </c>
      <c r="DF5" s="24" t="str">
        <f ca="1">IFERROR(__xludf.DUMMYFUNCTION("""COMPUTED_VALUE"""),"SubSectorName")</f>
        <v>SubSectorName</v>
      </c>
      <c r="DG5" s="24" t="str">
        <f ca="1">IFERROR(__xludf.DUMMYFUNCTION("""COMPUTED_VALUE"""),"SwapParameters")</f>
        <v>SwapParameters</v>
      </c>
      <c r="DH5" s="24" t="str">
        <f ca="1">IFERROR(__xludf.DUMMYFUNCTION("""COMPUTED_VALUE"""),"Symbol")</f>
        <v>Symbol</v>
      </c>
      <c r="DI5" s="24" t="str">
        <f ca="1">IFERROR(__xludf.DUMMYFUNCTION("""COMPUTED_VALUE"""),"TaxlotClosingId")</f>
        <v>TaxlotClosingId</v>
      </c>
      <c r="DJ5" s="24" t="str">
        <f ca="1">IFERROR(__xludf.DUMMYFUNCTION("""COMPUTED_VALUE"""),"TaxLotID")</f>
        <v>TaxLotID</v>
      </c>
      <c r="DK5" s="24" t="str">
        <f ca="1">IFERROR(__xludf.DUMMYFUNCTION("""COMPUTED_VALUE"""),"TaxlotPk")</f>
        <v>TaxlotPk</v>
      </c>
      <c r="DL5" s="24" t="str">
        <f ca="1">IFERROR(__xludf.DUMMYFUNCTION("""COMPUTED_VALUE"""),"TaxLotQtyToClose")</f>
        <v>TaxLotQtyToClose</v>
      </c>
      <c r="DM5" s="24" t="str">
        <f ca="1">IFERROR(__xludf.DUMMYFUNCTION("""COMPUTED_VALUE"""),"TaxonCommissions")</f>
        <v>TaxonCommissions</v>
      </c>
      <c r="DN5" s="24" t="str">
        <f ca="1">IFERROR(__xludf.DUMMYFUNCTION("""COMPUTED_VALUE"""),"TimeOfSaveUTC")</f>
        <v>TimeOfSaveUTC</v>
      </c>
      <c r="DO5" s="24" t="str">
        <f ca="1">IFERROR(__xludf.DUMMYFUNCTION("""COMPUTED_VALUE"""),"TotalCommission&amp;Fees")</f>
        <v>TotalCommission&amp;Fees</v>
      </c>
      <c r="DP5" s="24" t="str">
        <f ca="1">IFERROR(__xludf.DUMMYFUNCTION("""COMPUTED_VALUE"""),"TotalCommissionandFees")</f>
        <v>TotalCommissionandFees</v>
      </c>
      <c r="DQ5" s="24" t="str">
        <f ca="1">IFERROR(__xludf.DUMMYFUNCTION("""COMPUTED_VALUE"""),"Tradedate")</f>
        <v>Tradedate</v>
      </c>
      <c r="DR5" s="24" t="str">
        <f ca="1">IFERROR(__xludf.DUMMYFUNCTION("""COMPUTED_VALUE"""),"TradeAttribute1")</f>
        <v>TradeAttribute1</v>
      </c>
      <c r="DS5" s="24" t="str">
        <f ca="1">IFERROR(__xludf.DUMMYFUNCTION("""COMPUTED_VALUE"""),"TradeAttribute2")</f>
        <v>TradeAttribute2</v>
      </c>
      <c r="DT5" s="24" t="str">
        <f ca="1">IFERROR(__xludf.DUMMYFUNCTION("""COMPUTED_VALUE"""),"TradeAttribute3")</f>
        <v>TradeAttribute3</v>
      </c>
      <c r="DU5" s="24" t="str">
        <f ca="1">IFERROR(__xludf.DUMMYFUNCTION("""COMPUTED_VALUE"""),"TradeAttribute4")</f>
        <v>TradeAttribute4</v>
      </c>
      <c r="DV5" s="24" t="str">
        <f ca="1">IFERROR(__xludf.DUMMYFUNCTION("""COMPUTED_VALUE"""),"TradeAttribute5")</f>
        <v>TradeAttribute5</v>
      </c>
      <c r="DW5" s="24" t="str">
        <f ca="1">IFERROR(__xludf.DUMMYFUNCTION("""COMPUTED_VALUE"""),"TradeAttribute6")</f>
        <v>TradeAttribute6</v>
      </c>
      <c r="DX5" s="24" t="str">
        <f ca="1">IFERROR(__xludf.DUMMYFUNCTION("""COMPUTED_VALUE"""),"TradingAccountName")</f>
        <v>TradingAccountName</v>
      </c>
      <c r="DY5" s="24" t="str">
        <f ca="1">IFERROR(__xludf.DUMMYFUNCTION("""COMPUTED_VALUE"""),"TransactionLevy")</f>
        <v>TransactionLevy</v>
      </c>
      <c r="DZ5" s="24" t="str">
        <f ca="1">IFERROR(__xludf.DUMMYFUNCTION("""COMPUTED_VALUE"""),"TransactionType")</f>
        <v>TransactionType</v>
      </c>
      <c r="EA5" s="24" t="str">
        <f ca="1">IFERROR(__xludf.DUMMYFUNCTION("""COMPUTED_VALUE"""),"UcitsEligibleTag")</f>
        <v>UcitsEligibleTag</v>
      </c>
      <c r="EB5" s="24" t="str">
        <f ca="1">IFERROR(__xludf.DUMMYFUNCTION("""COMPUTED_VALUE"""),"UDAAsset")</f>
        <v>UDAAsset</v>
      </c>
      <c r="EC5" s="24" t="str">
        <f ca="1">IFERROR(__xludf.DUMMYFUNCTION("""COMPUTED_VALUE"""),"UnderlyingDelta")</f>
        <v>UnderlyingDelta</v>
      </c>
      <c r="ED5" s="24" t="str">
        <f ca="1">IFERROR(__xludf.DUMMYFUNCTION("""COMPUTED_VALUE"""),"UnderlyingName")</f>
        <v>UnderlyingName</v>
      </c>
      <c r="EE5" s="24" t="str">
        <f ca="1">IFERROR(__xludf.DUMMYFUNCTION("""COMPUTED_VALUE"""),"UnderlyingSymbol")</f>
        <v>UnderlyingSymbol</v>
      </c>
      <c r="EF5" s="24" t="str">
        <f ca="1">IFERROR(__xludf.DUMMYFUNCTION("""COMPUTED_VALUE"""),"UnitCost")</f>
        <v>UnitCost</v>
      </c>
      <c r="EG5" s="24" t="str">
        <f ca="1">IFERROR(__xludf.DUMMYFUNCTION("""COMPUTED_VALUE"""),"UnRealizedPNL")</f>
        <v>UnRealizedPNL</v>
      </c>
      <c r="EH5" s="24" t="str">
        <f ca="1">IFERROR(__xludf.DUMMYFUNCTION("""COMPUTED_VALUE"""),"Venue")</f>
        <v>Venue</v>
      </c>
      <c r="EI5" s="24" t="str">
        <f ca="1">IFERROR(__xludf.DUMMYFUNCTION("""COMPUTED_VALUE"""),"VsCurrencyID")</f>
        <v>VsCurrencyID</v>
      </c>
      <c r="EJ5" s="24" t="str">
        <f ca="1">IFERROR(__xludf.DUMMYFUNCTION("""COMPUTED_VALUE"""),"WorkflowState")</f>
        <v>WorkflowState</v>
      </c>
      <c r="EK5" s="24" t="str">
        <f ca="1">IFERROR(__xludf.DUMMYFUNCTION("""COMPUTED_VALUE"""),"AvgPriceBase")</f>
        <v>AvgPriceBase</v>
      </c>
      <c r="EL5" s="24" t="str">
        <f ca="1">IFERROR(__xludf.DUMMYFUNCTION("""COMPUTED_VALUE"""),"MarketCap")</f>
        <v>MarketCap</v>
      </c>
      <c r="EM5" s="24" t="str">
        <f ca="1">IFERROR(__xludf.DUMMYFUNCTION("""COMPUTED_VALUE"""),"UnitCostBase")</f>
        <v>UnitCostBase</v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7" t="s">
        <v>26</v>
      </c>
      <c r="F6" s="5"/>
      <c r="G6" s="5"/>
      <c r="H6" s="5"/>
      <c r="I6" s="7">
        <v>10</v>
      </c>
      <c r="J6" s="5"/>
      <c r="K6" s="7"/>
      <c r="L6" s="5"/>
      <c r="M6" s="5"/>
      <c r="N6" s="5"/>
      <c r="O6" s="5"/>
      <c r="AQ6" s="6">
        <v>100</v>
      </c>
      <c r="BV6" s="6" t="s">
        <v>17</v>
      </c>
      <c r="CA6" s="6">
        <v>100</v>
      </c>
      <c r="CG6" s="6">
        <v>100</v>
      </c>
      <c r="DH6" s="7" t="s">
        <v>16</v>
      </c>
    </row>
    <row r="7" spans="1:154" ht="15.75" customHeight="1">
      <c r="A7" s="5"/>
      <c r="B7" s="7" t="s">
        <v>18</v>
      </c>
      <c r="C7" s="5"/>
      <c r="D7" s="5"/>
      <c r="E7" s="7" t="s">
        <v>26</v>
      </c>
      <c r="F7" s="5"/>
      <c r="G7" s="5"/>
      <c r="H7" s="5"/>
      <c r="I7" s="7">
        <v>20</v>
      </c>
      <c r="J7" s="5"/>
      <c r="K7" s="7"/>
      <c r="L7" s="5"/>
      <c r="M7" s="5"/>
      <c r="N7" s="5"/>
      <c r="O7" s="5"/>
      <c r="AQ7" s="6">
        <v>200</v>
      </c>
      <c r="BV7" s="6" t="s">
        <v>17</v>
      </c>
      <c r="CA7" s="6">
        <v>100</v>
      </c>
      <c r="CG7" s="6">
        <v>200</v>
      </c>
      <c r="DH7" s="7" t="s">
        <v>20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IFERROR(__xludf.DUMMYFUNCTION("""COMPUTED_VALUE"""),"AccountValue")</f>
        <v>AccountValue</v>
      </c>
      <c r="D5" s="22" t="str">
        <f ca="1">IFERROR(__xludf.DUMMYFUNCTION("""COMPUTED_VALUE"""),"AccruedInterest")</f>
        <v>AccruedInterest</v>
      </c>
      <c r="E5" s="22" t="str">
        <f ca="1">IFERROR(__xludf.DUMMYFUNCTION("""COMPUTED_VALUE"""),"Asset")</f>
        <v>Asset</v>
      </c>
      <c r="F5" s="23" t="str">
        <f ca="1">IFERROR(__xludf.DUMMYFUNCTION("""COMPUTED_VALUE"""),"AUEC Fee1")</f>
        <v>AUEC Fee1</v>
      </c>
      <c r="G5" s="22" t="str">
        <f ca="1">IFERROR(__xludf.DUMMYFUNCTION("""COMPUTED_VALUE"""),"AUCE Fee2")</f>
        <v>AUCE Fee2</v>
      </c>
      <c r="H5" s="22" t="str">
        <f ca="1">IFERROR(__xludf.DUMMYFUNCTION("""COMPUTED_VALUE"""),"AUECID")</f>
        <v>AUECID</v>
      </c>
      <c r="I5" s="22" t="str">
        <f ca="1">IFERROR(__xludf.DUMMYFUNCTION("""COMPUTED_VALUE"""),"AUECLocalDateToday")</f>
        <v>AUECLocalDateToday</v>
      </c>
      <c r="J5" s="22" t="str">
        <f ca="1">IFERROR(__xludf.DUMMYFUNCTION("""COMPUTED_VALUE"""),"Average Price")</f>
        <v>Average Price</v>
      </c>
      <c r="K5" s="22" t="str">
        <f ca="1">IFERROR(__xludf.DUMMYFUNCTION("""COMPUTED_VALUE"""),"AvgPriceRealizedPL")</f>
        <v>AvgPriceRealizedPL</v>
      </c>
      <c r="L5" s="22" t="str">
        <f ca="1">IFERROR(__xludf.DUMMYFUNCTION("""COMPUTED_VALUE"""),"Broker")</f>
        <v>Broker</v>
      </c>
      <c r="M5" s="22" t="str">
        <f ca="1">IFERROR(__xludf.DUMMYFUNCTION("""COMPUTED_VALUE"""),"Clearing Broker Fee")</f>
        <v>Clearing Broker Fee</v>
      </c>
      <c r="N5" s="22" t="str">
        <f ca="1">IFERROR(__xludf.DUMMYFUNCTION("""COMPUTED_VALUE"""),"ClosedQty")</f>
        <v>ClosedQty</v>
      </c>
      <c r="O5" s="22" t="str">
        <f ca="1">IFERROR(__xludf.DUMMYFUNCTION("""COMPUTED_VALUE"""),"Commission")</f>
        <v>Commission</v>
      </c>
      <c r="P5" s="22" t="str">
        <f ca="1">IFERROR(__xludf.DUMMYFUNCTION("""COMPUTED_VALUE"""),"CostBasisRealizePNL")</f>
        <v>CostBasisRealizePNL</v>
      </c>
      <c r="Q5" s="22" t="str">
        <f ca="1">IFERROR(__xludf.DUMMYFUNCTION("""COMPUTED_VALUE"""),"Currency")</f>
        <v>Currency</v>
      </c>
      <c r="R5" s="22" t="str">
        <f ca="1">IFERROR(__xludf.DUMMYFUNCTION("""COMPUTED_VALUE"""),"Description")</f>
        <v>Description</v>
      </c>
      <c r="S5" s="22" t="str">
        <f ca="1">IFERROR(__xludf.DUMMYFUNCTION("""COMPUTED_VALUE"""),"EndDate")</f>
        <v>EndDate</v>
      </c>
      <c r="T5" s="24" t="str">
        <f ca="1">IFERROR(__xludf.DUMMYFUNCTION("""COMPUTED_VALUE"""),"ExchangeID")</f>
        <v>ExchangeID</v>
      </c>
      <c r="U5" s="24" t="str">
        <f ca="1">IFERROR(__xludf.DUMMYFUNCTION("""COMPUTED_VALUE"""),"Expiration Date")</f>
        <v>Expiration Date</v>
      </c>
      <c r="V5" s="24" t="str">
        <f ca="1">IFERROR(__xludf.DUMMYFUNCTION("""COMPUTED_VALUE"""),"ExpiredQty")</f>
        <v>ExpiredQty</v>
      </c>
      <c r="W5" s="24" t="str">
        <f ca="1">IFERROR(__xludf.DUMMYFUNCTION("""COMPUTED_VALUE"""),"ExpiredTaxlotID")</f>
        <v>ExpiredTaxlotID</v>
      </c>
      <c r="X5" s="24" t="str">
        <f ca="1">IFERROR(__xludf.DUMMYFUNCTION("""COMPUTED_VALUE"""),"FXRate")</f>
        <v>FXRate</v>
      </c>
      <c r="Y5" s="24" t="str">
        <f ca="1">IFERROR(__xludf.DUMMYFUNCTION("""COMPUTED_VALUE"""),"FXRateoperator")</f>
        <v>FXRateoperator</v>
      </c>
      <c r="Z5" s="24" t="str">
        <f ca="1">IFERROR(__xludf.DUMMYFUNCTION("""COMPUTED_VALUE"""),"ID")</f>
        <v>ID</v>
      </c>
      <c r="AA5" s="24" t="str">
        <f ca="1">IFERROR(__xludf.DUMMYFUNCTION("""COMPUTED_VALUE"""),"If Pay/Recevie Changes")</f>
        <v>If Pay/Recevie Changes</v>
      </c>
      <c r="AB5" s="24" t="str">
        <f ca="1">IFERROR(__xludf.DUMMYFUNCTION("""COMPUTED_VALUE"""),"IntPositionType")</f>
        <v>IntPositionType</v>
      </c>
      <c r="AC5" s="24" t="str">
        <f ca="1">IFERROR(__xludf.DUMMYFUNCTION("""COMPUTED_VALUE"""),"LeadCurrencyID")</f>
        <v>LeadCurrencyID</v>
      </c>
      <c r="AD5" s="24" t="str">
        <f ca="1">IFERROR(__xludf.DUMMYFUNCTION("""COMPUTED_VALUE"""),"Leveraged Factor")</f>
        <v>Leveraged Factor</v>
      </c>
      <c r="AE5" s="24" t="str">
        <f ca="1">IFERROR(__xludf.DUMMYFUNCTION("""COMPUTED_VALUE"""),"MarkPriceForMonth")</f>
        <v>MarkPriceForMonth</v>
      </c>
      <c r="AF5" s="24" t="str">
        <f ca="1">IFERROR(__xludf.DUMMYFUNCTION("""COMPUTED_VALUE"""),"MonthToDateRealizedProfit")</f>
        <v>MonthToDateRealizedProfit</v>
      </c>
      <c r="AG5" s="24" t="str">
        <f ca="1">IFERROR(__xludf.DUMMYFUNCTION("""COMPUTED_VALUE"""),"Multiplier")</f>
        <v>Multiplier</v>
      </c>
      <c r="AH5" s="24" t="str">
        <f ca="1">IFERROR(__xludf.DUMMYFUNCTION("""COMPUTED_VALUE"""),"NotionalValue")</f>
        <v>NotionalValue</v>
      </c>
      <c r="AI5" s="24" t="str">
        <f ca="1">IFERROR(__xludf.DUMMYFUNCTION("""COMPUTED_VALUE"""),"OCC Fee")</f>
        <v>OCC Fee</v>
      </c>
      <c r="AJ5" s="24" t="str">
        <f ca="1">IFERROR(__xludf.DUMMYFUNCTION("""COMPUTED_VALUE"""),"OpenQty")</f>
        <v>OpenQty</v>
      </c>
      <c r="AK5" s="24" t="str">
        <f ca="1">IFERROR(__xludf.DUMMYFUNCTION("""COMPUTED_VALUE"""),"Option Activated")</f>
        <v>Option Activated</v>
      </c>
      <c r="AL5" s="24" t="str">
        <f ca="1">IFERROR(__xludf.DUMMYFUNCTION("""COMPUTED_VALUE"""),"Option Type")</f>
        <v>Option Type</v>
      </c>
      <c r="AM5" s="24" t="str">
        <f ca="1">IFERROR(__xludf.DUMMYFUNCTION("""COMPUTED_VALUE"""),"OptionPremiumAdjustment")</f>
        <v>OptionPremiumAdjustment</v>
      </c>
      <c r="AN5" s="24" t="str">
        <f ca="1">IFERROR(__xludf.DUMMYFUNCTION("""COMPUTED_VALUE"""),"ORF Fee")</f>
        <v>ORF Fee</v>
      </c>
      <c r="AO5" s="24" t="str">
        <f ca="1">IFERROR(__xludf.DUMMYFUNCTION("""COMPUTED_VALUE"""),"Original Side")</f>
        <v>Original Side</v>
      </c>
      <c r="AP5" s="24" t="str">
        <f ca="1">IFERROR(__xludf.DUMMYFUNCTION("""COMPUTED_VALUE"""),"OriginalPurchaseDate")</f>
        <v>OriginalPurchaseDate</v>
      </c>
      <c r="AQ5" s="24" t="str">
        <f ca="1">IFERROR(__xludf.DUMMYFUNCTION("""COMPUTED_VALUE"""),"Other Broker Fees")</f>
        <v>Other Broker Fees</v>
      </c>
      <c r="AR5" s="24" t="str">
        <f ca="1">IFERROR(__xludf.DUMMYFUNCTION("""COMPUTED_VALUE"""),"ParentTradeDate")</f>
        <v>ParentTradeDate</v>
      </c>
      <c r="AS5" s="24" t="str">
        <f ca="1">IFERROR(__xludf.DUMMYFUNCTION("""COMPUTED_VALUE"""),"Pay/Recive")</f>
        <v>Pay/Recive</v>
      </c>
      <c r="AT5" s="24" t="str">
        <f ca="1">IFERROR(__xludf.DUMMYFUNCTION("""COMPUTED_VALUE"""),"PositionType")</f>
        <v>PositionType</v>
      </c>
      <c r="AU5" s="24" t="str">
        <f ca="1">IFERROR(__xludf.DUMMYFUNCTION("""COMPUTED_VALUE"""),"ProcessDate")</f>
        <v>ProcessDate</v>
      </c>
      <c r="AV5" s="24" t="str">
        <f ca="1">IFERROR(__xludf.DUMMYFUNCTION("""COMPUTED_VALUE"""),"QtyCurrency")</f>
        <v>QtyCurrency</v>
      </c>
      <c r="AW5" s="24" t="str">
        <f ca="1">IFERROR(__xludf.DUMMYFUNCTION("""COMPUTED_VALUE"""),"Quantity")</f>
        <v>Quantity</v>
      </c>
      <c r="AX5" s="24" t="str">
        <f ca="1">IFERROR(__xludf.DUMMYFUNCTION("""COMPUTED_VALUE"""),"RecordType")</f>
        <v>RecordType</v>
      </c>
      <c r="AY5" s="24" t="str">
        <f ca="1">IFERROR(__xludf.DUMMYFUNCTION("""COMPUTED_VALUE"""),"SEC Fee")</f>
        <v>SEC Fee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IFERROR(__xludf.DUMMYFUNCTION("""COMPUTED_VALUE"""),"Settlement Date")</f>
        <v>Settlement Date</v>
      </c>
      <c r="BB5" s="24" t="str">
        <f ca="1">IFERROR(__xludf.DUMMYFUNCTION("""COMPUTED_VALUE"""),"Settlement FxRate")</f>
        <v>Settlement FxRate</v>
      </c>
      <c r="BC5" s="24" t="str">
        <f ca="1">IFERROR(__xludf.DUMMYFUNCTION("""COMPUTED_VALUE"""),"Settlement FxRate Operator")</f>
        <v>Settlement FxRate Operator</v>
      </c>
      <c r="BD5" s="24" t="str">
        <f ca="1">IFERROR(__xludf.DUMMYFUNCTION("""COMPUTED_VALUE"""),"Settlement Price")</f>
        <v>Settlement Price</v>
      </c>
      <c r="BE5" s="24" t="str">
        <f ca="1">IFERROR(__xludf.DUMMYFUNCTION("""COMPUTED_VALUE"""),"Side")</f>
        <v>Side</v>
      </c>
      <c r="BF5" s="24" t="str">
        <f ca="1">IFERROR(__xludf.DUMMYFUNCTION("""COMPUTED_VALUE"""),"Soft Commission")</f>
        <v>Soft Commission</v>
      </c>
      <c r="BG5" s="24" t="str">
        <f ca="1">IFERROR(__xludf.DUMMYFUNCTION("""COMPUTED_VALUE"""),"Stamp Duty")</f>
        <v>Stamp Duty</v>
      </c>
      <c r="BH5" s="24" t="str">
        <f ca="1">IFERROR(__xludf.DUMMYFUNCTION("""COMPUTED_VALUE"""),"StartTaxlotID")</f>
        <v>StartTaxlotID</v>
      </c>
      <c r="BI5" s="24" t="str">
        <f ca="1">IFERROR(__xludf.DUMMYFUNCTION("""COMPUTED_VALUE"""),"Status")</f>
        <v>Status</v>
      </c>
      <c r="BJ5" s="24" t="str">
        <f ca="1">IFERROR(__xludf.DUMMYFUNCTION("""COMPUTED_VALUE"""),"Strategy")</f>
        <v>Strategy</v>
      </c>
      <c r="BK5" s="24" t="str">
        <f ca="1">IFERROR(__xludf.DUMMYFUNCTION("""COMPUTED_VALUE"""),"Strike Price")</f>
        <v>Strike Price</v>
      </c>
      <c r="BL5" s="24" t="str">
        <f ca="1">IFERROR(__xludf.DUMMYFUNCTION("""COMPUTED_VALUE"""),"Symbol")</f>
        <v>Symbol</v>
      </c>
      <c r="BM5" s="24" t="str">
        <f ca="1">IFERROR(__xludf.DUMMYFUNCTION("""COMPUTED_VALUE"""),"SymbolAveragePrice")</f>
        <v>SymbolAveragePrice</v>
      </c>
      <c r="BN5" s="24" t="str">
        <f ca="1">IFERROR(__xludf.DUMMYFUNCTION("""COMPUTED_VALUE"""),"Tax On Commissions")</f>
        <v>Tax On Commissions</v>
      </c>
      <c r="BO5" s="24" t="str">
        <f ca="1">IFERROR(__xludf.DUMMYFUNCTION("""COMPUTED_VALUE"""),"TaxLotClosingId")</f>
        <v>TaxLotClosingId</v>
      </c>
      <c r="BP5" s="24" t="str">
        <f ca="1">IFERROR(__xludf.DUMMYFUNCTION("""COMPUTED_VALUE"""),"Trade Date")</f>
        <v>Trade Date</v>
      </c>
      <c r="BQ5" s="24" t="str">
        <f ca="1">IFERROR(__xludf.DUMMYFUNCTION("""COMPUTED_VALUE"""),"Transaction Levy")</f>
        <v>Transaction Levy</v>
      </c>
      <c r="BR5" s="24" t="str">
        <f ca="1">IFERROR(__xludf.DUMMYFUNCTION("""COMPUTED_VALUE"""),"Transaction Type")</f>
        <v>Transaction Type</v>
      </c>
      <c r="BS5" s="24" t="str">
        <f ca="1">IFERROR(__xludf.DUMMYFUNCTION("""COMPUTED_VALUE"""),"TransactionSource")</f>
        <v>TransactionSource</v>
      </c>
      <c r="BT5" s="24" t="str">
        <f ca="1">IFERROR(__xludf.DUMMYFUNCTION("""COMPUTED_VALUE"""),"Underlying Symbol")</f>
        <v>Underlying Symbol</v>
      </c>
      <c r="BU5" s="24" t="str">
        <f ca="1">IFERROR(__xludf.DUMMYFUNCTION("""COMPUTED_VALUE"""),"UnderlyingID")</f>
        <v>UnderlyingID</v>
      </c>
      <c r="BV5" s="24" t="str">
        <f ca="1">IFERROR(__xludf.DUMMYFUNCTION("""COMPUTED_VALUE"""),"Venue")</f>
        <v>Venue</v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IFERROR(__xludf.DUMMYFUNCTION("""COMPUTED_VALUE"""),"checkBox")</f>
        <v>checkBox</v>
      </c>
      <c r="E5" s="22" t="str">
        <f ca="1">IFERROR(__xludf.DUMMYFUNCTION("""COMPUTED_VALUE"""),"Close Date")</f>
        <v>Close Date</v>
      </c>
      <c r="F5" s="23" t="str">
        <f ca="1">IFERROR(__xludf.DUMMYFUNCTION("""COMPUTED_VALUE"""),"ClosedAveragePrice")</f>
        <v>ClosedAveragePrice</v>
      </c>
      <c r="G5" s="22" t="str">
        <f ca="1">IFERROR(__xludf.DUMMYFUNCTION("""COMPUTED_VALUE"""),"ClosedQty")</f>
        <v>ClosedQty</v>
      </c>
      <c r="H5" s="22" t="str">
        <f ca="1">IFERROR(__xludf.DUMMYFUNCTION("""COMPUTED_VALUE"""),"Closing Method")</f>
        <v>Closing Method</v>
      </c>
      <c r="I5" s="22" t="str">
        <f ca="1">IFERROR(__xludf.DUMMYFUNCTION("""COMPUTED_VALUE"""),"ClosingID")</f>
        <v>ClosingID</v>
      </c>
      <c r="J5" s="22" t="str">
        <f ca="1">IFERROR(__xludf.DUMMYFUNCTION("""COMPUTED_VALUE"""),"ClosingMode")</f>
        <v>ClosingMode</v>
      </c>
      <c r="K5" s="22" t="str">
        <f ca="1">IFERROR(__xludf.DUMMYFUNCTION("""COMPUTED_VALUE"""),"ClosingPositionTag")</f>
        <v>ClosingPositionTag</v>
      </c>
      <c r="L5" s="22" t="str">
        <f ca="1">IFERROR(__xludf.DUMMYFUNCTION("""COMPUTED_VALUE"""),"ClosingSide")</f>
        <v>ClosingSide</v>
      </c>
      <c r="M5" s="22" t="str">
        <f ca="1">IFERROR(__xludf.DUMMYFUNCTION("""COMPUTED_VALUE"""),"ClosingTotalCommissionandFees")</f>
        <v>ClosingTotalCommissionandFees</v>
      </c>
      <c r="N5" s="22" t="str">
        <f ca="1">IFERROR(__xludf.DUMMYFUNCTION("""COMPUTED_VALUE"""),"Column1")</f>
        <v>Column1</v>
      </c>
      <c r="O5" s="22" t="str">
        <f ca="1">IFERROR(__xludf.DUMMYFUNCTION("""COMPUTED_VALUE"""),"CostBasisGrossPNL")</f>
        <v>CostBasisGrossPNL</v>
      </c>
      <c r="P5" s="22" t="str">
        <f ca="1">IFERROR(__xludf.DUMMYFUNCTION("""COMPUTED_VALUE"""),"Currency")</f>
        <v>Currency</v>
      </c>
      <c r="Q5" s="22" t="str">
        <f ca="1">IFERROR(__xludf.DUMMYFUNCTION("""COMPUTED_VALUE"""),"CurrencyID")</f>
        <v>CurrencyID</v>
      </c>
      <c r="R5" s="22" t="str">
        <f ca="1">IFERROR(__xludf.DUMMYFUNCTION("""COMPUTED_VALUE"""),"Exchange")</f>
        <v>Exchange</v>
      </c>
      <c r="S5" s="22" t="str">
        <f ca="1">IFERROR(__xludf.DUMMYFUNCTION("""COMPUTED_VALUE"""),"NotionalChange")</f>
        <v>NotionalChange</v>
      </c>
      <c r="T5" s="24" t="str">
        <f ca="1">IFERROR(__xludf.DUMMYFUNCTION("""COMPUTED_VALUE"""),"OpenAveragePrice")</f>
        <v>OpenAveragePrice</v>
      </c>
      <c r="U5" s="24" t="str">
        <f ca="1">IFERROR(__xludf.DUMMYFUNCTION("""COMPUTED_VALUE"""),"Original Purchase Date")</f>
        <v>Original Purchase Date</v>
      </c>
      <c r="V5" s="24" t="str">
        <f ca="1">IFERROR(__xludf.DUMMYFUNCTION("""COMPUTED_VALUE"""),"Position Type")</f>
        <v>Position Type</v>
      </c>
      <c r="W5" s="24" t="str">
        <f ca="1">IFERROR(__xludf.DUMMYFUNCTION("""COMPUTED_VALUE"""),"PositionSide")</f>
        <v>PositionSide</v>
      </c>
      <c r="X5" s="24" t="str">
        <f ca="1">IFERROR(__xludf.DUMMYFUNCTION("""COMPUTED_VALUE"""),"PositionTotalCommissionandFees")</f>
        <v>PositionTotalCommissionandFees</v>
      </c>
      <c r="Y5" s="24" t="str">
        <f ca="1">IFERROR(__xludf.DUMMYFUNCTION("""COMPUTED_VALUE"""),"Realized PNL(C.B.)")</f>
        <v>Realized PNL(C.B.)</v>
      </c>
      <c r="Z5" s="24" t="str">
        <f ca="1">IFERROR(__xludf.DUMMYFUNCTION("""COMPUTED_VALUE"""),"Side")</f>
        <v>Side</v>
      </c>
      <c r="AA5" s="24" t="str">
        <f ca="1">IFERROR(__xludf.DUMMYFUNCTION("""COMPUTED_VALUE"""),"Strategy")</f>
        <v>Strategy</v>
      </c>
      <c r="AB5" s="24" t="str">
        <f ca="1">IFERROR(__xludf.DUMMYFUNCTION("""COMPUTED_VALUE"""),"Symbol")</f>
        <v>Symbol</v>
      </c>
      <c r="AC5" s="24" t="str">
        <f ca="1">IFERROR(__xludf.DUMMYFUNCTION("""COMPUTED_VALUE"""),"Taxlot ID")</f>
        <v>Taxlot ID</v>
      </c>
      <c r="AD5" s="24" t="str">
        <f ca="1">IFERROR(__xludf.DUMMYFUNCTION("""COMPUTED_VALUE"""),"UnderlyingName")</f>
        <v>UnderlyingName</v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18</v>
      </c>
      <c r="C6" s="27" t="s">
        <v>26</v>
      </c>
      <c r="D6" s="28"/>
      <c r="E6" s="29"/>
      <c r="F6" s="29"/>
      <c r="G6" s="30">
        <v>100</v>
      </c>
      <c r="H6" s="27" t="s">
        <v>29</v>
      </c>
      <c r="I6" s="29"/>
      <c r="J6" s="27" t="s">
        <v>30</v>
      </c>
      <c r="K6" s="27" t="s">
        <v>31</v>
      </c>
      <c r="L6" s="29"/>
      <c r="M6" s="31">
        <v>-100000</v>
      </c>
      <c r="N6" s="29"/>
      <c r="O6" s="29"/>
      <c r="P6" s="32" t="s">
        <v>32</v>
      </c>
      <c r="Q6" s="33"/>
      <c r="R6" s="32" t="s">
        <v>33</v>
      </c>
      <c r="S6" s="30">
        <v>0</v>
      </c>
      <c r="T6" s="30">
        <v>10</v>
      </c>
      <c r="U6" s="33"/>
      <c r="V6" s="32" t="s">
        <v>34</v>
      </c>
      <c r="W6" s="32" t="s">
        <v>34</v>
      </c>
      <c r="X6" s="30">
        <v>0</v>
      </c>
      <c r="Y6" s="33"/>
      <c r="Z6" s="32" t="s">
        <v>17</v>
      </c>
      <c r="AA6" s="33"/>
      <c r="AB6" s="27" t="s">
        <v>16</v>
      </c>
      <c r="AC6" s="33"/>
      <c r="AD6" s="32" t="s">
        <v>35</v>
      </c>
    </row>
    <row r="7" spans="1:154" ht="15.75" customHeight="1">
      <c r="A7" s="29"/>
      <c r="B7" s="27" t="s">
        <v>18</v>
      </c>
      <c r="C7" s="27" t="s">
        <v>26</v>
      </c>
      <c r="D7" s="33"/>
      <c r="E7" s="29"/>
      <c r="F7" s="29"/>
      <c r="G7" s="30">
        <v>200</v>
      </c>
      <c r="H7" s="27" t="s">
        <v>29</v>
      </c>
      <c r="I7" s="29"/>
      <c r="J7" s="27" t="s">
        <v>30</v>
      </c>
      <c r="K7" s="27" t="s">
        <v>31</v>
      </c>
      <c r="L7" s="29"/>
      <c r="M7" s="31">
        <v>-400000</v>
      </c>
      <c r="N7" s="29"/>
      <c r="O7" s="29"/>
      <c r="P7" s="32" t="s">
        <v>32</v>
      </c>
      <c r="Q7" s="33"/>
      <c r="R7" s="32" t="s">
        <v>33</v>
      </c>
      <c r="S7" s="30">
        <v>0</v>
      </c>
      <c r="T7" s="30">
        <v>20</v>
      </c>
      <c r="U7" s="33"/>
      <c r="V7" s="32" t="s">
        <v>34</v>
      </c>
      <c r="W7" s="32" t="s">
        <v>34</v>
      </c>
      <c r="X7" s="30">
        <v>0</v>
      </c>
      <c r="Y7" s="33"/>
      <c r="Z7" s="32" t="s">
        <v>17</v>
      </c>
      <c r="AA7" s="33"/>
      <c r="AB7" s="27" t="s">
        <v>20</v>
      </c>
      <c r="AC7" s="33"/>
      <c r="AD7" s="32" t="s">
        <v>35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24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34" t="s">
        <v>18</v>
      </c>
      <c r="C6" s="5"/>
      <c r="D6" s="35">
        <v>0</v>
      </c>
      <c r="E6" s="35">
        <v>100</v>
      </c>
      <c r="F6" s="5"/>
      <c r="G6" s="36" t="s">
        <v>26</v>
      </c>
      <c r="H6" s="35">
        <v>0</v>
      </c>
      <c r="I6" s="35">
        <v>0</v>
      </c>
      <c r="J6" s="5"/>
      <c r="K6" s="35">
        <v>0</v>
      </c>
      <c r="L6" s="35">
        <v>0</v>
      </c>
      <c r="M6" s="5"/>
      <c r="N6" s="5"/>
      <c r="O6" s="36" t="s">
        <v>39</v>
      </c>
      <c r="Q6" s="35">
        <v>3</v>
      </c>
      <c r="R6" s="35">
        <v>0</v>
      </c>
      <c r="S6" s="36" t="s">
        <v>40</v>
      </c>
      <c r="T6" s="35">
        <v>0</v>
      </c>
      <c r="U6" s="35">
        <v>0</v>
      </c>
      <c r="Z6" s="36" t="s">
        <v>32</v>
      </c>
      <c r="AE6" s="35">
        <v>100</v>
      </c>
      <c r="AI6" s="35">
        <v>1</v>
      </c>
      <c r="AT6" s="35">
        <v>100000</v>
      </c>
      <c r="AU6" s="35">
        <v>100000</v>
      </c>
      <c r="AW6" s="35">
        <v>0</v>
      </c>
      <c r="AX6" s="35">
        <v>-100000</v>
      </c>
      <c r="AY6" s="36" t="s">
        <v>41</v>
      </c>
      <c r="AZ6" s="35">
        <v>0</v>
      </c>
      <c r="BC6" s="35">
        <v>0</v>
      </c>
      <c r="BE6" s="35">
        <v>0</v>
      </c>
      <c r="BF6" s="35">
        <v>0</v>
      </c>
      <c r="BJ6" s="35">
        <v>100</v>
      </c>
      <c r="BK6" s="35">
        <v>0</v>
      </c>
      <c r="BO6" s="36" t="s">
        <v>42</v>
      </c>
      <c r="BP6" s="35">
        <v>0</v>
      </c>
      <c r="BQ6" s="35">
        <v>0</v>
      </c>
      <c r="BT6" s="36" t="s">
        <v>16</v>
      </c>
      <c r="BU6" s="35">
        <v>0</v>
      </c>
      <c r="BV6" s="35">
        <v>0</v>
      </c>
      <c r="BW6" s="35">
        <v>-100000</v>
      </c>
      <c r="BX6" s="35">
        <v>0</v>
      </c>
      <c r="CD6" s="36" t="s">
        <v>19</v>
      </c>
      <c r="CI6" s="36" t="s">
        <v>30</v>
      </c>
      <c r="CJ6" s="35">
        <v>0</v>
      </c>
    </row>
    <row r="7" spans="1:154" ht="15.75" customHeight="1">
      <c r="A7" s="5"/>
      <c r="B7" s="36" t="s">
        <v>18</v>
      </c>
      <c r="C7" s="5"/>
      <c r="D7" s="35">
        <v>0</v>
      </c>
      <c r="E7" s="35">
        <v>100</v>
      </c>
      <c r="F7" s="5"/>
      <c r="G7" s="36" t="s">
        <v>26</v>
      </c>
      <c r="H7" s="35">
        <v>0</v>
      </c>
      <c r="I7" s="35">
        <v>0</v>
      </c>
      <c r="J7" s="5"/>
      <c r="K7" s="35">
        <v>10</v>
      </c>
      <c r="L7" s="35">
        <v>10</v>
      </c>
      <c r="M7" s="5"/>
      <c r="N7" s="5"/>
      <c r="O7" s="36" t="s">
        <v>39</v>
      </c>
      <c r="Q7" s="35">
        <v>3</v>
      </c>
      <c r="R7" s="35">
        <v>0</v>
      </c>
      <c r="S7" s="36" t="s">
        <v>40</v>
      </c>
      <c r="T7" s="35">
        <v>0</v>
      </c>
      <c r="U7" s="35">
        <v>0</v>
      </c>
      <c r="Z7" s="36" t="s">
        <v>32</v>
      </c>
      <c r="AE7" s="35">
        <v>100</v>
      </c>
      <c r="AI7" s="35">
        <v>1</v>
      </c>
      <c r="AT7" s="35">
        <v>100000</v>
      </c>
      <c r="AU7" s="35">
        <v>100000</v>
      </c>
      <c r="AW7" s="35">
        <v>0</v>
      </c>
      <c r="AX7" s="35">
        <v>0</v>
      </c>
      <c r="AY7" s="36" t="s">
        <v>43</v>
      </c>
      <c r="AZ7" s="35">
        <v>0</v>
      </c>
      <c r="BC7" s="35">
        <v>0</v>
      </c>
      <c r="BE7" s="35">
        <v>100000</v>
      </c>
      <c r="BF7" s="35">
        <v>100000</v>
      </c>
      <c r="BJ7" s="35">
        <v>100</v>
      </c>
      <c r="BK7" s="35">
        <v>0</v>
      </c>
      <c r="BO7" s="36" t="s">
        <v>17</v>
      </c>
      <c r="BP7" s="35">
        <v>0</v>
      </c>
      <c r="BQ7" s="35">
        <v>0</v>
      </c>
      <c r="BT7" s="36" t="s">
        <v>16</v>
      </c>
      <c r="BU7" s="35">
        <v>0</v>
      </c>
      <c r="BV7" s="35">
        <v>0</v>
      </c>
      <c r="BW7" s="35">
        <v>0</v>
      </c>
      <c r="BX7" s="35">
        <v>0</v>
      </c>
      <c r="CD7" s="36" t="s">
        <v>19</v>
      </c>
      <c r="CI7" s="36" t="s">
        <v>17</v>
      </c>
      <c r="CJ7" s="35">
        <v>0</v>
      </c>
    </row>
    <row r="8" spans="1:154" ht="15.75" customHeight="1">
      <c r="A8" s="5"/>
      <c r="B8" s="36" t="s">
        <v>18</v>
      </c>
      <c r="C8" s="5"/>
      <c r="D8" s="35">
        <v>0</v>
      </c>
      <c r="E8" s="35">
        <v>200</v>
      </c>
      <c r="F8" s="5"/>
      <c r="G8" s="36" t="s">
        <v>26</v>
      </c>
      <c r="H8" s="35">
        <v>0</v>
      </c>
      <c r="I8" s="35">
        <v>0</v>
      </c>
      <c r="J8" s="5"/>
      <c r="K8" s="35">
        <v>20</v>
      </c>
      <c r="L8" s="35">
        <v>20</v>
      </c>
      <c r="M8" s="5"/>
      <c r="N8" s="5"/>
      <c r="O8" s="36" t="s">
        <v>39</v>
      </c>
      <c r="Q8" s="35">
        <v>3</v>
      </c>
      <c r="R8" s="35">
        <v>0</v>
      </c>
      <c r="S8" s="36" t="s">
        <v>40</v>
      </c>
      <c r="T8" s="35">
        <v>0</v>
      </c>
      <c r="U8" s="35">
        <v>0</v>
      </c>
      <c r="Z8" s="36" t="s">
        <v>32</v>
      </c>
      <c r="AE8" s="35">
        <v>200</v>
      </c>
      <c r="AI8" s="35">
        <v>1</v>
      </c>
      <c r="AT8" s="35">
        <v>400000</v>
      </c>
      <c r="AU8" s="35">
        <v>400000</v>
      </c>
      <c r="AW8" s="35">
        <v>0</v>
      </c>
      <c r="AX8" s="35">
        <v>0</v>
      </c>
      <c r="AY8" s="36" t="s">
        <v>43</v>
      </c>
      <c r="AZ8" s="35">
        <v>0</v>
      </c>
      <c r="BC8" s="35">
        <v>0</v>
      </c>
      <c r="BE8" s="35">
        <v>400000</v>
      </c>
      <c r="BF8" s="35">
        <v>400000</v>
      </c>
      <c r="BJ8" s="35">
        <v>200</v>
      </c>
      <c r="BK8" s="35">
        <v>0</v>
      </c>
      <c r="BO8" s="36" t="s">
        <v>17</v>
      </c>
      <c r="BP8" s="35">
        <v>0</v>
      </c>
      <c r="BQ8" s="35">
        <v>0</v>
      </c>
      <c r="BT8" s="36" t="s">
        <v>20</v>
      </c>
      <c r="BU8" s="35">
        <v>0</v>
      </c>
      <c r="BV8" s="35">
        <v>0</v>
      </c>
      <c r="BW8" s="35">
        <v>0</v>
      </c>
      <c r="BX8" s="35">
        <v>0</v>
      </c>
      <c r="CD8" s="36" t="s">
        <v>21</v>
      </c>
      <c r="CI8" s="36" t="s">
        <v>17</v>
      </c>
      <c r="CJ8" s="35">
        <v>0</v>
      </c>
    </row>
    <row r="9" spans="1:154" ht="15.75" customHeight="1">
      <c r="A9" s="5"/>
      <c r="B9" s="36" t="s">
        <v>18</v>
      </c>
      <c r="C9" s="5"/>
      <c r="D9" s="35">
        <v>0</v>
      </c>
      <c r="E9" s="35">
        <v>20000</v>
      </c>
      <c r="F9" s="5"/>
      <c r="G9" s="36" t="s">
        <v>44</v>
      </c>
      <c r="H9" s="35">
        <v>0</v>
      </c>
      <c r="I9" s="35">
        <v>0</v>
      </c>
      <c r="J9" s="5"/>
      <c r="K9" s="35">
        <v>95</v>
      </c>
      <c r="L9" s="35">
        <v>95</v>
      </c>
      <c r="M9" s="5"/>
      <c r="N9" s="5"/>
      <c r="O9" s="36" t="s">
        <v>39</v>
      </c>
      <c r="Q9" s="35">
        <v>3</v>
      </c>
      <c r="R9" s="35">
        <v>0</v>
      </c>
      <c r="S9" s="36" t="s">
        <v>45</v>
      </c>
      <c r="T9" s="35">
        <v>0</v>
      </c>
      <c r="U9" s="35">
        <v>0</v>
      </c>
      <c r="Z9" s="36" t="s">
        <v>32</v>
      </c>
      <c r="AE9" s="35">
        <v>20000</v>
      </c>
      <c r="AI9" s="35">
        <v>1</v>
      </c>
      <c r="AT9" s="35">
        <v>2300000</v>
      </c>
      <c r="AU9" s="35">
        <v>2300000</v>
      </c>
      <c r="AW9" s="35">
        <v>0</v>
      </c>
      <c r="AX9" s="35">
        <v>400000</v>
      </c>
      <c r="AY9" s="36" t="s">
        <v>41</v>
      </c>
      <c r="AZ9" s="35">
        <v>0</v>
      </c>
      <c r="BC9" s="35">
        <v>0</v>
      </c>
      <c r="BE9" s="35">
        <v>1900000</v>
      </c>
      <c r="BF9" s="35">
        <v>1900000</v>
      </c>
      <c r="BJ9" s="35">
        <v>20000</v>
      </c>
      <c r="BK9" s="35">
        <v>0</v>
      </c>
      <c r="BO9" s="36" t="s">
        <v>17</v>
      </c>
      <c r="BP9" s="35">
        <v>0</v>
      </c>
      <c r="BQ9" s="35">
        <v>0</v>
      </c>
      <c r="BT9" s="36" t="s">
        <v>46</v>
      </c>
      <c r="BU9" s="35">
        <v>0</v>
      </c>
      <c r="BV9" s="35">
        <v>0</v>
      </c>
      <c r="BW9" s="35">
        <v>400000</v>
      </c>
      <c r="BX9" s="35">
        <v>0</v>
      </c>
      <c r="CD9" s="36" t="s">
        <v>21</v>
      </c>
      <c r="CI9" s="36" t="s">
        <v>30</v>
      </c>
      <c r="CJ9" s="35">
        <v>0</v>
      </c>
    </row>
    <row r="10" spans="1:154" ht="15.75" customHeight="1">
      <c r="A10" s="5"/>
      <c r="B10" s="36" t="s">
        <v>18</v>
      </c>
      <c r="C10" s="5"/>
      <c r="D10" s="35">
        <v>0</v>
      </c>
      <c r="E10" s="35">
        <v>200</v>
      </c>
      <c r="F10" s="5"/>
      <c r="G10" s="36" t="s">
        <v>26</v>
      </c>
      <c r="H10" s="35">
        <v>0</v>
      </c>
      <c r="I10" s="35">
        <v>0</v>
      </c>
      <c r="J10" s="5"/>
      <c r="K10" s="35">
        <v>0</v>
      </c>
      <c r="L10" s="35">
        <v>0</v>
      </c>
      <c r="M10" s="5"/>
      <c r="N10" s="5"/>
      <c r="O10" s="36" t="s">
        <v>39</v>
      </c>
      <c r="Q10" s="35">
        <v>3</v>
      </c>
      <c r="R10" s="35">
        <v>0</v>
      </c>
      <c r="S10" s="36" t="s">
        <v>40</v>
      </c>
      <c r="T10" s="35">
        <v>0</v>
      </c>
      <c r="U10" s="35">
        <v>0</v>
      </c>
      <c r="Z10" s="36" t="s">
        <v>32</v>
      </c>
      <c r="AE10" s="35">
        <v>200</v>
      </c>
      <c r="AI10" s="35">
        <v>1</v>
      </c>
      <c r="AT10" s="35">
        <v>400000</v>
      </c>
      <c r="AU10" s="35">
        <v>400000</v>
      </c>
      <c r="AW10" s="35">
        <v>0</v>
      </c>
      <c r="AX10" s="35">
        <v>-400000</v>
      </c>
      <c r="AY10" s="36" t="s">
        <v>41</v>
      </c>
      <c r="AZ10" s="35">
        <v>0</v>
      </c>
      <c r="BC10" s="35">
        <v>0</v>
      </c>
      <c r="BE10" s="35">
        <v>0</v>
      </c>
      <c r="BF10" s="35">
        <v>0</v>
      </c>
      <c r="BJ10" s="35">
        <v>200</v>
      </c>
      <c r="BK10" s="35">
        <v>0</v>
      </c>
      <c r="BO10" s="36" t="s">
        <v>42</v>
      </c>
      <c r="BP10" s="35">
        <v>0</v>
      </c>
      <c r="BQ10" s="35">
        <v>0</v>
      </c>
      <c r="BT10" s="36" t="s">
        <v>20</v>
      </c>
      <c r="BU10" s="35">
        <v>0</v>
      </c>
      <c r="BV10" s="35">
        <v>0</v>
      </c>
      <c r="BW10" s="35">
        <v>-400000</v>
      </c>
      <c r="BX10" s="35">
        <v>0</v>
      </c>
      <c r="CD10" s="36" t="s">
        <v>21</v>
      </c>
      <c r="CI10" s="36" t="s">
        <v>30</v>
      </c>
      <c r="CJ10" s="35">
        <v>0</v>
      </c>
    </row>
    <row r="11" spans="1:154" ht="15.75" customHeight="1">
      <c r="A11" s="5"/>
      <c r="B11" s="36" t="s">
        <v>18</v>
      </c>
      <c r="C11" s="5"/>
      <c r="D11" s="35">
        <v>0</v>
      </c>
      <c r="E11" s="35">
        <v>10000</v>
      </c>
      <c r="F11" s="5"/>
      <c r="G11" s="36" t="s">
        <v>44</v>
      </c>
      <c r="H11" s="35">
        <v>0</v>
      </c>
      <c r="I11" s="35">
        <v>0</v>
      </c>
      <c r="J11" s="5"/>
      <c r="K11" s="35">
        <v>20</v>
      </c>
      <c r="L11" s="35">
        <v>20</v>
      </c>
      <c r="M11" s="5"/>
      <c r="N11" s="5"/>
      <c r="O11" s="36" t="s">
        <v>39</v>
      </c>
      <c r="Q11" s="35">
        <v>3</v>
      </c>
      <c r="R11" s="35">
        <v>0</v>
      </c>
      <c r="S11" s="36" t="s">
        <v>45</v>
      </c>
      <c r="T11" s="35">
        <v>0</v>
      </c>
      <c r="U11" s="35">
        <v>0</v>
      </c>
      <c r="Z11" s="36" t="s">
        <v>32</v>
      </c>
      <c r="AE11" s="35">
        <v>10000</v>
      </c>
      <c r="AI11" s="35">
        <v>1</v>
      </c>
      <c r="AT11" s="35">
        <v>300000</v>
      </c>
      <c r="AU11" s="35">
        <v>300000</v>
      </c>
      <c r="AW11" s="35">
        <v>0</v>
      </c>
      <c r="AX11" s="35">
        <v>100000</v>
      </c>
      <c r="AY11" s="36" t="s">
        <v>41</v>
      </c>
      <c r="AZ11" s="35">
        <v>0</v>
      </c>
      <c r="BC11" s="35">
        <v>0</v>
      </c>
      <c r="BE11" s="35">
        <v>200000</v>
      </c>
      <c r="BF11" s="35">
        <v>200000</v>
      </c>
      <c r="BJ11" s="35">
        <v>10000</v>
      </c>
      <c r="BK11" s="35">
        <v>0</v>
      </c>
      <c r="BO11" s="36" t="s">
        <v>17</v>
      </c>
      <c r="BP11" s="35">
        <v>0</v>
      </c>
      <c r="BQ11" s="35">
        <v>0</v>
      </c>
      <c r="BT11" s="36" t="s">
        <v>47</v>
      </c>
      <c r="BU11" s="35">
        <v>0</v>
      </c>
      <c r="BV11" s="35">
        <v>0</v>
      </c>
      <c r="BW11" s="35">
        <v>100000</v>
      </c>
      <c r="BX11" s="35">
        <v>0</v>
      </c>
      <c r="CD11" s="36" t="s">
        <v>19</v>
      </c>
      <c r="CI11" s="36" t="s">
        <v>30</v>
      </c>
      <c r="CJ11" s="35">
        <v>0</v>
      </c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S12" s="36"/>
      <c r="T12" s="36"/>
      <c r="U12" s="36"/>
      <c r="AI12" s="36"/>
      <c r="BE12" s="36"/>
      <c r="BF12" s="36"/>
      <c r="BJ12" s="36"/>
      <c r="BO12" s="36"/>
      <c r="CD12" s="36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AI13" s="36"/>
      <c r="BJ13" s="36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AI14" s="36"/>
      <c r="BJ14" s="36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M9" sqref="BM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48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16</v>
      </c>
      <c r="D6" s="7">
        <v>100</v>
      </c>
      <c r="E6" s="7" t="s">
        <v>18</v>
      </c>
      <c r="F6" s="5"/>
      <c r="G6" s="7">
        <v>10</v>
      </c>
      <c r="H6" s="37" t="s">
        <v>34</v>
      </c>
      <c r="I6" s="7">
        <v>0</v>
      </c>
      <c r="J6" s="5"/>
      <c r="K6" s="7">
        <v>0</v>
      </c>
      <c r="L6" s="5"/>
      <c r="M6" s="5"/>
      <c r="N6" s="38">
        <v>-100000</v>
      </c>
      <c r="O6" s="5"/>
      <c r="Q6" s="38">
        <v>-100000</v>
      </c>
      <c r="T6" s="6" t="s">
        <v>26</v>
      </c>
      <c r="U6" s="6" t="s">
        <v>35</v>
      </c>
      <c r="W6" s="6" t="s">
        <v>32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38">
        <v>-100000</v>
      </c>
      <c r="AL6" s="6">
        <v>0</v>
      </c>
      <c r="AM6" s="6">
        <v>1</v>
      </c>
      <c r="AN6" s="6" t="s">
        <v>17</v>
      </c>
      <c r="AP6" s="6" t="s">
        <v>34</v>
      </c>
      <c r="AR6" s="6">
        <v>0</v>
      </c>
      <c r="AV6" s="6">
        <v>1</v>
      </c>
      <c r="AW6" s="38">
        <v>-100000</v>
      </c>
      <c r="AX6" s="6">
        <v>0</v>
      </c>
      <c r="AY6" s="6">
        <v>0</v>
      </c>
      <c r="AZ6" s="6">
        <v>0</v>
      </c>
      <c r="BC6" s="6">
        <v>1</v>
      </c>
      <c r="BD6" s="38">
        <v>-100000</v>
      </c>
      <c r="BJ6" s="6">
        <v>0</v>
      </c>
      <c r="BK6" s="6">
        <v>0</v>
      </c>
      <c r="BL6" s="6">
        <v>0</v>
      </c>
      <c r="BM6" s="6">
        <v>0</v>
      </c>
      <c r="BO6" s="38">
        <v>-100000</v>
      </c>
      <c r="BP6" s="6">
        <v>0</v>
      </c>
      <c r="BR6" s="6" t="s">
        <v>39</v>
      </c>
      <c r="BS6" s="6">
        <v>0</v>
      </c>
      <c r="BT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8">
        <v>-100000</v>
      </c>
      <c r="CE6" s="6">
        <v>0</v>
      </c>
      <c r="CF6" s="6">
        <v>0</v>
      </c>
      <c r="CG6" s="38">
        <v>-100000</v>
      </c>
      <c r="CI6" s="6">
        <v>0</v>
      </c>
      <c r="CJ6" s="6">
        <v>0</v>
      </c>
      <c r="CW6" s="6" t="s">
        <v>19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7" ht="15.75" customHeight="1">
      <c r="A7" s="5"/>
      <c r="B7" s="5"/>
      <c r="C7" s="7" t="s">
        <v>20</v>
      </c>
      <c r="D7" s="7">
        <v>200</v>
      </c>
      <c r="E7" s="7" t="s">
        <v>18</v>
      </c>
      <c r="F7" s="5"/>
      <c r="G7" s="7">
        <v>20</v>
      </c>
      <c r="H7" s="37" t="s">
        <v>34</v>
      </c>
      <c r="I7" s="7">
        <v>0</v>
      </c>
      <c r="J7" s="5"/>
      <c r="K7" s="7">
        <v>0</v>
      </c>
      <c r="L7" s="5"/>
      <c r="M7" s="5"/>
      <c r="N7" s="38">
        <v>-400000</v>
      </c>
      <c r="O7" s="5"/>
      <c r="Q7" s="38">
        <v>-400000</v>
      </c>
      <c r="T7" s="6" t="s">
        <v>26</v>
      </c>
      <c r="U7" s="6" t="s">
        <v>35</v>
      </c>
      <c r="W7" s="6" t="s">
        <v>32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38">
        <v>-400000</v>
      </c>
      <c r="AL7" s="6">
        <v>0</v>
      </c>
      <c r="AM7" s="6">
        <v>1</v>
      </c>
      <c r="AN7" s="6" t="s">
        <v>17</v>
      </c>
      <c r="AP7" s="6" t="s">
        <v>34</v>
      </c>
      <c r="AR7" s="6">
        <v>0</v>
      </c>
      <c r="AV7" s="6">
        <v>1</v>
      </c>
      <c r="AW7" s="38">
        <v>-400000</v>
      </c>
      <c r="AX7" s="6">
        <v>0</v>
      </c>
      <c r="AY7" s="6">
        <v>0</v>
      </c>
      <c r="AZ7" s="6">
        <v>0</v>
      </c>
      <c r="BC7" s="6">
        <v>1</v>
      </c>
      <c r="BD7" s="38">
        <v>-400000</v>
      </c>
      <c r="BJ7" s="6">
        <v>0</v>
      </c>
      <c r="BK7" s="6">
        <v>0</v>
      </c>
      <c r="BL7" s="6">
        <v>0</v>
      </c>
      <c r="BM7" s="6">
        <v>0</v>
      </c>
      <c r="BO7" s="38">
        <v>-400000</v>
      </c>
      <c r="BP7" s="6">
        <v>0</v>
      </c>
      <c r="BR7" s="6" t="s">
        <v>39</v>
      </c>
      <c r="BS7" s="6">
        <v>0</v>
      </c>
      <c r="BT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8">
        <v>-400000</v>
      </c>
      <c r="CE7" s="6">
        <v>0</v>
      </c>
      <c r="CF7" s="6">
        <v>0</v>
      </c>
      <c r="CG7" s="38">
        <v>-400000</v>
      </c>
      <c r="CI7" s="6">
        <v>0</v>
      </c>
      <c r="CJ7" s="6">
        <v>0</v>
      </c>
      <c r="CW7" s="6" t="s">
        <v>21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17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7" ht="15.75" customHeight="1">
      <c r="A8" s="5"/>
      <c r="B8" s="5"/>
      <c r="C8" s="7" t="s">
        <v>16</v>
      </c>
      <c r="D8" s="7">
        <v>-100</v>
      </c>
      <c r="E8" s="7" t="s">
        <v>18</v>
      </c>
      <c r="F8" s="5"/>
      <c r="G8" s="7">
        <v>0</v>
      </c>
      <c r="H8" s="37" t="s">
        <v>34</v>
      </c>
      <c r="I8" s="7">
        <v>0</v>
      </c>
      <c r="J8" s="5"/>
      <c r="K8" s="7">
        <v>0</v>
      </c>
      <c r="L8" s="5"/>
      <c r="M8" s="5"/>
      <c r="N8" s="7">
        <v>0</v>
      </c>
      <c r="O8" s="5"/>
      <c r="Q8" s="7">
        <v>0</v>
      </c>
      <c r="T8" s="6" t="s">
        <v>26</v>
      </c>
      <c r="U8" s="6" t="s">
        <v>35</v>
      </c>
      <c r="W8" s="6" t="s">
        <v>32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7">
        <v>0</v>
      </c>
      <c r="AL8" s="6">
        <v>0</v>
      </c>
      <c r="AM8" s="6">
        <v>1</v>
      </c>
      <c r="AN8" s="6" t="s">
        <v>42</v>
      </c>
      <c r="AP8" s="6" t="s">
        <v>34</v>
      </c>
      <c r="AR8" s="6">
        <v>0</v>
      </c>
      <c r="AV8" s="6">
        <v>1</v>
      </c>
      <c r="AW8" s="7">
        <v>0</v>
      </c>
      <c r="AX8" s="6">
        <v>0</v>
      </c>
      <c r="AY8" s="6">
        <v>0</v>
      </c>
      <c r="AZ8" s="6">
        <v>0</v>
      </c>
      <c r="BC8" s="6">
        <v>1</v>
      </c>
      <c r="BD8" s="7">
        <v>0</v>
      </c>
      <c r="BJ8" s="6">
        <v>0</v>
      </c>
      <c r="BK8" s="6">
        <v>0</v>
      </c>
      <c r="BL8" s="6">
        <v>0</v>
      </c>
      <c r="BM8" s="6">
        <v>0</v>
      </c>
      <c r="BO8" s="7">
        <v>0</v>
      </c>
      <c r="BP8" s="6">
        <v>0</v>
      </c>
      <c r="BR8" s="6" t="s">
        <v>39</v>
      </c>
      <c r="BS8" s="6">
        <v>0</v>
      </c>
      <c r="BT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7">
        <v>0</v>
      </c>
      <c r="CE8" s="6">
        <v>0</v>
      </c>
      <c r="CF8" s="6">
        <v>0</v>
      </c>
      <c r="CG8" s="7">
        <v>0</v>
      </c>
      <c r="CI8" s="6">
        <v>0</v>
      </c>
      <c r="CJ8" s="6">
        <v>0</v>
      </c>
      <c r="CW8" s="6" t="s">
        <v>19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30</v>
      </c>
      <c r="DK8" s="6">
        <v>0</v>
      </c>
      <c r="DL8" s="6">
        <v>0</v>
      </c>
      <c r="DM8" s="6">
        <v>1</v>
      </c>
      <c r="DN8" s="6">
        <v>0</v>
      </c>
      <c r="EF8" s="6">
        <v>0</v>
      </c>
      <c r="EG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7" ht="15.75" customHeight="1">
      <c r="A9" s="5"/>
      <c r="B9" s="5"/>
      <c r="C9" s="7" t="s">
        <v>20</v>
      </c>
      <c r="D9" s="7">
        <v>-200</v>
      </c>
      <c r="E9" s="7" t="s">
        <v>18</v>
      </c>
      <c r="F9" s="5"/>
      <c r="G9" s="7">
        <v>0</v>
      </c>
      <c r="H9" s="37" t="s">
        <v>34</v>
      </c>
      <c r="I9" s="7">
        <v>0</v>
      </c>
      <c r="J9" s="5"/>
      <c r="K9" s="7">
        <v>0</v>
      </c>
      <c r="L9" s="5"/>
      <c r="M9" s="5"/>
      <c r="N9" s="7">
        <v>0</v>
      </c>
      <c r="O9" s="5"/>
      <c r="Q9" s="7">
        <v>0</v>
      </c>
      <c r="T9" s="6" t="s">
        <v>26</v>
      </c>
      <c r="U9" s="6" t="s">
        <v>35</v>
      </c>
      <c r="W9" s="6" t="s">
        <v>32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7">
        <v>0</v>
      </c>
      <c r="AL9" s="6">
        <v>0</v>
      </c>
      <c r="AM9" s="6">
        <v>1</v>
      </c>
      <c r="AN9" s="6" t="s">
        <v>42</v>
      </c>
      <c r="AP9" s="6" t="s">
        <v>34</v>
      </c>
      <c r="AR9" s="6">
        <v>0</v>
      </c>
      <c r="AV9" s="6">
        <v>1</v>
      </c>
      <c r="AW9" s="7">
        <v>0</v>
      </c>
      <c r="AX9" s="6">
        <v>0</v>
      </c>
      <c r="AY9" s="6">
        <v>0</v>
      </c>
      <c r="AZ9" s="6">
        <v>0</v>
      </c>
      <c r="BC9" s="6">
        <v>1</v>
      </c>
      <c r="BD9" s="7">
        <v>0</v>
      </c>
      <c r="BJ9" s="6">
        <v>0</v>
      </c>
      <c r="BK9" s="6">
        <v>0</v>
      </c>
      <c r="BL9" s="6">
        <v>0</v>
      </c>
      <c r="BM9" s="6">
        <v>0</v>
      </c>
      <c r="BO9" s="7">
        <v>0</v>
      </c>
      <c r="BP9" s="6">
        <v>0</v>
      </c>
      <c r="BR9" s="6" t="s">
        <v>39</v>
      </c>
      <c r="BS9" s="6">
        <v>0</v>
      </c>
      <c r="BT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7">
        <v>0</v>
      </c>
      <c r="CE9" s="6">
        <v>0</v>
      </c>
      <c r="CF9" s="6">
        <v>0</v>
      </c>
      <c r="CG9" s="7">
        <v>0</v>
      </c>
      <c r="CI9" s="6">
        <v>0</v>
      </c>
      <c r="CJ9" s="6">
        <v>0</v>
      </c>
      <c r="CW9" s="6" t="s">
        <v>21</v>
      </c>
      <c r="DA9" s="6">
        <v>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30</v>
      </c>
      <c r="DK9" s="6">
        <v>0</v>
      </c>
      <c r="DL9" s="6">
        <v>0</v>
      </c>
      <c r="DM9" s="6">
        <v>1</v>
      </c>
      <c r="DN9" s="6">
        <v>0</v>
      </c>
      <c r="EF9" s="6">
        <v>0</v>
      </c>
      <c r="EG9" s="6">
        <v>0</v>
      </c>
      <c r="EJ9" s="6">
        <v>0</v>
      </c>
      <c r="EK9" s="6">
        <v>0</v>
      </c>
      <c r="EM9" s="6">
        <v>0</v>
      </c>
      <c r="EN9" s="6">
        <v>0</v>
      </c>
      <c r="EO9" s="6">
        <v>0</v>
      </c>
    </row>
    <row r="10" spans="1:167" ht="15.75" customHeight="1">
      <c r="A10" s="5"/>
      <c r="B10" s="5"/>
      <c r="C10" s="7" t="s">
        <v>46</v>
      </c>
      <c r="D10" s="38">
        <v>20000</v>
      </c>
      <c r="E10" s="7" t="s">
        <v>18</v>
      </c>
      <c r="F10" s="5"/>
      <c r="G10" s="7">
        <v>95</v>
      </c>
      <c r="H10" s="37" t="s">
        <v>34</v>
      </c>
      <c r="I10" s="7">
        <v>0</v>
      </c>
      <c r="J10" s="5"/>
      <c r="K10" s="7">
        <v>0</v>
      </c>
      <c r="L10" s="5"/>
      <c r="M10" s="5"/>
      <c r="N10" s="38">
        <v>-1900000</v>
      </c>
      <c r="O10" s="5"/>
      <c r="Q10" s="38">
        <v>-1900000</v>
      </c>
      <c r="T10" s="6" t="s">
        <v>44</v>
      </c>
      <c r="U10" s="6" t="s">
        <v>35</v>
      </c>
      <c r="W10" s="6" t="s">
        <v>32</v>
      </c>
      <c r="Y10" s="6">
        <v>1</v>
      </c>
      <c r="AB10" s="6">
        <v>0</v>
      </c>
      <c r="AC10" s="6">
        <v>0</v>
      </c>
      <c r="AD10" s="6">
        <v>0</v>
      </c>
      <c r="AE10" s="6">
        <v>0</v>
      </c>
      <c r="AF10" s="39">
        <v>20000</v>
      </c>
      <c r="AG10" s="6">
        <v>0</v>
      </c>
      <c r="AH10" s="6">
        <v>0</v>
      </c>
      <c r="AI10" s="6">
        <v>0</v>
      </c>
      <c r="AJ10" s="6">
        <v>0</v>
      </c>
      <c r="AK10" s="38">
        <v>-1900000</v>
      </c>
      <c r="AL10" s="6">
        <v>1</v>
      </c>
      <c r="AM10" s="6">
        <v>1</v>
      </c>
      <c r="AN10" s="6" t="s">
        <v>17</v>
      </c>
      <c r="AP10" s="6" t="s">
        <v>34</v>
      </c>
      <c r="AR10" s="6">
        <v>0</v>
      </c>
      <c r="AV10" s="6">
        <v>1</v>
      </c>
      <c r="AW10" s="38">
        <v>-1900000</v>
      </c>
      <c r="AX10" s="6">
        <v>0</v>
      </c>
      <c r="AY10" s="6">
        <v>0</v>
      </c>
      <c r="AZ10" s="6">
        <v>0</v>
      </c>
      <c r="BC10" s="6">
        <v>1</v>
      </c>
      <c r="BD10" s="38">
        <v>-1900000</v>
      </c>
      <c r="BJ10" s="6">
        <v>0</v>
      </c>
      <c r="BK10" s="6">
        <v>0</v>
      </c>
      <c r="BL10" s="6">
        <v>0</v>
      </c>
      <c r="BM10" s="6">
        <v>0</v>
      </c>
      <c r="BO10" s="38">
        <v>-1900000</v>
      </c>
      <c r="BP10" s="6">
        <v>0</v>
      </c>
      <c r="BR10" s="6" t="s">
        <v>39</v>
      </c>
      <c r="BS10" s="6">
        <v>0</v>
      </c>
      <c r="BT10" s="6">
        <v>0</v>
      </c>
      <c r="BX10" s="6">
        <v>0</v>
      </c>
      <c r="BY10" s="6">
        <v>0</v>
      </c>
      <c r="BZ10" s="6">
        <v>0</v>
      </c>
      <c r="CA10" s="6">
        <v>0</v>
      </c>
      <c r="CC10" s="6">
        <v>0</v>
      </c>
      <c r="CD10" s="38">
        <v>-1900000</v>
      </c>
      <c r="CE10" s="6">
        <v>0</v>
      </c>
      <c r="CF10" s="6">
        <v>0</v>
      </c>
      <c r="CG10" s="38">
        <v>-1900000</v>
      </c>
      <c r="CI10" s="6">
        <v>0</v>
      </c>
      <c r="CJ10" s="6">
        <v>0</v>
      </c>
      <c r="CW10" s="6" t="s">
        <v>21</v>
      </c>
      <c r="DA10" s="6">
        <v>0</v>
      </c>
      <c r="DB10" s="6">
        <v>0</v>
      </c>
      <c r="DE10" s="6">
        <v>0</v>
      </c>
      <c r="DF10" s="6">
        <v>0</v>
      </c>
      <c r="DG10" s="6">
        <v>0</v>
      </c>
      <c r="DI10" s="6">
        <v>0</v>
      </c>
      <c r="DJ10" s="6" t="s">
        <v>30</v>
      </c>
      <c r="DK10" s="6">
        <v>0</v>
      </c>
      <c r="DL10" s="6">
        <v>0</v>
      </c>
      <c r="DM10" s="6">
        <v>1</v>
      </c>
      <c r="DN10" s="6">
        <v>0</v>
      </c>
      <c r="EF10" s="6">
        <v>0</v>
      </c>
      <c r="EG10" s="6">
        <v>0</v>
      </c>
      <c r="EJ10" s="6">
        <v>0</v>
      </c>
      <c r="EK10" s="6">
        <v>0</v>
      </c>
      <c r="EM10" s="6">
        <v>0</v>
      </c>
      <c r="EN10" s="6">
        <v>0</v>
      </c>
      <c r="EO10" s="6">
        <v>0</v>
      </c>
    </row>
    <row r="11" spans="1:167" ht="15.75" customHeight="1">
      <c r="A11" s="5"/>
      <c r="B11" s="5"/>
      <c r="C11" s="7" t="s">
        <v>47</v>
      </c>
      <c r="D11" s="38">
        <v>10000</v>
      </c>
      <c r="E11" s="7" t="s">
        <v>18</v>
      </c>
      <c r="F11" s="5"/>
      <c r="G11" s="7">
        <v>20</v>
      </c>
      <c r="H11" s="37" t="s">
        <v>34</v>
      </c>
      <c r="I11" s="7">
        <v>0</v>
      </c>
      <c r="J11" s="5"/>
      <c r="K11" s="7">
        <v>0</v>
      </c>
      <c r="L11" s="5"/>
      <c r="M11" s="5"/>
      <c r="N11" s="38">
        <v>-200000</v>
      </c>
      <c r="O11" s="5"/>
      <c r="Q11" s="38">
        <v>-200000</v>
      </c>
      <c r="T11" s="6" t="s">
        <v>44</v>
      </c>
      <c r="U11" s="6" t="s">
        <v>35</v>
      </c>
      <c r="W11" s="6" t="s">
        <v>32</v>
      </c>
      <c r="Y11" s="6">
        <v>1</v>
      </c>
      <c r="AB11" s="6">
        <v>0</v>
      </c>
      <c r="AC11" s="6">
        <v>0</v>
      </c>
      <c r="AD11" s="6">
        <v>0</v>
      </c>
      <c r="AE11" s="6">
        <v>0</v>
      </c>
      <c r="AF11" s="39">
        <v>10000</v>
      </c>
      <c r="AG11" s="6">
        <v>0</v>
      </c>
      <c r="AH11" s="6">
        <v>0</v>
      </c>
      <c r="AI11" s="6">
        <v>0</v>
      </c>
      <c r="AJ11" s="6">
        <v>0</v>
      </c>
      <c r="AK11" s="38">
        <v>-200000</v>
      </c>
      <c r="AL11" s="6">
        <v>1</v>
      </c>
      <c r="AM11" s="6">
        <v>1</v>
      </c>
      <c r="AN11" s="6" t="s">
        <v>17</v>
      </c>
      <c r="AP11" s="6" t="s">
        <v>34</v>
      </c>
      <c r="AR11" s="6">
        <v>0</v>
      </c>
      <c r="AV11" s="6">
        <v>1</v>
      </c>
      <c r="AW11" s="38">
        <v>-200000</v>
      </c>
      <c r="AX11" s="6">
        <v>0</v>
      </c>
      <c r="AY11" s="6">
        <v>0</v>
      </c>
      <c r="AZ11" s="6">
        <v>0</v>
      </c>
      <c r="BC11" s="6">
        <v>1</v>
      </c>
      <c r="BD11" s="38">
        <v>-200000</v>
      </c>
      <c r="BJ11" s="6">
        <v>0</v>
      </c>
      <c r="BK11" s="6">
        <v>0</v>
      </c>
      <c r="BL11" s="6">
        <v>0</v>
      </c>
      <c r="BM11" s="6">
        <v>0</v>
      </c>
      <c r="BO11" s="38">
        <v>-200000</v>
      </c>
      <c r="BP11" s="6">
        <v>0</v>
      </c>
      <c r="BR11" s="6" t="s">
        <v>39</v>
      </c>
      <c r="BS11" s="6">
        <v>0</v>
      </c>
      <c r="BT11" s="6">
        <v>0</v>
      </c>
      <c r="BX11" s="6">
        <v>0</v>
      </c>
      <c r="BY11" s="6">
        <v>0</v>
      </c>
      <c r="BZ11" s="6">
        <v>0</v>
      </c>
      <c r="CA11" s="6">
        <v>0</v>
      </c>
      <c r="CC11" s="6">
        <v>0</v>
      </c>
      <c r="CD11" s="38">
        <v>-200000</v>
      </c>
      <c r="CE11" s="6">
        <v>0</v>
      </c>
      <c r="CF11" s="6">
        <v>0</v>
      </c>
      <c r="CG11" s="38">
        <v>-200000</v>
      </c>
      <c r="CI11" s="6">
        <v>0</v>
      </c>
      <c r="CJ11" s="6">
        <v>0</v>
      </c>
      <c r="CW11" s="6" t="s">
        <v>19</v>
      </c>
      <c r="DA11" s="6">
        <v>0</v>
      </c>
      <c r="DB11" s="6">
        <v>0</v>
      </c>
      <c r="DE11" s="6">
        <v>0</v>
      </c>
      <c r="DF11" s="6">
        <v>0</v>
      </c>
      <c r="DG11" s="6">
        <v>0</v>
      </c>
      <c r="DI11" s="6">
        <v>0</v>
      </c>
      <c r="DJ11" s="6" t="s">
        <v>30</v>
      </c>
      <c r="DK11" s="6">
        <v>0</v>
      </c>
      <c r="DL11" s="6">
        <v>0</v>
      </c>
      <c r="DM11" s="6">
        <v>1</v>
      </c>
      <c r="DN11" s="6">
        <v>0</v>
      </c>
      <c r="EF11" s="6">
        <v>0</v>
      </c>
      <c r="EG11" s="6">
        <v>0</v>
      </c>
      <c r="EJ11" s="6">
        <v>0</v>
      </c>
      <c r="EK11" s="6">
        <v>0</v>
      </c>
      <c r="EM11" s="6">
        <v>0</v>
      </c>
      <c r="EN11" s="6">
        <v>0</v>
      </c>
      <c r="EO11" s="6">
        <v>0</v>
      </c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GetDataClosing</vt:lpstr>
      <vt:lpstr>SelectTradeUnexpiredUnsettled</vt:lpstr>
      <vt:lpstr>ExerciseAssignment</vt:lpstr>
      <vt:lpstr>VerifyExpiredSettledGrid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2021-08-04T10:18:21Z</dcterms:modified>
</cp:coreProperties>
</file>