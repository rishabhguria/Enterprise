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DataClosing" sheetId="6" r:id="rId8"/>
    <sheet state="visible" name="SelectTradeUnexpiredUnsettled" sheetId="7" r:id="rId9"/>
    <sheet state="visible" name="ExerciseAssignment" sheetId="8" r:id="rId10"/>
    <sheet state="visible" name="VerifyExpiredSettledGrid" sheetId="9" r:id="rId11"/>
    <sheet state="visible" name="CheckAllocatedGroups" sheetId="10" r:id="rId12"/>
    <sheet state="visible" name="UnWindTradeSettlement" sheetId="11" r:id="rId13"/>
    <sheet state="visible" name="GetDataAllocation" sheetId="12" r:id="rId14"/>
    <sheet state="visible" name="SetClosingPreference1" sheetId="13" r:id="rId15"/>
  </sheets>
  <definedNames/>
  <calcPr/>
</workbook>
</file>

<file path=xl/sharedStrings.xml><?xml version="1.0" encoding="utf-8"?>
<sst xmlns="http://schemas.openxmlformats.org/spreadsheetml/2006/main" count="121" uniqueCount="45">
  <si>
    <t>Modules Info</t>
  </si>
  <si>
    <t>Modules</t>
  </si>
  <si>
    <t>Settings</t>
  </si>
  <si>
    <t>Module Step Setting File</t>
  </si>
  <si>
    <t>1zLC2_XjbohxbVZGZgSebGI80QC6jvANPsgOkkJYVWcM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</si>
  <si>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</si>
  <si>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</si>
  <si>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</si>
  <si>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</si>
  <si>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</si>
  <si>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</si>
  <si>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</si>
  <si>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</si>
  <si>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</si>
  <si>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</si>
  <si>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</si>
  <si>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</si>
  <si>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</si>
  <si>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O:ABM 10D20.00</t>
  </si>
  <si>
    <t>Buy to Open</t>
  </si>
  <si>
    <t>Allocation1</t>
  </si>
  <si>
    <t>Flat Amount</t>
  </si>
  <si>
    <t>GetDataClosing</t>
  </si>
  <si>
    <t>Current</t>
  </si>
  <si>
    <t>SelectTradeUnexpiredUnsettled</t>
  </si>
  <si>
    <t>EquityOption</t>
  </si>
  <si>
    <t>ExerciseAssignment</t>
  </si>
  <si>
    <t>02/01/2020</t>
  </si>
  <si>
    <t>ABM</t>
  </si>
  <si>
    <t>VerifyExpiredSettledGrid</t>
  </si>
  <si>
    <t>NONE</t>
  </si>
  <si>
    <t>Exercise</t>
  </si>
  <si>
    <t>Short</t>
  </si>
  <si>
    <t>USD</t>
  </si>
  <si>
    <t>OPTS</t>
  </si>
  <si>
    <t>Long</t>
  </si>
  <si>
    <t xml:space="preserve"> O:ABM 10D20.00</t>
  </si>
  <si>
    <t>Allocation</t>
  </si>
  <si>
    <t>CheckAllocatedGroups</t>
  </si>
  <si>
    <t>Closed</t>
  </si>
  <si>
    <t>Open</t>
  </si>
  <si>
    <t>Buy</t>
  </si>
  <si>
    <t>Sell to Close</t>
  </si>
  <si>
    <t>UnWindTradeSettlement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</si>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</sst>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5" fillId="0" fontId="3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readingOrder="0" shrinkToFit="0" vertical="bottom" wrapText="0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30.5"/>
    <col customWidth="1" min="11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 t="str">
        <f>IFERROR(__xludf.DUMMYFUNCTION("""COMPUTED_VALUE"""),"Auto Option Excercise Value")</f>
        <v>Auto Option Excercise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11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/>
      <c r="F6" s="33" t="s">
        <v>20</v>
      </c>
      <c r="G6" s="35"/>
      <c r="H6" s="35"/>
      <c r="I6" s="35"/>
      <c r="J6" s="36">
        <v>10.0</v>
      </c>
      <c r="K6" s="35"/>
      <c r="L6" s="35"/>
      <c r="M6" s="35"/>
      <c r="N6" s="37">
        <f>Today()</f>
        <v>45840</v>
      </c>
      <c r="O6" s="35"/>
      <c r="P6" s="35"/>
      <c r="Q6" s="35"/>
      <c r="R6" s="38" t="s">
        <v>21</v>
      </c>
      <c r="S6" s="38">
        <v>50.0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/>
      <c r="D6" s="40"/>
      <c r="E6" s="33" t="s">
        <v>25</v>
      </c>
      <c r="F6" s="35"/>
      <c r="G6" s="35"/>
      <c r="H6" s="35"/>
      <c r="I6" s="3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41" t="s">
        <v>18</v>
      </c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7.13"/>
    <col customWidth="1" min="40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/>
      <c r="D6" s="40"/>
      <c r="E6" s="35"/>
      <c r="F6" s="35"/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42"/>
      <c r="T6" s="43"/>
      <c r="U6" s="43" t="s">
        <v>27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4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45" t="s">
        <v>28</v>
      </c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3" width="12.63"/>
    <col customWidth="1" min="24" max="24" width="25.5"/>
    <col customWidth="1" min="2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25</v>
      </c>
      <c r="D6" s="40"/>
      <c r="E6" s="35"/>
      <c r="F6" s="35"/>
      <c r="G6" s="38">
        <v>100.0</v>
      </c>
      <c r="H6" s="38" t="s">
        <v>30</v>
      </c>
      <c r="I6" s="35"/>
      <c r="J6" s="38" t="s">
        <v>31</v>
      </c>
      <c r="K6" s="38" t="s">
        <v>32</v>
      </c>
      <c r="L6" s="35"/>
      <c r="M6" s="9">
        <v>-100050.0</v>
      </c>
      <c r="N6" s="35"/>
      <c r="O6" s="38">
        <v>-100000.0</v>
      </c>
      <c r="P6" s="38" t="s">
        <v>33</v>
      </c>
      <c r="Q6" s="35"/>
      <c r="R6" s="38" t="s">
        <v>34</v>
      </c>
      <c r="S6" s="38">
        <v>0.0</v>
      </c>
      <c r="T6" s="44">
        <v>10.0</v>
      </c>
      <c r="U6" s="39"/>
      <c r="V6" s="39" t="s">
        <v>35</v>
      </c>
      <c r="W6" s="44" t="s">
        <v>35</v>
      </c>
      <c r="X6" s="44">
        <v>50.0</v>
      </c>
      <c r="Y6" s="39"/>
      <c r="Z6" s="39" t="s">
        <v>19</v>
      </c>
      <c r="AA6" s="39"/>
      <c r="AB6" s="41" t="s">
        <v>36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/>
      <c r="D6" s="40"/>
      <c r="E6" s="36">
        <v>100.0</v>
      </c>
      <c r="F6" s="35"/>
      <c r="G6" s="35"/>
      <c r="H6" s="35"/>
      <c r="I6" s="46"/>
      <c r="J6" s="35"/>
      <c r="K6" s="35"/>
      <c r="L6" s="35"/>
      <c r="M6" s="35"/>
      <c r="N6" s="35"/>
      <c r="O6" s="35"/>
      <c r="P6" s="35"/>
      <c r="Q6" s="35"/>
      <c r="R6" s="35"/>
      <c r="S6" s="35" t="s">
        <v>39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7">
        <v>100.0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4">
        <v>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47">
        <v>100.0</v>
      </c>
      <c r="BK6" s="39"/>
      <c r="BL6" s="39"/>
      <c r="BM6" s="39"/>
      <c r="BN6" s="39"/>
      <c r="BO6" s="39" t="s">
        <v>19</v>
      </c>
      <c r="BP6" s="39"/>
      <c r="BQ6" s="39"/>
      <c r="BR6" s="39"/>
      <c r="BS6" s="39"/>
      <c r="BT6" s="48" t="s">
        <v>18</v>
      </c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 t="s">
        <v>20</v>
      </c>
      <c r="C7" s="8"/>
      <c r="D7" s="8"/>
      <c r="E7" s="11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S7" s="9" t="s">
        <v>40</v>
      </c>
      <c r="AE7" s="9">
        <v>10000.0</v>
      </c>
      <c r="AT7" s="9"/>
      <c r="AU7" s="9"/>
      <c r="AX7" s="9">
        <v>100050.0</v>
      </c>
      <c r="BJ7" s="9">
        <v>10000.0</v>
      </c>
      <c r="BO7" s="9" t="s">
        <v>41</v>
      </c>
      <c r="BT7" s="9" t="s">
        <v>28</v>
      </c>
    </row>
    <row r="8" ht="15.75" customHeight="1">
      <c r="A8" s="8"/>
      <c r="B8" s="8" t="s">
        <v>20</v>
      </c>
      <c r="C8" s="8"/>
      <c r="D8" s="8"/>
      <c r="E8" s="8">
        <v>100.0</v>
      </c>
      <c r="F8" s="8"/>
      <c r="G8" s="8"/>
      <c r="H8" s="8"/>
      <c r="I8" s="8"/>
      <c r="J8" s="8"/>
      <c r="K8" s="8"/>
      <c r="L8" s="8"/>
      <c r="M8" s="8"/>
      <c r="N8" s="8"/>
      <c r="O8" s="8"/>
      <c r="S8" t="s">
        <v>39</v>
      </c>
      <c r="AE8">
        <v>100.0</v>
      </c>
      <c r="AX8" s="9">
        <v>-100050.0</v>
      </c>
      <c r="BJ8">
        <v>100.0</v>
      </c>
      <c r="BO8" s="9" t="s">
        <v>42</v>
      </c>
      <c r="BT8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25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 t="s">
        <v>35</v>
      </c>
      <c r="W6" s="39"/>
      <c r="X6" s="39"/>
      <c r="Y6" s="39" t="s">
        <v>19</v>
      </c>
      <c r="Z6" s="39"/>
      <c r="AA6" s="41" t="s">
        <v>36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38.13"/>
    <col customWidth="1" min="11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 t="str">
        <f>IFERROR(__xludf.DUMMYFUNCTION("""COMPUTED_VALUE"""),"Auto Option Excercise Value")</f>
        <v>Auto Option Excercise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11" t="b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