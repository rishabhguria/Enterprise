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<sst xmlns="http://schemas.openxmlformats.org/spreadsheetml/2006/main" count="200" uniqueCount="56">
  <si>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</si>
  <si>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</si>
  <si>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</si>
  <si>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</si>
  <si>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</si>
  <si>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</si>
  <si>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</si>
  <si>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</si>
  <si>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</si>
  <si>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</si>
  <si>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</si>
  <si>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</si>
  <si>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</si>
  <si>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</si>
  <si>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</si>
  <si>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</si>
  <si>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</si>
  <si>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</si>
  <si>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</si>
  <si>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</si>
  <si>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</si>
  <si>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</si>
  <si>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</si>
  <si>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</si>
  <si>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Allocation1</t>
  </si>
  <si>
    <t>Sell short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</si>
  <si>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</si>
  <si>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</si>
  <si>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</si>
  <si>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</si>
  <si>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</si>
  <si>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</si>
  <si>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</si>
  <si>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</si>
  <si>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</si>
  <si>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</si>
  <si>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</si>
  <si>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</si>
  <si>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</si>
  <si>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</si>
  <si>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</si>
  <si>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</si>
  <si>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</si>
  <si>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</si>
  <si>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</si>
  <si>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</si>
  <si>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</si>
  <si>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</si>
  <si>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MS</t>
  </si>
  <si>
    <t>Sell</t>
  </si>
  <si>
    <t>Buy to Close</t>
  </si>
  <si>
    <t>PortfolioManagement</t>
  </si>
  <si>
    <t>CheckPortfolioManagement</t>
  </si>
  <si>
    <t>NewMF1</t>
  </si>
  <si>
    <t>Equity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</si>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</sst>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14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11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</f>
        <v>44984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21</v>
      </c>
      <c r="C6" s="36" t="s">
        <v>22</v>
      </c>
      <c r="D6" s="39">
        <v>10.0</v>
      </c>
      <c r="E6" s="40">
        <v>10.0</v>
      </c>
      <c r="F6" s="36" t="s">
        <v>23</v>
      </c>
      <c r="G6" s="36"/>
      <c r="H6" s="36"/>
      <c r="I6" s="36"/>
      <c r="J6" s="40">
        <v>1.0</v>
      </c>
      <c r="K6" s="36"/>
      <c r="L6" s="36"/>
      <c r="M6" s="36"/>
      <c r="N6" s="32">
        <f>today()-1</f>
        <v>44984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41"/>
      <c r="B7" s="42" t="s">
        <v>21</v>
      </c>
      <c r="C7" s="42" t="s">
        <v>22</v>
      </c>
      <c r="D7" s="43">
        <v>100.0</v>
      </c>
      <c r="E7" s="43">
        <v>100.0</v>
      </c>
      <c r="F7" s="42" t="s">
        <v>24</v>
      </c>
      <c r="G7" s="42"/>
      <c r="H7" s="42"/>
      <c r="I7" s="42"/>
      <c r="J7" s="43">
        <v>10.0</v>
      </c>
      <c r="K7" s="42"/>
      <c r="L7" s="42"/>
      <c r="M7" s="42"/>
      <c r="N7" s="44">
        <f t="shared" ref="N7:N8" si="1">today()</f>
        <v>44985</v>
      </c>
      <c r="O7" s="42"/>
      <c r="P7" s="42"/>
      <c r="Q7" s="42"/>
      <c r="R7" s="42"/>
      <c r="S7" s="42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41"/>
      <c r="B8" s="42" t="s">
        <v>21</v>
      </c>
      <c r="C8" s="45" t="s">
        <v>25</v>
      </c>
      <c r="D8" s="43">
        <v>50.0</v>
      </c>
      <c r="E8" s="43">
        <v>50.0</v>
      </c>
      <c r="F8" s="42" t="s">
        <v>24</v>
      </c>
      <c r="G8" s="42"/>
      <c r="H8" s="42"/>
      <c r="I8" s="42"/>
      <c r="J8" s="43">
        <v>10.0</v>
      </c>
      <c r="K8" s="42"/>
      <c r="L8" s="42"/>
      <c r="M8" s="42"/>
      <c r="N8" s="44">
        <f t="shared" si="1"/>
        <v>44985</v>
      </c>
      <c r="O8" s="42"/>
      <c r="P8" s="42"/>
      <c r="Q8" s="42"/>
      <c r="R8" s="42"/>
      <c r="S8" s="42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46"/>
      <c r="B9" s="47" t="s">
        <v>16</v>
      </c>
      <c r="C9" s="48" t="s">
        <v>26</v>
      </c>
      <c r="D9" s="49">
        <v>10.0</v>
      </c>
      <c r="E9" s="49">
        <v>10.0</v>
      </c>
      <c r="F9" s="46" t="s">
        <v>24</v>
      </c>
      <c r="G9" s="46"/>
      <c r="H9" s="46"/>
      <c r="I9" s="46"/>
      <c r="J9" s="49">
        <v>10.0</v>
      </c>
      <c r="K9" s="46"/>
      <c r="L9" s="46"/>
      <c r="M9" s="46"/>
      <c r="N9" s="50">
        <f>today()-1</f>
        <v>44984</v>
      </c>
      <c r="O9" s="46"/>
      <c r="P9" s="46"/>
      <c r="Q9" s="46"/>
      <c r="R9" s="46"/>
      <c r="S9" s="46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>
        <f>today()-1</f>
        <v>44984</v>
      </c>
      <c r="C6" s="32">
        <f>today()</f>
        <v>44985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21</v>
      </c>
      <c r="C6" s="40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21</v>
      </c>
      <c r="C6" s="54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32</v>
      </c>
      <c r="C6" s="55" t="s">
        <v>33</v>
      </c>
      <c r="D6" s="32">
        <f>today()</f>
        <v>44985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56"/>
      <c r="B6" s="35" t="s">
        <v>24</v>
      </c>
      <c r="C6" s="36"/>
      <c r="D6" s="35"/>
      <c r="E6" s="36" t="s">
        <v>35</v>
      </c>
      <c r="F6" s="36"/>
      <c r="G6" s="36"/>
      <c r="H6" s="36"/>
      <c r="I6" s="40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57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26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57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47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24</v>
      </c>
      <c r="C6" s="36" t="s">
        <v>35</v>
      </c>
      <c r="D6" s="35"/>
      <c r="E6" s="36"/>
      <c r="F6" s="40">
        <v>0.0</v>
      </c>
      <c r="G6" s="40">
        <v>10.0</v>
      </c>
      <c r="H6" s="36"/>
      <c r="I6" s="36"/>
      <c r="J6" s="58" t="s">
        <v>38</v>
      </c>
      <c r="K6" s="36" t="s">
        <v>39</v>
      </c>
      <c r="L6" s="36"/>
      <c r="M6" s="40">
        <v>10000.0</v>
      </c>
      <c r="N6" s="36"/>
      <c r="O6" s="40">
        <v>10000.0</v>
      </c>
      <c r="P6" s="36" t="s">
        <v>40</v>
      </c>
      <c r="Q6" s="36"/>
      <c r="R6" s="36" t="s">
        <v>41</v>
      </c>
      <c r="S6" s="59">
        <v>0.0</v>
      </c>
      <c r="T6" s="57">
        <v>10.0</v>
      </c>
      <c r="U6" s="38"/>
      <c r="V6" s="38" t="s">
        <v>42</v>
      </c>
      <c r="W6" s="38" t="s">
        <v>42</v>
      </c>
      <c r="X6" s="57">
        <v>0.0</v>
      </c>
      <c r="Y6" s="57">
        <v>0.0</v>
      </c>
      <c r="Z6" s="60" t="s">
        <v>26</v>
      </c>
      <c r="AA6" s="38" t="s">
        <v>43</v>
      </c>
      <c r="AB6" s="47" t="s">
        <v>16</v>
      </c>
      <c r="AC6" s="38"/>
      <c r="AD6" s="38" t="s">
        <v>44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32</v>
      </c>
      <c r="C6" s="55" t="s">
        <v>33</v>
      </c>
      <c r="D6" s="32">
        <f>today()</f>
        <v>44985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61" t="s">
        <v>24</v>
      </c>
      <c r="C6" s="38"/>
      <c r="D6" s="53"/>
      <c r="E6" s="62">
        <v>100.0</v>
      </c>
      <c r="F6" s="38"/>
      <c r="G6" s="38"/>
      <c r="H6" s="38"/>
      <c r="I6" s="38"/>
      <c r="J6" s="38"/>
      <c r="K6" s="62">
        <v>10.0</v>
      </c>
      <c r="L6" s="62">
        <v>10.0</v>
      </c>
      <c r="M6" s="38"/>
      <c r="N6" s="38"/>
      <c r="O6" s="63" t="s">
        <v>48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62">
        <v>100.0</v>
      </c>
      <c r="BK6" s="38"/>
      <c r="BL6" s="38"/>
      <c r="BM6" s="38"/>
      <c r="BN6" s="38"/>
      <c r="BO6" s="61" t="s">
        <v>22</v>
      </c>
      <c r="BP6" s="38"/>
      <c r="BQ6" s="38"/>
      <c r="BR6" s="38"/>
      <c r="BS6" s="38"/>
      <c r="BT6" s="61" t="s">
        <v>21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61" t="s">
        <v>24</v>
      </c>
      <c r="C7" s="38"/>
      <c r="D7" s="38"/>
      <c r="E7" s="62">
        <v>50.0</v>
      </c>
      <c r="F7" s="38"/>
      <c r="G7" s="38"/>
      <c r="H7" s="38"/>
      <c r="I7" s="38"/>
      <c r="J7" s="38"/>
      <c r="K7" s="62">
        <v>10.0</v>
      </c>
      <c r="L7" s="62">
        <v>10.0</v>
      </c>
      <c r="M7" s="38"/>
      <c r="N7" s="38"/>
      <c r="O7" s="63" t="s">
        <v>48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62">
        <v>50.0</v>
      </c>
      <c r="BK7" s="38"/>
      <c r="BL7" s="38"/>
      <c r="BM7" s="38"/>
      <c r="BN7" s="38"/>
      <c r="BO7" s="61" t="s">
        <v>25</v>
      </c>
      <c r="BP7" s="38"/>
      <c r="BQ7" s="38"/>
      <c r="BR7" s="38"/>
      <c r="BS7" s="38"/>
      <c r="BT7" s="61" t="s">
        <v>21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61" t="s">
        <v>23</v>
      </c>
      <c r="C8" s="38"/>
      <c r="D8" s="38"/>
      <c r="E8" s="62">
        <v>10.0</v>
      </c>
      <c r="F8" s="38"/>
      <c r="G8" s="38"/>
      <c r="H8" s="38"/>
      <c r="I8" s="38"/>
      <c r="J8" s="38"/>
      <c r="K8" s="62">
        <v>1.0</v>
      </c>
      <c r="L8" s="62">
        <v>1.0</v>
      </c>
      <c r="M8" s="38"/>
      <c r="N8" s="38"/>
      <c r="O8" s="63" t="s">
        <v>48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62">
        <v>10.0</v>
      </c>
      <c r="BK8" s="38"/>
      <c r="BL8" s="38"/>
      <c r="BM8" s="38"/>
      <c r="BN8" s="38"/>
      <c r="BO8" s="61" t="s">
        <v>22</v>
      </c>
      <c r="BP8" s="38"/>
      <c r="BQ8" s="38"/>
      <c r="BR8" s="38"/>
      <c r="BS8" s="38"/>
      <c r="BT8" s="61" t="s">
        <v>21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61" t="s">
        <v>24</v>
      </c>
      <c r="C9" s="38"/>
      <c r="D9" s="38"/>
      <c r="E9" s="62">
        <v>10.0</v>
      </c>
      <c r="F9" s="38"/>
      <c r="G9" s="38"/>
      <c r="H9" s="38"/>
      <c r="I9" s="38"/>
      <c r="J9" s="38"/>
      <c r="K9" s="62">
        <v>10.0</v>
      </c>
      <c r="L9" s="62">
        <v>10.0</v>
      </c>
      <c r="M9" s="38"/>
      <c r="N9" s="38"/>
      <c r="O9" s="63" t="s">
        <v>48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62">
        <v>10.0</v>
      </c>
      <c r="BK9" s="38"/>
      <c r="BL9" s="38"/>
      <c r="BM9" s="38"/>
      <c r="BN9" s="38"/>
      <c r="BO9" s="61" t="s">
        <v>26</v>
      </c>
      <c r="BP9" s="38"/>
      <c r="BQ9" s="38"/>
      <c r="BR9" s="38"/>
      <c r="BS9" s="38"/>
      <c r="BT9" s="61" t="s">
        <v>16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61" t="s">
        <v>24</v>
      </c>
      <c r="C10" s="38"/>
      <c r="D10" s="38"/>
      <c r="E10" s="62">
        <v>100.0</v>
      </c>
      <c r="F10" s="38"/>
      <c r="G10" s="38"/>
      <c r="H10" s="38"/>
      <c r="I10" s="38"/>
      <c r="J10" s="38"/>
      <c r="K10" s="62">
        <v>100.0</v>
      </c>
      <c r="L10" s="62">
        <v>100.0</v>
      </c>
      <c r="M10" s="38"/>
      <c r="N10" s="38"/>
      <c r="O10" s="63" t="s">
        <v>48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62">
        <v>100.0</v>
      </c>
      <c r="BK10" s="38"/>
      <c r="BL10" s="38"/>
      <c r="BM10" s="38"/>
      <c r="BN10" s="38"/>
      <c r="BO10" s="61" t="s">
        <v>49</v>
      </c>
      <c r="BP10" s="38"/>
      <c r="BQ10" s="38"/>
      <c r="BR10" s="38"/>
      <c r="BS10" s="38"/>
      <c r="BT10" s="61" t="s">
        <v>21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61" t="s">
        <v>24</v>
      </c>
      <c r="C11" s="38"/>
      <c r="D11" s="38"/>
      <c r="E11" s="62">
        <v>900.0</v>
      </c>
      <c r="F11" s="38"/>
      <c r="G11" s="38"/>
      <c r="H11" s="38"/>
      <c r="I11" s="38"/>
      <c r="J11" s="38"/>
      <c r="K11" s="62">
        <v>100.0</v>
      </c>
      <c r="L11" s="62">
        <v>100.0</v>
      </c>
      <c r="M11" s="38"/>
      <c r="N11" s="38"/>
      <c r="O11" s="63" t="s">
        <v>48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62">
        <v>900.0</v>
      </c>
      <c r="BK11" s="38"/>
      <c r="BL11" s="38"/>
      <c r="BM11" s="38"/>
      <c r="BN11" s="38"/>
      <c r="BO11" s="61" t="s">
        <v>25</v>
      </c>
      <c r="BP11" s="38"/>
      <c r="BQ11" s="38"/>
      <c r="BR11" s="38"/>
      <c r="BS11" s="38"/>
      <c r="BT11" s="61" t="s">
        <v>21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61" t="s">
        <v>24</v>
      </c>
      <c r="C12" s="38"/>
      <c r="D12" s="38"/>
      <c r="E12" s="62">
        <v>10.0</v>
      </c>
      <c r="F12" s="38"/>
      <c r="G12" s="38"/>
      <c r="H12" s="38"/>
      <c r="I12" s="38"/>
      <c r="J12" s="38"/>
      <c r="K12" s="62">
        <v>0.0</v>
      </c>
      <c r="L12" s="62">
        <v>0.0</v>
      </c>
      <c r="M12" s="38"/>
      <c r="N12" s="38"/>
      <c r="O12" s="63" t="s">
        <v>48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62">
        <v>10.0</v>
      </c>
      <c r="BK12" s="38"/>
      <c r="BL12" s="38"/>
      <c r="BM12" s="38"/>
      <c r="BN12" s="38"/>
      <c r="BO12" s="61" t="s">
        <v>50</v>
      </c>
      <c r="BP12" s="38"/>
      <c r="BQ12" s="38"/>
      <c r="BR12" s="38"/>
      <c r="BS12" s="38"/>
      <c r="BT12" s="61" t="s">
        <v>16</v>
      </c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53"/>
      <c r="B6" s="53"/>
      <c r="C6" s="61" t="s">
        <v>21</v>
      </c>
      <c r="D6" s="62">
        <v>10.0</v>
      </c>
      <c r="E6" s="61" t="s">
        <v>23</v>
      </c>
      <c r="F6" s="61" t="s">
        <v>53</v>
      </c>
      <c r="G6" s="62">
        <v>1.0</v>
      </c>
      <c r="H6" s="63" t="s">
        <v>42</v>
      </c>
      <c r="I6" s="64">
        <v>800.0</v>
      </c>
      <c r="J6" s="38"/>
      <c r="K6" s="38"/>
      <c r="L6" s="38"/>
      <c r="M6" s="38"/>
      <c r="N6" s="38"/>
      <c r="O6" s="38"/>
      <c r="P6" s="65">
        <v>80.0</v>
      </c>
      <c r="Q6" s="38"/>
      <c r="R6" s="38"/>
      <c r="S6" s="38"/>
      <c r="T6" s="63" t="s">
        <v>54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61" t="s">
        <v>22</v>
      </c>
      <c r="AO6" s="38"/>
      <c r="AP6" s="63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63" t="s">
        <v>48</v>
      </c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38"/>
      <c r="B7" s="38"/>
      <c r="C7" s="61" t="s">
        <v>21</v>
      </c>
      <c r="D7" s="62">
        <v>100.0</v>
      </c>
      <c r="E7" s="61" t="s">
        <v>24</v>
      </c>
      <c r="F7" s="61" t="s">
        <v>55</v>
      </c>
      <c r="G7" s="62">
        <v>10.0</v>
      </c>
      <c r="H7" s="63" t="s">
        <v>42</v>
      </c>
      <c r="I7" s="64">
        <v>8000.0</v>
      </c>
      <c r="J7" s="38"/>
      <c r="K7" s="38"/>
      <c r="L7" s="38"/>
      <c r="M7" s="38"/>
      <c r="N7" s="38"/>
      <c r="O7" s="38"/>
      <c r="P7" s="65">
        <v>80.0</v>
      </c>
      <c r="Q7" s="38"/>
      <c r="R7" s="38"/>
      <c r="S7" s="38"/>
      <c r="T7" s="63" t="s">
        <v>54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61" t="s">
        <v>22</v>
      </c>
      <c r="AO7" s="38"/>
      <c r="AP7" s="63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63" t="s">
        <v>48</v>
      </c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38"/>
      <c r="B8" s="38"/>
      <c r="C8" s="61" t="s">
        <v>21</v>
      </c>
      <c r="D8" s="62">
        <v>-50.0</v>
      </c>
      <c r="E8" s="61" t="s">
        <v>24</v>
      </c>
      <c r="F8" s="61" t="s">
        <v>55</v>
      </c>
      <c r="G8" s="62">
        <v>10.0</v>
      </c>
      <c r="H8" s="63" t="s">
        <v>42</v>
      </c>
      <c r="I8" s="64">
        <v>-4000.0</v>
      </c>
      <c r="J8" s="38"/>
      <c r="K8" s="38"/>
      <c r="L8" s="38"/>
      <c r="M8" s="38"/>
      <c r="N8" s="38"/>
      <c r="O8" s="38"/>
      <c r="P8" s="65">
        <v>80.0</v>
      </c>
      <c r="Q8" s="38"/>
      <c r="R8" s="38"/>
      <c r="S8" s="38"/>
      <c r="T8" s="63" t="s">
        <v>54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61" t="s">
        <v>25</v>
      </c>
      <c r="AO8" s="38"/>
      <c r="AP8" s="63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63" t="s">
        <v>48</v>
      </c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38"/>
      <c r="B9" s="38"/>
      <c r="C9" s="61" t="s">
        <v>21</v>
      </c>
      <c r="D9" s="62">
        <v>-100.0</v>
      </c>
      <c r="E9" s="61" t="s">
        <v>24</v>
      </c>
      <c r="F9" s="61" t="s">
        <v>55</v>
      </c>
      <c r="G9" s="62">
        <v>100.0</v>
      </c>
      <c r="H9" s="63" t="s">
        <v>42</v>
      </c>
      <c r="I9" s="64">
        <v>-8000.0</v>
      </c>
      <c r="J9" s="38"/>
      <c r="K9" s="38"/>
      <c r="L9" s="38"/>
      <c r="M9" s="38"/>
      <c r="N9" s="38"/>
      <c r="O9" s="38"/>
      <c r="P9" s="65">
        <v>80.0</v>
      </c>
      <c r="Q9" s="38"/>
      <c r="R9" s="38"/>
      <c r="S9" s="38"/>
      <c r="T9" s="63" t="s">
        <v>54</v>
      </c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61" t="s">
        <v>49</v>
      </c>
      <c r="AO9" s="38"/>
      <c r="AP9" s="63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63" t="s">
        <v>48</v>
      </c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</row>
    <row r="10" ht="15.75" customHeight="1">
      <c r="A10" s="38"/>
      <c r="B10" s="38"/>
      <c r="C10" s="61" t="s">
        <v>21</v>
      </c>
      <c r="D10" s="62">
        <v>-900.0</v>
      </c>
      <c r="E10" s="61" t="s">
        <v>24</v>
      </c>
      <c r="F10" s="61" t="s">
        <v>55</v>
      </c>
      <c r="G10" s="62">
        <v>100.0</v>
      </c>
      <c r="H10" s="63" t="s">
        <v>42</v>
      </c>
      <c r="I10" s="64">
        <v>-72000.0</v>
      </c>
      <c r="J10" s="38"/>
      <c r="K10" s="38"/>
      <c r="L10" s="38"/>
      <c r="M10" s="38"/>
      <c r="N10" s="38"/>
      <c r="O10" s="38"/>
      <c r="P10" s="65">
        <v>80.0</v>
      </c>
      <c r="Q10" s="38"/>
      <c r="R10" s="38"/>
      <c r="S10" s="38"/>
      <c r="T10" s="63" t="s">
        <v>54</v>
      </c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61" t="s">
        <v>25</v>
      </c>
      <c r="AO10" s="38"/>
      <c r="AP10" s="63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63" t="s">
        <v>48</v>
      </c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