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LoginClient" sheetId="4" r:id="rId6"/>
    <sheet state="visible" name="CreateComplianceOrder" sheetId="5" r:id="rId7"/>
    <sheet state="visible" name="VerifyComplianceOrder" sheetId="6" r:id="rId8"/>
    <sheet state="visible" name="ApproveorRejectpendingapproval" sheetId="7" r:id="rId9"/>
    <sheet state="visible" name="VerifyAlertHistory" sheetId="8" r:id="rId10"/>
    <sheet state="visible" name="VerifyOrder" sheetId="9" r:id="rId11"/>
  </sheets>
  <definedNames/>
  <calcPr/>
</workbook>
</file>

<file path=xl/sharedStrings.xml><?xml version="1.0" encoding="utf-8"?>
<sst xmlns="http://schemas.openxmlformats.org/spreadsheetml/2006/main" count="134" uniqueCount="66">
  <si>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</si>
  <si>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</si>
  <si>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</si>
  <si>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</si>
  <si>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</si>
  <si>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</si>
  <si>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</si>
  <si>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</si>
  <si>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</si>
  <si>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</si>
  <si>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</si>
  <si>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</si>
  <si>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PranaClient</t>
  </si>
  <si>
    <t>LoginClient</t>
  </si>
  <si>
    <t>Data Format</t>
  </si>
  <si>
    <t>Input Format</t>
  </si>
  <si>
    <t>Support2</t>
  </si>
  <si>
    <t>Nirvana@1</t>
  </si>
  <si>
    <t>TradingTicket</t>
  </si>
  <si>
    <t>CreateComplianceOrder</t>
  </si>
  <si>
    <t>GOOG</t>
  </si>
  <si>
    <t>Buy</t>
  </si>
  <si>
    <t>Allocation1</t>
  </si>
  <si>
    <t>Yes</t>
  </si>
  <si>
    <t>CreateOrder</t>
  </si>
  <si>
    <t>VerifyComplianceOrder</t>
  </si>
  <si>
    <t>Requires Approval</t>
  </si>
  <si>
    <t>Account_Symbol</t>
  </si>
  <si>
    <t>If Quantity not equals to -1234, Symbol equals to "GOOG", Then block the trade.</t>
  </si>
  <si>
    <t>Allocation1-GOOG</t>
  </si>
  <si>
    <t>Compliance Officer - Please Approve</t>
  </si>
  <si>
    <t>Soft with Notes</t>
  </si>
  <si>
    <t>Symbol</t>
  </si>
  <si>
    <t>If Quantity not equals to -123466, Symbol equals to "GOOG", Then block the trade.</t>
  </si>
  <si>
    <t>Soft</t>
  </si>
  <si>
    <t>Trade</t>
  </si>
  <si>
    <t>Quantity_Check_Rule_100</t>
  </si>
  <si>
    <t>If Quantity not equals to -1234, Then block the trade.</t>
  </si>
  <si>
    <t>Compliance</t>
  </si>
  <si>
    <t>ApproveorRejectpendingapproval</t>
  </si>
  <si>
    <t>Single Trade</t>
  </si>
  <si>
    <t>Buy 1,200 GOOG @10, Notional USD 12,000</t>
  </si>
  <si>
    <t>DefaultNotes</t>
  </si>
  <si>
    <t>jgulbrandsen</t>
  </si>
  <si>
    <t>MS</t>
  </si>
  <si>
    <t>Pending Approval</t>
  </si>
  <si>
    <t>Approve</t>
  </si>
  <si>
    <t>VerifyAlertHistory</t>
  </si>
  <si>
    <t>PreTrade</t>
  </si>
  <si>
    <t>Enter Summary</t>
  </si>
  <si>
    <t>quantity: 1200.00 Symbol: GOOG</t>
  </si>
  <si>
    <t>Trade passed as rule is overriden by user (jpearce</t>
  </si>
  <si>
    <t>If Quantity not equals to -1234 Then block the trade.</t>
  </si>
  <si>
    <t>AAPL</t>
  </si>
  <si>
    <t>Stage</t>
  </si>
  <si>
    <t>Quantity_Check_Rule</t>
  </si>
  <si>
    <t>Quantity Check Rule</t>
  </si>
  <si>
    <t>Symbol: GOOG  quantity: 1200.00 Symbol: GOOG</t>
  </si>
  <si>
    <t>Account-Symbol</t>
  </si>
  <si>
    <t>quantity: 1200.00 AccountShortName: Allocation1 Symbol: GOOG</t>
  </si>
  <si>
    <t>Allocation1-AAPL</t>
  </si>
  <si>
    <t>quantity: 1200.00 Symbol: AAPL</t>
  </si>
  <si>
    <t>Blotter</t>
  </si>
  <si>
    <t>VerifyOrder</t>
  </si>
  <si>
    <t>New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</si>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</sst>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 h:mm:ss"/>
    <numFmt numFmtId="165" formatCode="m/d/yyyy h:mm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  <font>
      <b/>
      <sz val="9.0"/>
      <color rgb="FF000000"/>
      <name val="&quot;Segoe UI&quot;"/>
    </font>
  </fonts>
  <fills count="11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A500"/>
        <bgColor rgb="FFFFA500"/>
      </patternFill>
    </fill>
    <fill>
      <patternFill patternType="solid">
        <fgColor rgb="FFE7E8E9"/>
        <bgColor rgb="FFE7E8E9"/>
      </patternFill>
    </fill>
    <fill>
      <patternFill patternType="solid">
        <fgColor rgb="FF4863A0"/>
        <bgColor rgb="FF4863A0"/>
      </patternFill>
    </fill>
    <fill>
      <patternFill patternType="solid">
        <fgColor rgb="FFCBD6E0"/>
        <bgColor rgb="FFCBD6E0"/>
      </patternFill>
    </fill>
    <fill>
      <patternFill patternType="solid">
        <fgColor rgb="FF689C2E"/>
        <bgColor rgb="FF689C2E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6" fontId="13" numFmtId="0" xfId="0" applyAlignment="1" applyFill="1" applyFont="1">
      <alignment horizontal="left" readingOrder="0" shrinkToFit="0" vertical="top" wrapText="0"/>
    </xf>
    <xf borderId="0" fillId="7" fontId="14" numFmtId="0" xfId="0" applyAlignment="1" applyFill="1" applyFont="1">
      <alignment horizontal="left" readingOrder="0" shrinkToFit="0" vertical="top" wrapText="0"/>
    </xf>
    <xf borderId="0" fillId="8" fontId="13" numFmtId="0" xfId="0" applyAlignment="1" applyFill="1" applyFont="1">
      <alignment horizontal="left" readingOrder="0" shrinkToFit="0" vertical="top" wrapText="0"/>
    </xf>
    <xf borderId="0" fillId="9" fontId="14" numFmtId="0" xfId="0" applyAlignment="1" applyFill="1" applyFont="1">
      <alignment horizontal="left" readingOrder="0" shrinkToFit="0" vertical="top" wrapText="0"/>
    </xf>
    <xf borderId="0" fillId="9" fontId="15" numFmtId="0" xfId="0" applyAlignment="1" applyFont="1">
      <alignment horizontal="left" readingOrder="0" shrinkToFit="0" vertical="top" wrapText="0"/>
    </xf>
    <xf borderId="0" fillId="9" fontId="14" numFmtId="0" xfId="0" applyAlignment="1" applyFont="1">
      <alignment horizontal="left" shrinkToFit="0" vertical="top" wrapText="0"/>
    </xf>
    <xf borderId="0" fillId="10" fontId="13" numFmtId="0" xfId="0" applyAlignment="1" applyFill="1" applyFont="1">
      <alignment horizontal="left" readingOrder="0" shrinkToFit="0" vertical="top" wrapText="0"/>
    </xf>
    <xf borderId="0" fillId="7" fontId="14" numFmtId="0" xfId="0" applyAlignment="1" applyFont="1">
      <alignment horizontal="left" shrinkToFit="0" vertical="top" wrapText="0"/>
    </xf>
    <xf borderId="0" fillId="0" fontId="3" numFmtId="0" xfId="0" applyAlignment="1" applyFont="1">
      <alignment vertical="bottom"/>
    </xf>
    <xf borderId="5" fillId="7" fontId="3" numFmtId="164" xfId="0" applyAlignment="1" applyBorder="1" applyFont="1" applyNumberFormat="1">
      <alignment vertical="top"/>
    </xf>
    <xf borderId="5" fillId="7" fontId="14" numFmtId="0" xfId="0" applyAlignment="1" applyBorder="1" applyFont="1">
      <alignment horizontal="right" vertical="top"/>
    </xf>
    <xf borderId="5" fillId="7" fontId="15" numFmtId="0" xfId="0" applyAlignment="1" applyBorder="1" applyFont="1">
      <alignment horizontal="right" readingOrder="0" shrinkToFit="0" vertical="top" wrapText="0"/>
    </xf>
    <xf borderId="5" fillId="7" fontId="3" numFmtId="0" xfId="0" applyAlignment="1" applyBorder="1" applyFont="1">
      <alignment vertical="top"/>
    </xf>
    <xf borderId="5" fillId="7" fontId="16" numFmtId="0" xfId="0" applyAlignment="1" applyBorder="1" applyFont="1">
      <alignment horizontal="right" vertical="top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0" fillId="7" fontId="14" numFmtId="0" xfId="0" applyAlignment="1" applyFont="1">
      <alignment horizontal="right" readingOrder="0" shrinkToFit="0" vertical="top" wrapText="0"/>
    </xf>
    <xf borderId="0" fillId="7" fontId="15" numFmtId="0" xfId="0" applyAlignment="1" applyFont="1">
      <alignment horizontal="right" readingOrder="0" shrinkToFit="0" vertical="top" wrapText="0"/>
    </xf>
    <xf borderId="0" fillId="7" fontId="14" numFmtId="165" xfId="0" applyAlignment="1" applyFont="1" applyNumberFormat="1">
      <alignment horizontal="right" readingOrder="0" shrinkToFit="0" vertical="top" wrapText="0"/>
    </xf>
    <xf borderId="0" fillId="7" fontId="14" numFmtId="0" xfId="0" applyAlignment="1" applyFont="1">
      <alignment horizontal="right" shrinkToFit="0" vertical="top" wrapText="0"/>
    </xf>
    <xf borderId="0" fillId="9" fontId="14" numFmtId="0" xfId="0" applyAlignment="1" applyFont="1">
      <alignment horizontal="right" readingOrder="0" shrinkToFit="0" vertical="top" wrapText="0"/>
    </xf>
    <xf borderId="0" fillId="9" fontId="15" numFmtId="0" xfId="0" applyAlignment="1" applyFont="1">
      <alignment horizontal="right" readingOrder="0" shrinkToFit="0" vertical="top" wrapText="0"/>
    </xf>
    <xf borderId="0" fillId="9" fontId="14" numFmtId="165" xfId="0" applyAlignment="1" applyFont="1" applyNumberFormat="1">
      <alignment horizontal="right" readingOrder="0" shrinkToFit="0" vertical="top" wrapText="0"/>
    </xf>
    <xf borderId="0" fillId="9" fontId="14" numFmtId="0" xfId="0" applyAlignment="1" applyFont="1">
      <alignment horizontal="right" shrinkToFit="0" vertical="top" wrapText="0"/>
    </xf>
    <xf borderId="5" fillId="7" fontId="14" numFmtId="165" xfId="0" applyAlignment="1" applyBorder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IFERROR(__xludf.DUMMYFUNCTION("""COMPUTED_VALUE"""),"LoginClient")</f>
        <v>LoginClient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20</v>
      </c>
      <c r="C6" s="13" t="s">
        <v>21</v>
      </c>
      <c r="D6" s="13">
        <v>1200.0</v>
      </c>
      <c r="E6" s="8"/>
      <c r="F6" s="13" t="s">
        <v>22</v>
      </c>
      <c r="G6" s="8"/>
      <c r="H6" s="8"/>
      <c r="I6" s="8"/>
      <c r="J6" s="13">
        <v>10.0</v>
      </c>
      <c r="K6" s="8"/>
      <c r="L6" s="8"/>
      <c r="M6" s="8"/>
      <c r="N6" s="8"/>
      <c r="O6" s="8"/>
      <c r="AQ6" s="9" t="s">
        <v>23</v>
      </c>
      <c r="AX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26</v>
      </c>
      <c r="C6" s="33" t="s">
        <v>27</v>
      </c>
      <c r="D6" s="13" t="s">
        <v>28</v>
      </c>
      <c r="E6" s="13" t="s">
        <v>29</v>
      </c>
      <c r="F6" s="33">
        <v>-1234.0</v>
      </c>
      <c r="G6" s="33">
        <v>1200.0</v>
      </c>
      <c r="H6" s="13"/>
      <c r="I6" s="33" t="s">
        <v>30</v>
      </c>
      <c r="J6" s="8"/>
      <c r="K6" s="13" t="s">
        <v>23</v>
      </c>
      <c r="L6" s="8"/>
      <c r="M6" s="9" t="s">
        <v>24</v>
      </c>
      <c r="N6" s="8"/>
      <c r="O6" s="8"/>
    </row>
    <row r="7" ht="15.75" customHeight="1">
      <c r="A7" s="8"/>
      <c r="B7" s="34" t="s">
        <v>31</v>
      </c>
      <c r="C7" s="35" t="s">
        <v>32</v>
      </c>
      <c r="D7" s="13" t="s">
        <v>33</v>
      </c>
      <c r="E7" s="13" t="s">
        <v>20</v>
      </c>
      <c r="F7" s="36">
        <v>-123466.0</v>
      </c>
      <c r="G7" s="35">
        <v>1200.0</v>
      </c>
      <c r="H7" s="13"/>
      <c r="I7" s="37"/>
      <c r="J7" s="13" t="s">
        <v>23</v>
      </c>
      <c r="K7" s="13"/>
      <c r="L7" s="8"/>
      <c r="M7" s="8"/>
      <c r="N7" s="8"/>
      <c r="O7" s="8"/>
    </row>
    <row r="8" ht="15.75" customHeight="1">
      <c r="A8" s="8"/>
      <c r="B8" s="38" t="s">
        <v>34</v>
      </c>
      <c r="C8" s="33" t="s">
        <v>35</v>
      </c>
      <c r="D8" s="13" t="s">
        <v>28</v>
      </c>
      <c r="E8" s="13" t="s">
        <v>20</v>
      </c>
      <c r="F8" s="33">
        <v>-1234.0</v>
      </c>
      <c r="G8" s="33">
        <v>1200.0</v>
      </c>
      <c r="H8" s="13"/>
      <c r="I8" s="39"/>
      <c r="J8" s="8"/>
      <c r="K8" s="13"/>
      <c r="L8" s="8"/>
      <c r="M8" s="8"/>
      <c r="N8" s="8"/>
      <c r="O8" s="8"/>
    </row>
    <row r="9" ht="15.75" customHeight="1">
      <c r="A9" s="8"/>
      <c r="B9" s="38" t="s">
        <v>34</v>
      </c>
      <c r="C9" s="36" t="s">
        <v>36</v>
      </c>
      <c r="D9" s="35" t="s">
        <v>37</v>
      </c>
      <c r="E9" s="13" t="s">
        <v>20</v>
      </c>
      <c r="F9" s="35">
        <v>-1234.0</v>
      </c>
      <c r="G9" s="35">
        <v>1200.0</v>
      </c>
      <c r="H9" s="36"/>
      <c r="I9" s="37"/>
      <c r="J9" s="8"/>
      <c r="K9" s="13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 t="str">
        <f>IFERROR(__xludf.DUMMYFUNCTION("""COMPUTED_VALUE"""),"Approvependingapproval")</f>
        <v>Approvependingapproval</v>
      </c>
      <c r="AO4" s="26" t="str">
        <f>IFERROR(__xludf.DUMMYFUNCTION("""COMPUTED_VALUE"""),"VerifyAlertHistory")</f>
        <v>VerifyAlertHistory</v>
      </c>
      <c r="AP4" s="26" t="str">
        <f>IFERROR(__xludf.DUMMYFUNCTION("""COMPUTED_VALUE"""),"ApproveorRejectpendingapproval")</f>
        <v>ApproveorRejectpendingapproval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/>
      <c r="C6" s="13" t="s">
        <v>20</v>
      </c>
      <c r="D6" s="42" t="s">
        <v>40</v>
      </c>
      <c r="E6" s="42"/>
      <c r="F6" s="43" t="s">
        <v>41</v>
      </c>
      <c r="G6" s="42" t="s">
        <v>42</v>
      </c>
      <c r="H6" s="44"/>
      <c r="I6" s="42" t="s">
        <v>43</v>
      </c>
      <c r="J6" s="42">
        <v>10.0</v>
      </c>
      <c r="K6" s="42"/>
      <c r="L6" s="42">
        <v>1200.0</v>
      </c>
      <c r="M6" s="42" t="s">
        <v>44</v>
      </c>
      <c r="N6" s="45" t="s">
        <v>45</v>
      </c>
      <c r="O6" s="42" t="s">
        <v>21</v>
      </c>
      <c r="P6" s="46" t="s">
        <v>46</v>
      </c>
      <c r="Q6" s="47"/>
      <c r="R6" s="47"/>
      <c r="S6" s="4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21.5"/>
    <col customWidth="1" min="4" max="4" width="12.63"/>
    <col customWidth="1" min="5" max="5" width="16.25"/>
    <col customWidth="1" min="6" max="6" width="15.5"/>
    <col customWidth="1" min="7" max="7" width="40.63"/>
    <col customWidth="1" min="8" max="8" width="22.38"/>
    <col customWidth="1" min="9" max="9" width="11.5"/>
    <col customWidth="1" min="10" max="10" width="45.63"/>
    <col customWidth="1" min="11" max="11" width="28.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 t="str">
        <f>IFERROR(__xludf.DUMMYFUNCTION("""COMPUTED_VALUE"""),"Approvependingapproval")</f>
        <v>Approvependingapproval</v>
      </c>
      <c r="AO4" s="26" t="str">
        <f>IFERROR(__xludf.DUMMYFUNCTION("""COMPUTED_VALUE"""),"VerifyAlertHistory")</f>
        <v>VerifyAlertHistory</v>
      </c>
      <c r="AP4" s="26" t="str">
        <f>IFERROR(__xludf.DUMMYFUNCTION("""COMPUTED_VALUE"""),"ApproveorRejectpendingapproval")</f>
        <v>ApproveorRejectpendingapproval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IFERROR(__xludf.DUMMYFUNCTION("""COMPUTED_VALUE"""),"Name")</f>
        <v>Name</v>
      </c>
      <c r="C5" s="28" t="str">
        <f>IFERROR(__xludf.DUMMYFUNCTION("""COMPUTED_VALUE"""),"User Name")</f>
        <v>User Name</v>
      </c>
      <c r="D5" s="28" t="str">
        <f>IFERROR(__xludf.DUMMYFUNCTION("""COMPUTED_VALUE"""),"Rule Type")</f>
        <v>Rule Type</v>
      </c>
      <c r="E5" s="28" t="str">
        <f>IFERROR(__xludf.DUMMYFUNCTION("""COMPUTED_VALUE"""),"Summary")</f>
        <v>Summary</v>
      </c>
      <c r="F5" s="29" t="str">
        <f>IFERROR(__xludf.DUMMYFUNCTION("""COMPUTED_VALUE"""),"Compression Level")</f>
        <v>Compression Level</v>
      </c>
      <c r="G5" s="28" t="str">
        <f>IFERROR(__xludf.DUMMYFUNCTION("""COMPUTED_VALUE"""),"Parameters")</f>
        <v>Parameters</v>
      </c>
      <c r="H5" s="28" t="str">
        <f>IFERROR(__xludf.DUMMYFUNCTION("""COMPUTED_VALUE"""),"Validation Time")</f>
        <v>Validation Time</v>
      </c>
      <c r="I5" s="28" t="str">
        <f>IFERROR(__xludf.DUMMYFUNCTION("""COMPUTED_VALUE"""),"OrderId")</f>
        <v>OrderId</v>
      </c>
      <c r="J5" s="28" t="str">
        <f>IFERROR(__xludf.DUMMYFUNCTION("""COMPUTED_VALUE"""),"Status")</f>
        <v>Status</v>
      </c>
      <c r="K5" s="28" t="str">
        <f>IFERROR(__xludf.DUMMYFUNCTION("""COMPUTED_VALUE"""),"Description")</f>
        <v>Description</v>
      </c>
      <c r="L5" s="28" t="str">
        <f>IFERROR(__xludf.DUMMYFUNCTION("""COMPUTED_VALUE"""),"Dimension")</f>
        <v>Dimension</v>
      </c>
      <c r="M5" s="28" t="str">
        <f>IFERROR(__xludf.DUMMYFUNCTION("""COMPUTED_VALUE"""),"Rule Deleted")</f>
        <v>Rule Deleted</v>
      </c>
      <c r="N5" s="28" t="str">
        <f>IFERROR(__xludf.DUMMYFUNCTION("""COMPUTED_VALUE"""),"PreTrade Type")</f>
        <v>PreTrade Type</v>
      </c>
      <c r="O5" s="28" t="str">
        <f>IFERROR(__xludf.DUMMYFUNCTION("""COMPUTED_VALUE"""),"Compliance Officer Notes")</f>
        <v>Compliance Officer Notes</v>
      </c>
      <c r="P5" s="28" t="str">
        <f>IFERROR(__xludf.DUMMYFUNCTION("""COMPUTED_VALUE"""),"User Notes")</f>
        <v>User Notes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8" t="s">
        <v>35</v>
      </c>
      <c r="C6" s="48" t="s">
        <v>16</v>
      </c>
      <c r="D6" s="48" t="s">
        <v>48</v>
      </c>
      <c r="E6" s="48" t="s">
        <v>49</v>
      </c>
      <c r="F6" s="48" t="s">
        <v>35</v>
      </c>
      <c r="G6" s="49" t="s">
        <v>50</v>
      </c>
      <c r="H6" s="50"/>
      <c r="I6" s="48"/>
      <c r="J6" s="48" t="s">
        <v>51</v>
      </c>
      <c r="K6" s="49" t="s">
        <v>52</v>
      </c>
      <c r="L6" s="48" t="s">
        <v>53</v>
      </c>
      <c r="M6" s="48"/>
      <c r="N6" s="48" t="s">
        <v>54</v>
      </c>
      <c r="O6" s="51"/>
      <c r="P6" s="51"/>
    </row>
    <row r="7" ht="15.75" customHeight="1">
      <c r="A7" s="8"/>
      <c r="B7" s="52" t="s">
        <v>55</v>
      </c>
      <c r="C7" s="52" t="s">
        <v>16</v>
      </c>
      <c r="D7" s="52" t="s">
        <v>48</v>
      </c>
      <c r="E7" s="52" t="s">
        <v>56</v>
      </c>
      <c r="F7" s="52" t="s">
        <v>35</v>
      </c>
      <c r="G7" s="53" t="s">
        <v>57</v>
      </c>
      <c r="H7" s="54"/>
      <c r="I7" s="52"/>
      <c r="J7" s="52" t="s">
        <v>51</v>
      </c>
      <c r="K7" s="53" t="s">
        <v>52</v>
      </c>
      <c r="L7" s="52" t="s">
        <v>53</v>
      </c>
      <c r="M7" s="52"/>
      <c r="N7" s="52" t="s">
        <v>54</v>
      </c>
      <c r="O7" s="55"/>
      <c r="P7" s="55"/>
    </row>
    <row r="8" ht="15.75" customHeight="1">
      <c r="A8" s="8"/>
      <c r="B8" s="48" t="s">
        <v>27</v>
      </c>
      <c r="C8" s="48" t="s">
        <v>16</v>
      </c>
      <c r="D8" s="48" t="s">
        <v>48</v>
      </c>
      <c r="E8" s="48" t="s">
        <v>49</v>
      </c>
      <c r="F8" s="48" t="s">
        <v>58</v>
      </c>
      <c r="G8" s="49" t="s">
        <v>59</v>
      </c>
      <c r="H8" s="50"/>
      <c r="I8" s="48"/>
      <c r="J8" s="48" t="s">
        <v>51</v>
      </c>
      <c r="K8" s="49" t="s">
        <v>52</v>
      </c>
      <c r="L8" s="48" t="s">
        <v>60</v>
      </c>
      <c r="M8" s="48"/>
      <c r="N8" s="48" t="s">
        <v>54</v>
      </c>
      <c r="O8" s="51"/>
      <c r="P8" s="48"/>
    </row>
    <row r="9" ht="15.75" customHeight="1">
      <c r="A9" s="8"/>
      <c r="B9" s="52" t="s">
        <v>32</v>
      </c>
      <c r="C9" s="52" t="s">
        <v>16</v>
      </c>
      <c r="D9" s="52" t="s">
        <v>48</v>
      </c>
      <c r="E9" s="52" t="s">
        <v>49</v>
      </c>
      <c r="F9" s="52" t="s">
        <v>32</v>
      </c>
      <c r="G9" s="53" t="s">
        <v>61</v>
      </c>
      <c r="H9" s="54"/>
      <c r="I9" s="52"/>
      <c r="J9" s="52" t="s">
        <v>51</v>
      </c>
      <c r="K9" s="53" t="s">
        <v>52</v>
      </c>
      <c r="L9" s="52" t="s">
        <v>53</v>
      </c>
      <c r="M9" s="52"/>
      <c r="N9" s="52" t="s">
        <v>54</v>
      </c>
      <c r="O9" s="55"/>
      <c r="P9" s="5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40"/>
      <c r="B11" s="42"/>
      <c r="C11" s="42"/>
      <c r="D11" s="42"/>
      <c r="E11" s="42"/>
      <c r="F11" s="42"/>
      <c r="G11" s="42"/>
      <c r="H11" s="56"/>
      <c r="I11" s="42"/>
      <c r="J11" s="42"/>
      <c r="K11" s="42"/>
      <c r="L11" s="42"/>
      <c r="M11" s="42"/>
      <c r="N11" s="42"/>
      <c r="O11" s="44"/>
      <c r="P11" s="44"/>
      <c r="Q11" s="47"/>
      <c r="R11" s="47"/>
      <c r="S11" s="47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VerifyAlertHistory!$4:$4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20</v>
      </c>
      <c r="AJ6" s="48" t="s">
        <v>21</v>
      </c>
      <c r="AK6" s="48" t="s">
        <v>64</v>
      </c>
      <c r="AL6" s="52">
        <v>1200.0</v>
      </c>
      <c r="AT6" s="52" t="s">
        <v>22</v>
      </c>
      <c r="AU6" s="48" t="s">
        <v>65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