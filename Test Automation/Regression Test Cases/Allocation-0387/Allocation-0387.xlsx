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CreateDoneAwayOrder" sheetId="4" r:id="rId6"/>
    <sheet name="SetGeneralPreferences" sheetId="5" r:id="rId7"/>
    <sheet name="AddMFPreferences" sheetId="6" r:id="rId8"/>
    <sheet name="SetMFPreferencesDefaultRule" sheetId="7" r:id="rId9"/>
    <sheet name="SetMFPrefFundDistribution" sheetId="8" r:id="rId10"/>
    <sheet name="SetMFPrefAccountValues" sheetId="9" r:id="rId11"/>
    <sheet name="SetMFPrefAccountValues1" sheetId="10" r:id="rId12"/>
    <sheet name="SetMFPrefFundDefaultRule" sheetId="11" r:id="rId13"/>
    <sheet name="CreateDoneAwayOrder1" sheetId="12" r:id="rId14"/>
    <sheet name="GetDataAllocation" sheetId="13" r:id="rId15"/>
    <sheet name="SelectUnallocatedGroup" sheetId="14" r:id="rId16"/>
    <sheet name="EnterAllocatePreference" sheetId="15" r:id="rId17"/>
    <sheet name="CheckUnallocatedGroups" sheetId="16" r:id="rId18"/>
  </sheets>
  <calcPr fullCalcOnLoad="1"/>
</workbook>
</file>

<file path=xl/sharedStrings.xml><?xml version="1.0" encoding="utf-8"?>
<sst xmlns="http://schemas.openxmlformats.org/spreadsheetml/2006/main" count="46" uniqueCount="46">
  <si>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</si>
  <si>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</si>
  <si>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</si>
  <si>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</si>
  <si>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</si>
  <si>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</si>
  <si>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</si>
  <si>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</si>
  <si>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</si>
  <si>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</si>
  <si>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</si>
  <si>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</si>
  <si>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</si>
  <si>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</si>
  <si>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</si>
  <si>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</si>
  <si>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</si>
  <si>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</si>
  <si>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Allocation1,Allocation2</t>
  </si>
  <si>
    <t>50,50</t>
  </si>
  <si>
    <t>Allocation</t>
  </si>
  <si>
    <t>SetGeneralPreferences</t>
  </si>
  <si>
    <t>AddMFPreferences</t>
  </si>
  <si>
    <t>SetMFPreferencesDefaultRule</t>
  </si>
  <si>
    <t>Current Preference</t>
  </si>
  <si>
    <t>SetMFPrefFundDistribution</t>
  </si>
  <si>
    <t>NewMF</t>
  </si>
  <si>
    <t>NewMF1</t>
  </si>
  <si>
    <t>SetMFPrefAccountValues</t>
  </si>
  <si>
    <t>Allocation1</t>
  </si>
  <si>
    <t>Allocation2</t>
  </si>
  <si>
    <t>SetMFPrefFundDefaultRule</t>
  </si>
  <si>
    <t>Trade Quantity</t>
  </si>
  <si>
    <t>Buy to Close</t>
  </si>
  <si>
    <t>Unallocated</t>
  </si>
  <si>
    <t>GetDataAllocation</t>
  </si>
  <si>
    <t>Current</t>
  </si>
  <si>
    <t>SelectUnallocatedGroup</t>
  </si>
  <si>
    <t>EnterAllocatePreference</t>
  </si>
  <si>
    <t>Calculated</t>
  </si>
  <si>
    <t>CheckUnallocatedGroups</t>
  </si>
  <si>
    <t>Equity</t>
  </si>
  <si>
    <t>MS</t>
  </si>
  <si>
    <t>NASDAQ</t>
  </si>
  <si>
    <t>M</t>
  </si>
  <si>
    <t>Market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</si>
</sst>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4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fontId="0" fillId="0" borderId="0"/>
  </cellStyleXfs>
  <cellXfs count="43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3" applyFont="1" fillId="0" applyFill="1" borderId="0" applyBorder="1" xfId="0"/>
    <xf fontId="3" applyFont="1" fillId="0" applyFill="1" borderId="0" applyBorder="1" xfId="0">
      <alignment horizontal="center"/>
    </xf>
    <xf fontId="3" applyFont="1" fillId="0" applyFill="1" borderId="0" applyBorder="1" xfId="0"/>
    <xf fontId="3" applyFont="1" fillId="0" applyFill="1" borderId="0" applyBorder="1" xfId="0">
      <alignment horizontal="center"/>
    </xf>
    <xf fontId="5" applyFont="1" fillId="0" applyFill="1" borderId="0" applyBorder="1" xfId="0"/>
    <xf fontId="3" applyFont="1" fillId="0" applyFill="1" borderId="0" applyBorder="1" xfId="0"/>
    <xf fontId="5" applyFont="1" fillId="0" applyFill="1" borderId="0" applyBorder="1" xfId="0">
      <alignment horizontal="right"/>
    </xf>
    <xf fontId="5" applyFont="1" fillId="0" applyFill="1" borderId="0" applyBorder="1" xfId="0"/>
    <xf fontId="5" applyFont="1" fillId="0" applyFill="1" borderId="0" applyBorder="1" xfId="0"/>
    <xf fontId="5" applyFont="1" fillId="0" applyFill="1" borderId="0" applyBorder="1" xfId="0"/>
    <xf fontId="3" applyFont="1" fillId="0" applyFill="1" borderId="5" applyBorder="1" xfId="0"/>
    <xf fontId="3" applyFont="1" fillId="0" applyFill="1" borderId="6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19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41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IFERROR(__xludf.DUMMYFUNCTION("""COMPUTED_VALUE"""),"19Sn1yI9trlccQAGFXG-Y-afytOt_KfoVnPQzvl6XROo")</f>
        <v>19Sn1yI9trlccQAGFXG-Y-afytOt_KfoVnPQzvl6XROo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IFERROR(__xludf.DUMMYFUNCTION("""COMPUTED_VALUE"""),"1u6KqBelmQQ2oYAB3PeSwYS-Dl3oOd1Dhuag0CXdBdWI")</f>
        <v>1u6KqBelmQQ2oYAB3PeSwYS-Dl3oOd1Dhuag0CXdBdWI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IFERROR(__xludf.DUMMYFUNCTION("""COMPUTED_VALUE"""),"1TqhiATlN6jhyI-VeiodnGdVQyLGZiu97o5NWbxOWr9s")</f>
        <v>1TqhiATlN6jhyI-VeiodnGdVQyLGZiu97o5NWbxOWr9s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IFERROR(__xludf.DUMMYFUNCTION("""COMPUTED_VALUE"""),"1dPK0Rp0k7gPTdi7pAXxULvjivbVrTViWALmSew6wF-0")</f>
        <v>1dPK0Rp0k7gPTdi7pAXxULvjivbVrTViWALmSew6wF-0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IFERROR(__xludf.DUMMYFUNCTION("""COMPUTED_VALUE"""),"178NOc-LsqpjkyVkksd_XD-EQcokXBH-1NEzm5ceoSAk")</f>
        <v>178NOc-LsqpjkyVkksd_XD-EQcokXBH-1NEzm5ceoSAk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IFERROR(__xludf.DUMMYFUNCTION("""COMPUTED_VALUE"""),"1Vv-FRtdz-znMa6eWfAZqSH3k0FWRSgYKVdL6W0eCjF8")</f>
        <v>1Vv-FRtdz-znMa6eWfAZqSH3k0FWRSgYKVdL6W0eCjF8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1000</v>
      </c>
      <c r="E6" s="13">
        <v>1000</v>
      </c>
      <c r="F6" s="8"/>
      <c r="G6" s="8"/>
      <c r="H6" s="8"/>
      <c r="I6" s="8"/>
      <c r="J6" s="13">
        <v>1</v>
      </c>
      <c r="K6" s="8"/>
      <c r="L6" s="8"/>
      <c r="M6" s="8"/>
      <c r="N6" s="8"/>
      <c r="O6" s="8"/>
      <c r="AK6" s="9" t="s">
        <v>18</v>
      </c>
      <c r="AL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4" t="b">
        <v>1</v>
      </c>
      <c r="W6" s="34" t="b">
        <v>0</v>
      </c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SetGeneralPreferences!$4:$4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387</v>
      </c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AddMFPreferences!$4:$4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IFERROR(__xludf.DUMMYFUNCTION("""COMPUTED_VALUE"""),"RemainderAllocationTo")</f>
        <v>RemainderAllocationTo</v>
      </c>
      <c r="C5" s="28" t="str">
        <f>IFERROR(__xludf.DUMMYFUNCTION("""COMPUTED_VALUE"""),"Target%AsOf")</f>
        <v>Target%AsOf</v>
      </c>
      <c r="D5" s="28" t="str">
        <f>IFERROR(__xludf.DUMMYFUNCTION("""COMPUTED_VALUE"""),"ProrataAccounts")</f>
        <v>ProrataAccounts</v>
      </c>
      <c r="E5" s="28" t="str">
        <f>IFERROR(__xludf.DUMMYFUNCTION("""COMPUTED_VALUE"""),"DateUptoDays")</f>
        <v>DateUptoDays</v>
      </c>
      <c r="F5" s="29" t="str">
        <f>IFERROR(__xludf.DUMMYFUNCTION("""COMPUTED_VALUE"""),"PreferenceName")</f>
        <v>PreferenceName</v>
      </c>
      <c r="G5" s="28" t="str">
        <f>IFERROR(__xludf.DUMMYFUNCTION("""COMPUTED_VALUE"""),"MatchClosingTransaction")</f>
        <v>MatchClosingTransaction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6" t="s">
        <v>24</v>
      </c>
      <c r="D6" s="31"/>
      <c r="E6" s="33"/>
      <c r="F6" s="37">
        <v>387</v>
      </c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SetMFPreferencesDefaultRule!$4:$4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IFERROR(__xludf.DUMMYFUNCTION("""COMPUTED_VALUE"""),"PreferenceName")</f>
        <v>PreferenceName</v>
      </c>
      <c r="C5" s="28" t="str">
        <f>IFERROR(__xludf.DUMMYFUNCTION("""COMPUTED_VALUE"""),"MasterFundName")</f>
        <v>MasterFundName</v>
      </c>
      <c r="D5" s="28" t="str">
        <f>IFERROR(__xludf.DUMMYFUNCTION("""COMPUTED_VALUE"""),"TargetPercentage")</f>
        <v>TargetPercentage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387</v>
      </c>
      <c r="C6" s="38" t="s">
        <v>26</v>
      </c>
      <c r="D6" s="37">
        <v>60</v>
      </c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>
        <v>387</v>
      </c>
      <c r="C7" s="38" t="s">
        <v>27</v>
      </c>
      <c r="D7" s="37">
        <v>40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SetMFPrefFundDistribution!$4:$4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387</v>
      </c>
      <c r="C6" s="38" t="s">
        <v>26</v>
      </c>
      <c r="D6" s="13" t="s">
        <v>29</v>
      </c>
      <c r="E6" s="13">
        <v>100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SetMFPrefAccountValues!$4:$4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387</v>
      </c>
      <c r="C6" s="39" t="s">
        <v>27</v>
      </c>
      <c r="D6" s="13" t="s">
        <v>30</v>
      </c>
      <c r="E6" s="13">
        <v>100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SetMFPrefAccountValues1!$4:$4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IFERROR(__xludf.DUMMYFUNCTION("""COMPUTED_VALUE"""),"AllocationMethod")</f>
        <v>AllocationMethod</v>
      </c>
      <c r="E5" s="28" t="str">
        <f>IFERROR(__xludf.DUMMYFUNCTION("""COMPUTED_VALUE"""),"RemainderAllocationTo")</f>
        <v>RemainderAllocationTo</v>
      </c>
      <c r="F5" s="29" t="str">
        <f>IFERROR(__xludf.DUMMYFUNCTION("""COMPUTED_VALUE"""),"Target%AsOf")</f>
        <v>Target%AsOf</v>
      </c>
      <c r="G5" s="28" t="str">
        <f>IFERROR(__xludf.DUMMYFUNCTION("""COMPUTED_VALUE"""),"ProrataAccounts")</f>
        <v>ProrataAccounts</v>
      </c>
      <c r="H5" s="28" t="str">
        <f>IFERROR(__xludf.DUMMYFUNCTION("""COMPUTED_VALUE"""),"DateUptoDays")</f>
        <v>DateUptoDays</v>
      </c>
      <c r="I5" s="28" t="str">
        <f>IFERROR(__xludf.DUMMYFUNCTION("""COMPUTED_VALUE"""),"MatchClosingTransactions")</f>
        <v>MatchClosingTransactions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>
        <v>387</v>
      </c>
      <c r="C6" s="33"/>
      <c r="D6" s="40" t="s">
        <v>32</v>
      </c>
      <c r="E6" s="38"/>
      <c r="F6" s="39" t="s">
        <v>24</v>
      </c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SetMFPrefFundDefaultRule!$4:$4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33</v>
      </c>
      <c r="D6" s="13">
        <v>1000</v>
      </c>
      <c r="E6" s="13">
        <v>1000</v>
      </c>
      <c r="F6" s="13" t="s">
        <v>34</v>
      </c>
      <c r="G6" s="8"/>
      <c r="H6" s="8"/>
      <c r="I6" s="8"/>
      <c r="J6" s="13">
        <v>1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36</v>
      </c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33</v>
      </c>
      <c r="D6" s="13">
        <v>1000</v>
      </c>
      <c r="E6" s="13">
        <v>1000</v>
      </c>
      <c r="F6" s="8"/>
      <c r="G6" s="8"/>
      <c r="H6" s="8"/>
      <c r="I6" s="13">
        <v>1000</v>
      </c>
      <c r="J6" s="8"/>
      <c r="K6" s="13">
        <v>1000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1" t="s">
        <v>39</v>
      </c>
      <c r="C6" s="42">
        <v>387</v>
      </c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IFERROR(__xludf.DUMMYFUNCTION("""COMPUTED_VALUE"""),"Accrual Basis")</f>
        <v>Accrual Basis</v>
      </c>
      <c r="C5" s="28" t="str">
        <f>IFERROR(__xludf.DUMMYFUNCTION("""COMPUTED_VALUE"""),"Accrued Interest")</f>
        <v>Accrued Interest</v>
      </c>
      <c r="D5" s="28" t="str">
        <f>IFERROR(__xludf.DUMMYFUNCTION("""COMPUTED_VALUE"""),"Allocated Qty")</f>
        <v>Allocated Qty</v>
      </c>
      <c r="E5" s="28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8" t="str">
        <f>IFERROR(__xludf.DUMMYFUNCTION("""COMPUTED_VALUE"""),"AUEC Fee1")</f>
        <v>AUEC Fee1</v>
      </c>
      <c r="H5" s="28" t="str">
        <f>IFERROR(__xludf.DUMMYFUNCTION("""COMPUTED_VALUE"""),"AUEC Fee2")</f>
        <v>AUEC Fee2</v>
      </c>
      <c r="I5" s="28" t="str">
        <f>IFERROR(__xludf.DUMMYFUNCTION("""COMPUTED_VALUE"""),"AUECID")</f>
        <v>AUECID</v>
      </c>
      <c r="J5" s="28" t="str">
        <f>IFERROR(__xludf.DUMMYFUNCTION("""COMPUTED_VALUE"""),"Avg Price(Base)")</f>
        <v>Avg Price(Base)</v>
      </c>
      <c r="K5" s="28" t="str">
        <f>IFERROR(__xludf.DUMMYFUNCTION("""COMPUTED_VALUE"""),"Avg Price(Local)")</f>
        <v>Avg Price(Local)</v>
      </c>
      <c r="L5" s="28" t="str">
        <f>IFERROR(__xludf.DUMMYFUNCTION("""COMPUTED_VALUE"""),"Bloomberg")</f>
        <v>Bloomberg</v>
      </c>
      <c r="M5" s="28" t="str">
        <f>IFERROR(__xludf.DUMMYFUNCTION("""COMPUTED_VALUE"""),"Bond Type")</f>
        <v>Bond Type</v>
      </c>
      <c r="N5" s="28" t="str">
        <f>IFERROR(__xludf.DUMMYFUNCTION("""COMPUTED_VALUE"""),"Broker")</f>
        <v>Broker</v>
      </c>
      <c r="O5" s="28" t="str">
        <f>IFERROR(__xludf.DUMMYFUNCTION("""COMPUTED_VALUE"""),"Change Comment")</f>
        <v>Change Comment</v>
      </c>
      <c r="P5" s="28" t="str">
        <f>IFERROR(__xludf.DUMMYFUNCTION("""COMPUTED_VALUE"""),"Change Type")</f>
        <v>Change Type</v>
      </c>
      <c r="Q5" s="28" t="str">
        <f>IFERROR(__xludf.DUMMYFUNCTION("""COMPUTED_VALUE"""),"Clearing Broker Fee")</f>
        <v>Clearing Broker Fee</v>
      </c>
      <c r="R5" s="28" t="str">
        <f>IFERROR(__xludf.DUMMYFUNCTION("""COMPUTED_VALUE"""),"Closing Method")</f>
        <v>Closing Method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IFERROR(__xludf.DUMMYFUNCTION("""COMPUTED_VALUE"""),"Master Fund")</f>
        <v>Master Fund</v>
      </c>
      <c r="CR5" s="30" t="str">
        <f>IFERROR(__xludf.DUMMYFUNCTION("""COMPUTED_VALUE"""),"Borrow Broker")</f>
        <v>Borrow Broker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5"/>
      <c r="F6" s="13" t="s">
        <v>41</v>
      </c>
      <c r="G6" s="8"/>
      <c r="H6" s="8"/>
      <c r="I6" s="8"/>
      <c r="J6" s="13">
        <v>1</v>
      </c>
      <c r="K6" s="13">
        <v>1</v>
      </c>
      <c r="L6" s="8"/>
      <c r="M6" s="8"/>
      <c r="N6" s="13" t="s">
        <v>42</v>
      </c>
      <c r="O6" s="8"/>
      <c r="AD6" s="9" t="s">
        <v>43</v>
      </c>
      <c r="AE6" s="9">
        <v>1000</v>
      </c>
      <c r="AG6" s="9" t="s">
        <v>44</v>
      </c>
      <c r="AH6" s="9">
        <v>1</v>
      </c>
      <c r="AT6" s="9">
        <v>1014.0006</v>
      </c>
      <c r="AU6" s="9">
        <v>1014.0006</v>
      </c>
      <c r="AY6" s="9" t="s">
        <v>45</v>
      </c>
      <c r="BE6" s="9">
        <v>1000</v>
      </c>
      <c r="BF6" s="9">
        <v>1000</v>
      </c>
      <c r="BJ6" s="9">
        <v>1000</v>
      </c>
      <c r="BO6" s="9" t="s">
        <v>33</v>
      </c>
      <c r="BS6" s="9" t="s">
        <v>16</v>
      </c>
      <c r="CN6" s="9" t="s">
        <v>43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CheckUnallocatedGroups!$4:$4</formula1>
    </dataValidation>
  </dataValidations>
  <headerFooter/>
  <drawing r:id="rId1"/>
</worksheet>
</file>