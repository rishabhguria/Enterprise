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ustomOrderTT" sheetId="5" r:id="rId7"/>
    <sheet state="visible" name="VerifyTradeSummary" sheetId="6" r:id="rId8"/>
    <sheet state="visible" name="TradeNewSubOrder" sheetId="7" r:id="rId9"/>
    <sheet state="visible" name="CreateNewSubOrder" sheetId="8" r:id="rId10"/>
    <sheet state="visible" name="EditStageOrder" sheetId="9" r:id="rId11"/>
    <sheet state="visible" name="CreateReplaceOrder" sheetId="10" r:id="rId12"/>
    <sheet state="visible" name="VerifyOrder" sheetId="11" r:id="rId13"/>
    <sheet state="visible" name="Copy of Data" sheetId="12" r:id="rId14"/>
  </sheets>
  <definedNames/>
  <calcPr/>
</workbook>
</file>

<file path=xl/sharedStrings.xml><?xml version="1.0" encoding="utf-8"?>
<sst xmlns="http://schemas.openxmlformats.org/spreadsheetml/2006/main" count="228" uniqueCount="54">
  <si>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</si>
  <si>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</si>
  <si>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</si>
  <si>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</si>
  <si>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</si>
  <si>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</si>
  <si>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</si>
  <si>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</si>
  <si>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</si>
  <si>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</si>
  <si>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</si>
  <si>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</si>
  <si>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</si>
  <si>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</si>
  <si>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</si>
  <si>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</si>
  <si>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</si>
  <si>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Increase</t>
  </si>
  <si>
    <t>Percentage</t>
  </si>
  <si>
    <t>Account</t>
  </si>
  <si>
    <t>Allocation2</t>
  </si>
  <si>
    <t>TradingTicket</t>
  </si>
  <si>
    <t>CustomOrderTT</t>
  </si>
  <si>
    <t>CreateOrder</t>
  </si>
  <si>
    <t>VerifyTradeSummary</t>
  </si>
  <si>
    <t>Sell short</t>
  </si>
  <si>
    <t>Yes</t>
  </si>
  <si>
    <t>Blotter</t>
  </si>
  <si>
    <t>TradeNewSubOrder</t>
  </si>
  <si>
    <t>New</t>
  </si>
  <si>
    <t>CreateNewSubOrder</t>
  </si>
  <si>
    <t>EditStageOrder</t>
  </si>
  <si>
    <t>PartiallyFilled</t>
  </si>
  <si>
    <t>CreateReplaceOrder</t>
  </si>
  <si>
    <t>VerifyOrder</t>
  </si>
  <si>
    <t/>
  </si>
  <si>
    <t>MSFT US EQUITY</t>
  </si>
  <si>
    <t>NASDAQ</t>
  </si>
  <si>
    <t>jpearce</t>
  </si>
  <si>
    <t>US</t>
  </si>
  <si>
    <t>GCCAP1</t>
  </si>
  <si>
    <t>USD</t>
  </si>
  <si>
    <t>NONE</t>
  </si>
  <si>
    <t>NewMF1</t>
  </si>
  <si>
    <t>M</t>
  </si>
  <si>
    <t>Equity</t>
  </si>
  <si>
    <t>Replaced</t>
  </si>
  <si>
    <t>MS</t>
  </si>
  <si>
    <t>Market</t>
  </si>
  <si>
    <t>Manual</t>
  </si>
  <si>
    <t>Day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</si>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</sst>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2.0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23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IFERROR(__xludf.DUMMYFUNCTION("""COMPUTED_VALUE"""),"Quantity")</f>
        <v>Quantity</v>
      </c>
      <c r="D5" s="27" t="str">
        <f>IFERROR(__xludf.DUMMYFUNCTION("""COMPUTED_VALUE"""),"Order side")</f>
        <v>Order side</v>
      </c>
      <c r="E5" s="27" t="str">
        <f>IFERROR(__xludf.DUMMYFUNCTION("""COMPUTED_VALUE"""),"AllowTrade")</f>
        <v>AllowTrade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50057.0</v>
      </c>
      <c r="D6" s="12" t="s">
        <v>25</v>
      </c>
      <c r="E6" s="12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VerifyTradeSummary!$4:$4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S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35</v>
      </c>
      <c r="B6" s="31"/>
      <c r="C6" s="8"/>
      <c r="D6" s="31">
        <v>2.0</v>
      </c>
      <c r="E6" s="8" t="s">
        <v>36</v>
      </c>
      <c r="F6" s="8"/>
      <c r="G6" s="8"/>
      <c r="H6" s="8" t="s">
        <v>37</v>
      </c>
      <c r="I6" s="8" t="s">
        <v>38</v>
      </c>
      <c r="J6" s="8" t="s">
        <v>16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A6" t="s">
        <v>43</v>
      </c>
      <c r="AD6">
        <v>1.0</v>
      </c>
      <c r="AF6" t="s">
        <v>44</v>
      </c>
      <c r="AG6">
        <v>2.0</v>
      </c>
      <c r="AH6" t="s">
        <v>45</v>
      </c>
      <c r="AI6" t="s">
        <v>16</v>
      </c>
      <c r="AJ6" t="s">
        <v>25</v>
      </c>
      <c r="AK6" t="s">
        <v>46</v>
      </c>
      <c r="AL6">
        <v>1000.0</v>
      </c>
      <c r="AM6">
        <v>200.0</v>
      </c>
      <c r="AN6">
        <v>20.0</v>
      </c>
      <c r="AO6">
        <v>200.0</v>
      </c>
      <c r="AP6">
        <v>800.0</v>
      </c>
      <c r="AR6">
        <v>2.0</v>
      </c>
      <c r="AS6" t="s">
        <v>47</v>
      </c>
      <c r="AT6" t="s">
        <v>20</v>
      </c>
      <c r="AU6" t="s">
        <v>48</v>
      </c>
      <c r="AX6" t="s">
        <v>49</v>
      </c>
      <c r="AY6" t="s">
        <v>35</v>
      </c>
      <c r="AZ6">
        <v>800.0</v>
      </c>
      <c r="BA6" t="s">
        <v>38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12</v>
      </c>
      <c r="BH6" t="s">
        <v>50</v>
      </c>
      <c r="BK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 t="s">
        <v>53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