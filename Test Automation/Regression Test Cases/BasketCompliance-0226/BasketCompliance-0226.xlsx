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CreateComplianceOrder" sheetId="11" r:id="rId13"/>
    <sheet state="visible" name="VerifyComplianceOrder" sheetId="12" r:id="rId14"/>
    <sheet state="visible" name="SelectTradeOnOrderGrid" sheetId="13" r:id="rId15"/>
    <sheet state="visible" name="CreateReplaceOrder" sheetId="14" r:id="rId16"/>
    <sheet state="visible" name="ReplaceSubOrder" sheetId="15" r:id="rId17"/>
    <sheet state="visible" name="CancelSubOrder" sheetId="16" r:id="rId18"/>
    <sheet state="visible" name="VerifyComplianceOrder1" sheetId="17" r:id="rId19"/>
  </sheets>
  <definedNames/>
  <calcPr/>
</workbook>
</file>

<file path=xl/sharedStrings.xml><?xml version="1.0" encoding="utf-8"?>
<sst xmlns="http://schemas.openxmlformats.org/spreadsheetml/2006/main" count="239" uniqueCount="63">
  <si>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</si>
  <si>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</si>
  <si>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</si>
  <si>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</si>
  <si>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</si>
  <si>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</si>
  <si>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</si>
  <si>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</si>
  <si>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</si>
  <si>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</si>
  <si>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</si>
  <si>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</si>
  <si>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</si>
  <si>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</si>
  <si>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</si>
  <si>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</si>
  <si>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</si>
  <si>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</si>
  <si>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</si>
  <si>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</si>
  <si>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</si>
  <si>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</si>
  <si>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</si>
  <si>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</si>
  <si>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O:COP 14O62.50</t>
  </si>
  <si>
    <t>Buy to Open</t>
  </si>
  <si>
    <t>Allocation2</t>
  </si>
  <si>
    <t>ES U2</t>
  </si>
  <si>
    <t>FRU-TC</t>
  </si>
  <si>
    <t>DBLSX</t>
  </si>
  <si>
    <t>CreateStageOrder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</si>
  <si>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</si>
  <si>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</si>
  <si>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</si>
  <si>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</si>
  <si>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</si>
  <si>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</si>
  <si>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</si>
  <si>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</si>
  <si>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CreateComplianceOrder</t>
  </si>
  <si>
    <t>DoneAway</t>
  </si>
  <si>
    <t>VerifyComplianceOrder</t>
  </si>
  <si>
    <t>Soft</t>
  </si>
  <si>
    <t>Global_NMV</t>
  </si>
  <si>
    <t>Enter Summary</t>
  </si>
  <si>
    <t>Global</t>
  </si>
  <si>
    <t>percentNetMarketValueGlobal: 163.9633</t>
  </si>
  <si>
    <t>Global_NEG</t>
  </si>
  <si>
    <t>percentNetExposureGlobal: 275.3514</t>
  </si>
  <si>
    <t>Global_GMV</t>
  </si>
  <si>
    <t>percentGrossMarketValueGlobal: 163.9633</t>
  </si>
  <si>
    <t>Global_GEV</t>
  </si>
  <si>
    <t>percentGrossExposureGlobal: 339.0018</t>
  </si>
  <si>
    <t>Blotter</t>
  </si>
  <si>
    <t>SelectTradeOnOrderGrid</t>
  </si>
  <si>
    <t>Filled</t>
  </si>
  <si>
    <t>CreateReplaceOrder</t>
  </si>
  <si>
    <t>ReplaceSubOrder</t>
  </si>
  <si>
    <t>CancelSubOrder</t>
  </si>
  <si>
    <t>percentNetMarketValueGlobal: 167.0523</t>
  </si>
  <si>
    <t>percentNetExposureGlobal: 276.9827</t>
  </si>
  <si>
    <t>percentGrossMarketValueGlobal: 167.0523</t>
  </si>
  <si>
    <t>percentGrossExposureGlobal: 339.80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</si>
</sst>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3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10" fillId="7" fontId="14" numFmtId="0" xfId="0" applyAlignment="1" applyBorder="1" applyFill="1" applyFont="1">
      <alignment horizontal="left" readingOrder="0" shrinkToFit="0" vertical="top" wrapText="0"/>
    </xf>
    <xf borderId="10" fillId="8" fontId="15" numFmtId="0" xfId="0" applyAlignment="1" applyBorder="1" applyFill="1" applyFont="1">
      <alignment horizontal="left" readingOrder="0" shrinkToFit="0" vertical="top" wrapText="0"/>
    </xf>
    <xf borderId="10" fillId="9" fontId="15" numFmtId="0" xfId="0" applyAlignment="1" applyBorder="1" applyFill="1" applyFont="1">
      <alignment horizontal="left" readingOrder="0" shrinkToFit="0" vertical="top" wrapText="0"/>
    </xf>
    <xf borderId="0" fillId="0" fontId="3" numFmtId="0" xfId="0" applyAlignment="1" applyFont="1">
      <alignment horizontal="right" vertical="bottom"/>
    </xf>
    <xf borderId="10" fillId="8" fontId="16" numFmtId="0" xfId="0" applyAlignment="1" applyBorder="1" applyFont="1">
      <alignment horizontal="left" readingOrder="0" shrinkToFit="0" vertical="top" wrapText="0"/>
    </xf>
    <xf borderId="10" fillId="9" fontId="16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21</v>
      </c>
      <c r="C7" s="31" t="s">
        <v>22</v>
      </c>
      <c r="D7" s="36">
        <v>100.0</v>
      </c>
      <c r="E7" s="36">
        <v>0.0</v>
      </c>
      <c r="F7" s="31" t="s">
        <v>23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24</v>
      </c>
      <c r="C8" s="31" t="s">
        <v>25</v>
      </c>
      <c r="D8" s="36">
        <v>10.0</v>
      </c>
      <c r="E8" s="31"/>
      <c r="F8" s="31" t="s">
        <v>26</v>
      </c>
      <c r="G8" s="31"/>
      <c r="H8" s="31"/>
      <c r="I8" s="31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7"/>
      <c r="B9" s="38" t="s">
        <v>24</v>
      </c>
      <c r="C9" s="39" t="s">
        <v>25</v>
      </c>
      <c r="D9" s="40">
        <v>10.0</v>
      </c>
      <c r="E9" s="40">
        <v>0.0</v>
      </c>
      <c r="F9" s="41" t="s">
        <v>26</v>
      </c>
      <c r="G9" s="41"/>
      <c r="H9" s="41"/>
      <c r="I9" s="41"/>
      <c r="J9" s="36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27</v>
      </c>
      <c r="C10" s="38" t="s">
        <v>22</v>
      </c>
      <c r="D10" s="42">
        <v>100.0</v>
      </c>
      <c r="E10" s="38"/>
      <c r="F10" s="31" t="s">
        <v>26</v>
      </c>
      <c r="G10" s="38"/>
      <c r="H10" s="38"/>
      <c r="I10" s="38"/>
      <c r="J10" s="36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18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38" t="s">
        <v>27</v>
      </c>
      <c r="C11" s="38" t="s">
        <v>22</v>
      </c>
      <c r="D11" s="42">
        <v>100.0</v>
      </c>
      <c r="E11" s="43">
        <v>0.0</v>
      </c>
      <c r="F11" s="31" t="s">
        <v>26</v>
      </c>
      <c r="G11" s="38"/>
      <c r="H11" s="38"/>
      <c r="I11" s="38"/>
      <c r="J11" s="36">
        <v>10.0</v>
      </c>
      <c r="K11" s="4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18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8"/>
      <c r="B12" s="43">
        <v>1.23456789E8</v>
      </c>
      <c r="C12" s="38" t="s">
        <v>22</v>
      </c>
      <c r="D12" s="42">
        <v>100.0</v>
      </c>
      <c r="E12" s="38"/>
      <c r="F12" s="31" t="s">
        <v>26</v>
      </c>
      <c r="G12" s="38"/>
      <c r="H12" s="38"/>
      <c r="I12" s="38"/>
      <c r="J12" s="36">
        <v>10.0</v>
      </c>
      <c r="K12" s="38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18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44"/>
      <c r="B13" s="43">
        <v>1.23456789E8</v>
      </c>
      <c r="C13" s="38" t="s">
        <v>22</v>
      </c>
      <c r="D13" s="42">
        <v>100.0</v>
      </c>
      <c r="E13" s="43">
        <v>0.0</v>
      </c>
      <c r="F13" s="41" t="s">
        <v>26</v>
      </c>
      <c r="G13" s="38"/>
      <c r="H13" s="38"/>
      <c r="I13" s="38"/>
      <c r="J13" s="36">
        <v>10.0</v>
      </c>
      <c r="K13" s="38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18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7"/>
      <c r="B14" s="38" t="s">
        <v>28</v>
      </c>
      <c r="C14" s="38" t="s">
        <v>22</v>
      </c>
      <c r="D14" s="42">
        <v>100.0</v>
      </c>
      <c r="E14" s="38"/>
      <c r="F14" s="31" t="s">
        <v>23</v>
      </c>
      <c r="G14" s="38"/>
      <c r="H14" s="38"/>
      <c r="I14" s="38"/>
      <c r="J14" s="36">
        <v>10.0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18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7"/>
      <c r="B15" s="38" t="s">
        <v>28</v>
      </c>
      <c r="C15" s="38" t="s">
        <v>22</v>
      </c>
      <c r="D15" s="42">
        <v>100.0</v>
      </c>
      <c r="E15" s="43">
        <v>0.0</v>
      </c>
      <c r="F15" s="31" t="s">
        <v>23</v>
      </c>
      <c r="G15" s="38"/>
      <c r="H15" s="38"/>
      <c r="I15" s="38"/>
      <c r="J15" s="36">
        <v>10.0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18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7"/>
      <c r="B16" s="38" t="s">
        <v>29</v>
      </c>
      <c r="C16" s="38" t="s">
        <v>22</v>
      </c>
      <c r="D16" s="42">
        <v>100.0</v>
      </c>
      <c r="E16" s="38"/>
      <c r="F16" s="31" t="s">
        <v>23</v>
      </c>
      <c r="G16" s="38"/>
      <c r="H16" s="38"/>
      <c r="I16" s="38"/>
      <c r="J16" s="36">
        <v>10.0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18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7"/>
      <c r="B17" s="38" t="s">
        <v>29</v>
      </c>
      <c r="C17" s="38" t="s">
        <v>22</v>
      </c>
      <c r="D17" s="42">
        <v>100.0</v>
      </c>
      <c r="E17" s="43">
        <v>0.0</v>
      </c>
      <c r="F17" s="41" t="s">
        <v>23</v>
      </c>
      <c r="G17" s="38"/>
      <c r="H17" s="38"/>
      <c r="I17" s="38"/>
      <c r="J17" s="36">
        <v>10.0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18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7"/>
      <c r="B7" s="38" t="s">
        <v>24</v>
      </c>
      <c r="C7" s="31" t="s">
        <v>25</v>
      </c>
      <c r="D7" s="36">
        <v>10.0</v>
      </c>
      <c r="E7" s="31"/>
      <c r="F7" s="31" t="s">
        <v>26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27</v>
      </c>
      <c r="C8" s="38" t="s">
        <v>22</v>
      </c>
      <c r="D8" s="42">
        <v>100.0</v>
      </c>
      <c r="E8" s="38"/>
      <c r="F8" s="31" t="s">
        <v>26</v>
      </c>
      <c r="G8" s="38"/>
      <c r="H8" s="38"/>
      <c r="I8" s="38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8"/>
      <c r="B9" s="43">
        <v>1.23456789E8</v>
      </c>
      <c r="C9" s="38" t="s">
        <v>22</v>
      </c>
      <c r="D9" s="42">
        <v>100.0</v>
      </c>
      <c r="E9" s="38"/>
      <c r="F9" s="31" t="s">
        <v>26</v>
      </c>
      <c r="G9" s="38"/>
      <c r="H9" s="38"/>
      <c r="I9" s="38"/>
      <c r="J9" s="36">
        <v>10.0</v>
      </c>
      <c r="K9" s="38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28</v>
      </c>
      <c r="C10" s="38" t="s">
        <v>22</v>
      </c>
      <c r="D10" s="42">
        <v>100.0</v>
      </c>
      <c r="E10" s="38"/>
      <c r="F10" s="31" t="s">
        <v>23</v>
      </c>
      <c r="G10" s="38"/>
      <c r="H10" s="38"/>
      <c r="I10" s="38"/>
      <c r="J10" s="36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38" t="s">
        <v>29</v>
      </c>
      <c r="C11" s="38" t="s">
        <v>22</v>
      </c>
      <c r="D11" s="42">
        <v>100.0</v>
      </c>
      <c r="E11" s="38"/>
      <c r="F11" s="31" t="s">
        <v>23</v>
      </c>
      <c r="G11" s="38"/>
      <c r="H11" s="38"/>
      <c r="I11" s="38"/>
      <c r="J11" s="36">
        <v>10.0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21</v>
      </c>
      <c r="C6" s="46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7"/>
      <c r="B7" s="38" t="s">
        <v>28</v>
      </c>
      <c r="C7" s="36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29</v>
      </c>
      <c r="C8" s="36">
        <v>20.0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7"/>
      <c r="B9" s="38" t="s">
        <v>24</v>
      </c>
      <c r="C9" s="36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27</v>
      </c>
      <c r="C10" s="36">
        <v>20.0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43">
        <v>1.23456789E8</v>
      </c>
      <c r="C11" s="36">
        <v>20.0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7" t="s">
        <v>32</v>
      </c>
      <c r="C12" s="36">
        <v>20.0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>
        <f t="shared" ref="B6:C6" si="1">today()-1</f>
        <v>45853</v>
      </c>
      <c r="C6" s="49">
        <f t="shared" si="1"/>
        <v>45853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0"/>
      <c r="B6" s="51" t="s">
        <v>36</v>
      </c>
      <c r="C6" s="52" t="s">
        <v>37</v>
      </c>
      <c r="D6" s="53" t="s">
        <v>38</v>
      </c>
      <c r="E6" s="46">
        <v>1.2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28</v>
      </c>
      <c r="C6" s="47" t="s">
        <v>22</v>
      </c>
      <c r="D6" s="35">
        <v>100.0</v>
      </c>
      <c r="E6" s="31"/>
      <c r="F6" s="47" t="s">
        <v>23</v>
      </c>
      <c r="G6" s="31"/>
      <c r="H6" s="31"/>
      <c r="I6" s="31"/>
      <c r="J6" s="36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40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5" t="s">
        <v>42</v>
      </c>
      <c r="C6" s="56" t="s">
        <v>43</v>
      </c>
      <c r="D6" s="56" t="s">
        <v>44</v>
      </c>
      <c r="E6" s="56" t="s">
        <v>45</v>
      </c>
      <c r="F6" s="56">
        <v>-10.0</v>
      </c>
      <c r="G6" s="56">
        <v>163.96</v>
      </c>
      <c r="H6" s="56" t="s">
        <v>46</v>
      </c>
      <c r="I6" s="8"/>
      <c r="J6" s="8"/>
      <c r="K6" s="12" t="s">
        <v>18</v>
      </c>
      <c r="L6" s="8"/>
      <c r="M6" s="12" t="s">
        <v>40</v>
      </c>
      <c r="N6" s="8"/>
      <c r="O6" s="8"/>
    </row>
    <row r="7" ht="15.75" customHeight="1">
      <c r="A7" s="8"/>
      <c r="B7" s="55" t="s">
        <v>42</v>
      </c>
      <c r="C7" s="57" t="s">
        <v>47</v>
      </c>
      <c r="D7" s="57" t="s">
        <v>44</v>
      </c>
      <c r="E7" s="57" t="s">
        <v>45</v>
      </c>
      <c r="F7" s="57">
        <v>-10.0</v>
      </c>
      <c r="G7" s="57">
        <v>275.35</v>
      </c>
      <c r="H7" s="57" t="s">
        <v>48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55" t="s">
        <v>42</v>
      </c>
      <c r="C8" s="56" t="s">
        <v>49</v>
      </c>
      <c r="D8" s="56" t="s">
        <v>44</v>
      </c>
      <c r="E8" s="56" t="s">
        <v>45</v>
      </c>
      <c r="F8" s="56">
        <v>-10.0</v>
      </c>
      <c r="G8" s="56">
        <v>163.96</v>
      </c>
      <c r="H8" s="56" t="s">
        <v>50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55" t="s">
        <v>42</v>
      </c>
      <c r="C9" s="57" t="s">
        <v>51</v>
      </c>
      <c r="D9" s="57" t="s">
        <v>44</v>
      </c>
      <c r="E9" s="57" t="s">
        <v>45</v>
      </c>
      <c r="F9" s="57">
        <v>-10.0</v>
      </c>
      <c r="G9" s="57">
        <v>339.0</v>
      </c>
      <c r="H9" s="57" t="s">
        <v>52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4" t="s">
        <v>28</v>
      </c>
      <c r="E6" s="31"/>
      <c r="F6" s="47" t="s">
        <v>22</v>
      </c>
      <c r="G6" s="47" t="s">
        <v>55</v>
      </c>
      <c r="H6" s="36">
        <v>100.0</v>
      </c>
      <c r="I6" s="31"/>
      <c r="J6" s="31"/>
      <c r="K6" s="31"/>
      <c r="L6" s="31"/>
      <c r="M6" s="31"/>
      <c r="N6" s="36">
        <v>20.0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>
        <v>200.0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18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28</v>
      </c>
      <c r="AK6" s="31" t="s">
        <v>22</v>
      </c>
      <c r="AL6" s="31" t="s">
        <v>55</v>
      </c>
      <c r="AM6" s="58">
        <v>100.0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28</v>
      </c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5" t="s">
        <v>42</v>
      </c>
      <c r="C6" s="56" t="s">
        <v>43</v>
      </c>
      <c r="D6" s="56" t="s">
        <v>44</v>
      </c>
      <c r="E6" s="56" t="s">
        <v>45</v>
      </c>
      <c r="F6" s="56">
        <v>-10.0</v>
      </c>
      <c r="G6" s="56">
        <v>167.05</v>
      </c>
      <c r="H6" s="59" t="s">
        <v>59</v>
      </c>
      <c r="I6" s="8"/>
      <c r="J6" s="8"/>
      <c r="K6" s="12" t="s">
        <v>18</v>
      </c>
      <c r="L6" s="8"/>
      <c r="M6" s="12" t="s">
        <v>40</v>
      </c>
      <c r="N6" s="8"/>
      <c r="O6" s="8"/>
    </row>
    <row r="7" ht="15.75" customHeight="1">
      <c r="A7" s="8"/>
      <c r="B7" s="55" t="s">
        <v>42</v>
      </c>
      <c r="C7" s="57" t="s">
        <v>47</v>
      </c>
      <c r="D7" s="57" t="s">
        <v>44</v>
      </c>
      <c r="E7" s="57" t="s">
        <v>45</v>
      </c>
      <c r="F7" s="57">
        <v>-10.0</v>
      </c>
      <c r="G7" s="57">
        <v>276.98</v>
      </c>
      <c r="H7" s="60" t="s">
        <v>60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55" t="s">
        <v>42</v>
      </c>
      <c r="C8" s="56" t="s">
        <v>49</v>
      </c>
      <c r="D8" s="56" t="s">
        <v>44</v>
      </c>
      <c r="E8" s="56" t="s">
        <v>45</v>
      </c>
      <c r="F8" s="56">
        <v>-10.0</v>
      </c>
      <c r="G8" s="56">
        <v>167.05</v>
      </c>
      <c r="H8" s="59" t="s">
        <v>61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55" t="s">
        <v>42</v>
      </c>
      <c r="C9" s="57" t="s">
        <v>51</v>
      </c>
      <c r="D9" s="57" t="s">
        <v>44</v>
      </c>
      <c r="E9" s="57" t="s">
        <v>45</v>
      </c>
      <c r="F9" s="57">
        <v>-10.0</v>
      </c>
      <c r="G9" s="57">
        <v>339.8</v>
      </c>
      <c r="H9" s="60" t="s">
        <v>62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