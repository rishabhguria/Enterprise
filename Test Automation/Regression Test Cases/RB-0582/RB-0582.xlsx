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GetDailyCash" sheetId="5" r:id="rId7"/>
    <sheet state="visible" name="UpdateMultipleDailyCash" sheetId="6" r:id="rId8"/>
    <sheet state="visible" name="RebalancePreference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RunRebalance3" sheetId="18" r:id="rId20"/>
    <sheet state="visible" name="SendtoStaging3" sheetId="19" r:id="rId21"/>
    <sheet state="visible" name="RunRebalance4" sheetId="20" r:id="rId22"/>
    <sheet state="visible" name="SendtoStaging4" sheetId="21" r:id="rId23"/>
    <sheet state="visible" name="RunRebalance5" sheetId="22" r:id="rId24"/>
    <sheet state="visible" name="SendtoStaging5" sheetId="23" r:id="rId25"/>
  </sheets>
  <calcPr fullCalcOnLoad="1" fullPrecision="1"/>
</workbook>
</file>

<file path=xl/sharedStrings.xml><?xml version="1.0" encoding="utf-8"?>
<sst xmlns="http://schemas.openxmlformats.org/spreadsheetml/2006/main" count="50" uniqueCount="50">
  <si>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</si>
  <si>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</si>
  <si>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</si>
  <si>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</si>
  <si>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</si>
  <si>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</si>
  <si>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</si>
  <si>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</si>
  <si>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</si>
  <si>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</si>
  <si>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</si>
  <si>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AppSetting_Key</t>
  </si>
  <si>
    <t>AppSetting_Value</t>
  </si>
  <si>
    <t>EquitySwapsMarketValueAsEquity</t>
  </si>
  <si>
    <t>Data</t>
  </si>
  <si>
    <t>DailyValuation</t>
  </si>
  <si>
    <t>GetDailyCash</t>
  </si>
  <si>
    <t>Data Format</t>
  </si>
  <si>
    <t>Input Format</t>
  </si>
  <si>
    <t>Select Date</t>
  </si>
  <si>
    <t>Copy From</t>
  </si>
  <si>
    <t>UpdateMultipleDailyCash</t>
  </si>
  <si>
    <t>Allocation1</t>
  </si>
  <si>
    <t>USD</t>
  </si>
  <si>
    <t>Allocation5</t>
  </si>
  <si>
    <t>Rebalancer</t>
  </si>
  <si>
    <t>RebalancePreference</t>
  </si>
  <si>
    <t>Allocation1,Other Assets Market Value,Swap NAV Adjustments,Unrealized P&amp;L of Swaps</t>
  </si>
  <si>
    <t>FetchAccountPositions</t>
  </si>
  <si>
    <t>AddCash</t>
  </si>
  <si>
    <t>Impact NAV</t>
  </si>
  <si>
    <t>Target Cash-31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</si>
  <si>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</si>
  <si>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</si>
  <si>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</si>
  <si>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</si>
  <si>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</si>
  <si>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</si>
  <si>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</si>
  <si>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</si>
  <si>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</si>
  <si>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AMZN</t>
  </si>
  <si>
    <t>FRA-FRA</t>
  </si>
  <si>
    <t>SellShort</t>
  </si>
  <si>
    <t>GLE-LON</t>
  </si>
  <si>
    <t>INFY</t>
  </si>
  <si>
    <t>KO</t>
  </si>
  <si>
    <t>SAP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</si>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</sst>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sz val="11"/>
      <name val="Calibri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8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0" applyFont="1" fillId="0" borderId="0" xfId="0" applyAlignment="1"/>
    <xf numFmtId="0" fontId="10" applyFont="1" fillId="0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14" applyNumberFormat="1" fontId="5" applyFont="1" fillId="0" borderId="0" xfId="0" applyAlignment="1"/>
    <xf numFmtId="14" applyNumberFormat="1" fontId="5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3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14" applyFont="1" fillId="0" borderId="0" xfId="0" applyAlignment="1"/>
    <xf numFmtId="0" fontId="14" applyFont="1" fillId="0" borderId="0" xfId="0" applyAlignment="1">
      <alignment horizontal="right"/>
    </xf>
    <xf numFmtId="3" applyNumberFormat="1" fontId="14" applyFont="1" fillId="0" borderId="0" xfId="0" applyAlignment="1">
      <alignment horizontal="right"/>
    </xf>
    <xf numFmtId="0" fontId="14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00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IFERROR(__xludf.DUMMYFUNCTION("""COMPUTED_VALUE"""),"1RWrzEP7tKvSTkC1z87RsjU_EZslvD2btXJuTWRIwRLU")</f>
        <v>1RWrzEP7tKvSTkC1z87RsjU_EZslvD2btXJuTWRIwRLU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IFERROR(__xludf.DUMMYFUNCTION("""COMPUTED_VALUE"""),"1XzjmPmpB7IMcyzPSsbgmFfzjE_zIKdjrk0mUoMFhNZc")</f>
        <v>1XzjmPmpB7IMcyzPSsbgmFfzjE_zIKdjrk0mUoMFhNZc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>
      <c r="A874" s="0" t="str">
        <f>IFERROR(__xludf.DUMMYFUNCTION("""COMPUTED_VALUE"""),"Blotter")</f>
        <v>Blotter</v>
      </c>
      <c r="B874" s="0" t="str">
        <f>IFERROR(__xludf.DUMMYFUNCTION("""COMPUTED_VALUE"""),"ActionOnFloatingWindow")</f>
        <v>ActionOnFloatingWindow</v>
      </c>
      <c r="C874" s="0" t="str">
        <f>IFERROR(__xludf.DUMMYFUNCTION("""COMPUTED_VALUE"""),"1tFNUPT3PXgCKRnnehGwo6OF7EhLu13UJ8Elfq83HArE")</f>
        <v>1tFNUPT3PXgCKRnnehGwo6OF7EhLu13UJ8Elfq83HArE</v>
      </c>
    </row>
    <row r="875" ht="15.75" customHeight="1">
      <c r="A875" s="0" t="str">
        <f>IFERROR(__xludf.DUMMYFUNCTION("""COMPUTED_VALUE"""),"PTT")</f>
        <v>PTT</v>
      </c>
      <c r="B875" s="0" t="str">
        <f>IFERROR(__xludf.DUMMYFUNCTION("""COMPUTED_VALUE"""),"PTTDashBoard")</f>
        <v>PTTDashBoard</v>
      </c>
      <c r="C875" s="0" t="str">
        <f>IFERROR(__xludf.DUMMYFUNCTION("""COMPUTED_VALUE"""),"1DUwxSUq_47EK60XmK3LOdCXa1fkWqWJE9bLuGS3ccv412")</f>
        <v>1DUwxSUq_47EK60XmK3LOdCXa1fkWqWJE9bLuGS3ccv412</v>
      </c>
    </row>
    <row r="876" ht="15.75" customHeight="1">
      <c r="A876" s="0" t="str">
        <f>IFERROR(__xludf.DUMMYFUNCTION("""COMPUTED_VALUE"""),"OpenFin")</f>
        <v>OpenFin</v>
      </c>
      <c r="B876" s="0" t="str">
        <f>IFERROR(__xludf.DUMMYFUNCTION("""COMPUTED_VALUE"""),"LockUnlockModule")</f>
        <v>LockUnlockModule</v>
      </c>
      <c r="C876" s="0" t="str">
        <f>IFERROR(__xludf.DUMMYFUNCTION("""COMPUTED_VALUE"""),"179D0kPRO8f_KLxd7hs6seM9XGxpL-u1rhIhNgFVePsQ")</f>
        <v>179D0kPRO8f_KLxd7hs6seM9XGxpL-u1rhIhNgFVePsQ</v>
      </c>
    </row>
    <row r="877" ht="15.75" customHeight="1">
      <c r="A877" s="0" t="str">
        <f>IFERROR(__xludf.DUMMYFUNCTION("""COMPUTED_VALUE"""),"OpenFin")</f>
        <v>OpenFin</v>
      </c>
      <c r="B877" s="0" t="str">
        <f>IFERROR(__xludf.DUMMYFUNCTION("""COMPUTED_VALUE"""),"OpenModuleFromDock")</f>
        <v>OpenModuleFromDock</v>
      </c>
      <c r="C877" s="0" t="str">
        <f>IFERROR(__xludf.DUMMYFUNCTION("""COMPUTED_VALUE"""),"1IdmD7l42pWNjFNVt_7UwbOO7y5tDxaXr7tE60c9ETLw")</f>
        <v>1IdmD7l42pWNjFNVt_7UwbOO7y5tDxaXr7tE60c9ETLw</v>
      </c>
    </row>
    <row r="878" ht="15.75" customHeight="1">
      <c r="A878" s="0" t="str">
        <f>IFERROR(__xludf.DUMMYFUNCTION("""COMPUTED_VALUE"""),"Rebalancer")</f>
        <v>Rebalancer</v>
      </c>
      <c r="B878" s="0" t="str">
        <f>IFERROR(__xludf.DUMMYFUNCTION("""COMPUTED_VALUE"""),"VerifyCFI")</f>
        <v>VerifyCFI</v>
      </c>
      <c r="C878" s="0" t="str">
        <f>IFERROR(__xludf.DUMMYFUNCTION("""COMPUTED_VALUE"""),"1DUwxSUq_47EK60XmK3LOdCXa1fkWqWJE9bLuGS3ccv412")</f>
        <v>1DUwxSUq_47EK60XmK3LOdCXa1fkWqWJE9bLuGS3ccv412</v>
      </c>
    </row>
    <row r="879" ht="15.75" customHeight="1">
      <c r="A879" s="0" t="str">
        <f>IFERROR(__xludf.DUMMYFUNCTION("""COMPUTED_VALUE"""),"Blotter")</f>
        <v>Blotter</v>
      </c>
      <c r="B879" s="0" t="str">
        <f>IFERROR(__xludf.DUMMYFUNCTION("""COMPUTED_VALUE"""),"EnableOrVerifyHotButton")</f>
        <v>EnableOrVerifyHotButton</v>
      </c>
      <c r="C879" s="0" t="str">
        <f>IFERROR(__xludf.DUMMYFUNCTION("""COMPUTED_VALUE"""),"1wa8x9d9kPOHEp49mT2DEW0cyjjOClvAgixk1H2w-Tos")</f>
        <v>1wa8x9d9kPOHEp49mT2DEW0cyjjOClvAgixk1H2w-Tos</v>
      </c>
    </row>
    <row r="880" ht="15.75" customHeight="1">
      <c r="A880" s="0" t="str">
        <f>IFERROR(__xludf.DUMMYFUNCTION("""COMPUTED_VALUE"""),"TradeServer")</f>
        <v>TradeServer</v>
      </c>
      <c r="B880" s="0" t="str">
        <f>IFERROR(__xludf.DUMMYFUNCTION("""COMPUTED_VALUE"""),"RestartServerOnly")</f>
        <v>RestartServerOnly</v>
      </c>
      <c r="C880" s="0" t="str">
        <f>IFERROR(__xludf.DUMMYFUNCTION("""COMPUTED_VALUE"""),"Undefined")</f>
        <v>Undefined</v>
      </c>
    </row>
    <row r="881" ht="15.75" customHeight="1">
      <c r="A881" s="0" t="str">
        <f>IFERROR(__xludf.DUMMYFUNCTION("""COMPUTED_VALUE"""),"Rebalancer")</f>
        <v>Rebalancer</v>
      </c>
      <c r="B881" s="0" t="str">
        <f>IFERROR(__xludf.DUMMYFUNCTION("""COMPUTED_VALUE"""),"ActionOnCFI")</f>
        <v>ActionOnCFI</v>
      </c>
      <c r="C881" s="0" t="str">
        <f>IFERROR(__xludf.DUMMYFUNCTION("""COMPUTED_VALUE"""),"1DUwxSUq_47EK60XmK3LOdCXa1fkWqWJE9bLuGS3ccv412")</f>
        <v>1DUwxSUq_47EK60XmK3LOdCXa1fkWqWJE9bLuGS3ccv412</v>
      </c>
    </row>
    <row r="882" ht="15.75" customHeight="1">
      <c r="A882" s="0" t="str">
        <f>IFERROR(__xludf.DUMMYFUNCTION("""COMPUTED_VALUE"""),"Rebalancer")</f>
        <v>Rebalancer</v>
      </c>
      <c r="B882" s="0" t="str">
        <f>IFERROR(__xludf.DUMMYFUNCTION("""COMPUTED_VALUE"""),"VerifyCFI")</f>
        <v>VerifyCFI</v>
      </c>
      <c r="C882" s="0" t="str">
        <f>IFERROR(__xludf.DUMMYFUNCTION("""COMPUTED_VALUE"""),"1DUwxSUq_47EK60XmK3LOdCXa1fkWqWJE9bLuGS3ccv412")</f>
        <v>1DUwxSUq_47EK60XmK3LOdCXa1fkWqWJE9bLuGS3ccv412</v>
      </c>
    </row>
    <row r="883" ht="15.75" customHeight="1">
      <c r="A883" s="0" t="str">
        <f>IFERROR(__xludf.DUMMYFUNCTION("""COMPUTED_VALUE"""),"Rebalancer")</f>
        <v>Rebalancer</v>
      </c>
      <c r="B883" s="0" t="str">
        <f>IFERROR(__xludf.DUMMYFUNCTION("""COMPUTED_VALUE"""),"VerifyDelRASGrid")</f>
        <v>VerifyDelRASGrid</v>
      </c>
      <c r="C883" s="0" t="str">
        <f>IFERROR(__xludf.DUMMYFUNCTION("""COMPUTED_VALUE"""),"1DUwxSUq_47EK60XmK3LOdCXa1fkWqWJE9bLuGS3ccv412")</f>
        <v>1DUwxSUq_47EK60XmK3LOdCXa1fkWqWJE9bLuGS3ccv412</v>
      </c>
    </row>
    <row r="884" ht="15.75" customHeight="1">
      <c r="A884" s="0" t="str">
        <f>IFERROR(__xludf.DUMMYFUNCTION("""COMPUTED_VALUE"""),"Allocation")</f>
        <v>Allocation</v>
      </c>
      <c r="B884" s="0" t="str">
        <f>IFERROR(__xludf.DUMMYFUNCTION("""COMPUTED_VALUE"""),"ActionOnUPW")</f>
        <v>ActionOnUPW</v>
      </c>
      <c r="C884" s="0" t="str">
        <f>IFERROR(__xludf.DUMMYFUNCTION("""COMPUTED_VALUE"""),"1DUwxSUq_47EK60XmK3LOdCXa1fkWqWJE9bLuGS3ccv413")</f>
        <v>1DUwxSUq_47EK60XmK3LOdCXa1fkWqWJE9bLuGS3ccv413</v>
      </c>
    </row>
    <row r="885" ht="15.75" customHeight="1">
      <c r="A885" s="0" t="str">
        <f>IFERROR(__xludf.DUMMYFUNCTION("""COMPUTED_VALUE"""),"Allocation")</f>
        <v>Allocation</v>
      </c>
      <c r="B885" s="0" t="str">
        <f>IFERROR(__xludf.DUMMYFUNCTION("""COMPUTED_VALUE"""),"DefaultRuleUPW")</f>
        <v>DefaultRuleUPW</v>
      </c>
      <c r="C885" s="0" t="str">
        <f>IFERROR(__xludf.DUMMYFUNCTION("""COMPUTED_VALUE"""),"1DUwxSUq_47EK60XmK3LOdCXa1fkWqWJE9bLuGS3ccv414")</f>
        <v>1DUwxSUq_47EK60XmK3LOdCXa1fkWqWJE9bLuGS3ccv414</v>
      </c>
    </row>
    <row r="886" ht="15.75" customHeight="1">
      <c r="A886" s="0" t="str">
        <f>IFERROR(__xludf.DUMMYFUNCTION("""COMPUTED_VALUE"""),"Allocation")</f>
        <v>Allocation</v>
      </c>
      <c r="B886" s="0" t="str">
        <f>IFERROR(__xludf.DUMMYFUNCTION("""COMPUTED_VALUE"""),"AccountStrategyUPW")</f>
        <v>AccountStrategyUPW</v>
      </c>
      <c r="C886" s="0" t="str">
        <f>IFERROR(__xludf.DUMMYFUNCTION("""COMPUTED_VALUE"""),"1DUwxSUq_47EK60XmK3LOdCXa1fkWqWJE9bLuGS3ccv415")</f>
        <v>1DUwxSUq_47EK60XmK3LOdCXa1fkWqWJE9bLuGS3ccv415</v>
      </c>
    </row>
    <row r="887" ht="15.75" customHeight="1">
      <c r="A887" s="0" t="str">
        <f>IFERROR(__xludf.DUMMYFUNCTION("""COMPUTED_VALUE"""),"Allocation")</f>
        <v>Allocation</v>
      </c>
      <c r="B887" s="0" t="str">
        <f>IFERROR(__xludf.DUMMYFUNCTION("""COMPUTED_VALUE"""),"ActionOnCalPref")</f>
        <v>ActionOnCalPref</v>
      </c>
      <c r="C887" s="0" t="str">
        <f>IFERROR(__xludf.DUMMYFUNCTION("""COMPUTED_VALUE"""),"1DUwxSUq_47EK60XmK3LOdCXa1fkWqWJE9bLuGS3ccv416")</f>
        <v>1DUwxSUq_47EK60XmK3LOdCXa1fkWqWJE9bLuGS3ccv416</v>
      </c>
    </row>
    <row r="888" ht="15.75" customHeight="1">
      <c r="A888" s="0" t="str">
        <f>IFERROR(__xludf.DUMMYFUNCTION("""COMPUTED_VALUE"""),"Allocation")</f>
        <v>Allocation</v>
      </c>
      <c r="B888" s="0" t="str">
        <f>IFERROR(__xludf.DUMMYFUNCTION("""COMPUTED_VALUE"""),"SetMFDefaultRule")</f>
        <v>SetMFDefaultRule</v>
      </c>
      <c r="C888" s="0" t="str">
        <f>IFERROR(__xludf.DUMMYFUNCTION("""COMPUTED_VALUE"""),"1DUwxSUq_47EK60XmK3LOdCXa1fkWqWJE9bLuGS3ccv417")</f>
        <v>1DUwxSUq_47EK60XmK3LOdCXa1fkWqWJE9bLuGS3ccv417</v>
      </c>
    </row>
    <row r="889" ht="15.75" customHeight="1">
      <c r="A889" s="0" t="str">
        <f>IFERROR(__xludf.DUMMYFUNCTION("""COMPUTED_VALUE"""),"Allocation")</f>
        <v>Allocation</v>
      </c>
      <c r="B889" s="0" t="str">
        <f>IFERROR(__xludf.DUMMYFUNCTION("""COMPUTED_VALUE"""),"ActionOnPrefWindow")</f>
        <v>ActionOnPrefWindow</v>
      </c>
      <c r="C889" s="0" t="str">
        <f>IFERROR(__xludf.DUMMYFUNCTION("""COMPUTED_VALUE"""),"1DUwxSUq_47EK60XmK3LOdCXa1fkWqWJE9bLuGS3ccv418")</f>
        <v>1DUwxSUq_47EK60XmK3LOdCXa1fkWqWJE9bLuGS3ccv418</v>
      </c>
    </row>
    <row r="890" ht="15.75" customHeight="1">
      <c r="A890" s="0" t="str">
        <f>IFERROR(__xludf.DUMMYFUNCTION("""COMPUTED_VALUE"""),"Allocation")</f>
        <v>Allocation</v>
      </c>
      <c r="B890" s="0" t="str">
        <f>IFERROR(__xludf.DUMMYFUNCTION("""COMPUTED_VALUE"""),"GetFixedPrefScheme")</f>
        <v>GetFixedPrefScheme</v>
      </c>
      <c r="C890" s="0" t="str">
        <f>IFERROR(__xludf.DUMMYFUNCTION("""COMPUTED_VALUE"""),"1DUwxSUq_47EK60XmK3LOdCXa1fkWqWJE9bLuGS3ccv419")</f>
        <v>1DUwxSUq_47EK60XmK3LOdCXa1fkWqWJE9bLuGS3ccv419</v>
      </c>
    </row>
    <row r="891" ht="15.75" customHeight="1">
      <c r="A891" s="0" t="str">
        <f>IFERROR(__xludf.DUMMYFUNCTION("""COMPUTED_VALUE"""),"Allocation")</f>
        <v>Allocation</v>
      </c>
      <c r="B891" s="0" t="str">
        <f>IFERROR(__xludf.DUMMYFUNCTION("""COMPUTED_VALUE"""),"VerifyFixedPref")</f>
        <v>VerifyFixedPref</v>
      </c>
      <c r="C891" s="0" t="str">
        <f>IFERROR(__xludf.DUMMYFUNCTION("""COMPUTED_VALUE"""),"1DUwxSUq_47EK60XmK3LOdCXa1fkWqWJE9bLuGS3ccv420")</f>
        <v>1DUwxSUq_47EK60XmK3LOdCXa1fkWqWJE9bLuGS3ccv420</v>
      </c>
    </row>
    <row r="892" ht="15.75" customHeight="1">
      <c r="A892" s="0" t="str">
        <f>IFERROR(__xludf.DUMMYFUNCTION("""COMPUTED_VALUE"""),"Allocation")</f>
        <v>Allocation</v>
      </c>
      <c r="B892" s="0" t="str">
        <f>IFERROR(__xludf.DUMMYFUNCTION("""COMPUTED_VALUE"""),"ActionOnToolBar")</f>
        <v>ActionOnToolBar</v>
      </c>
      <c r="C892" s="0" t="str">
        <f>IFERROR(__xludf.DUMMYFUNCTION("""COMPUTED_VALUE"""),"1DUwxSUq_47EK60XmK3LOdCXa1fkWqWJE9bLuGS3ccv421")</f>
        <v>1DUwxSUq_47EK60XmK3LOdCXa1fkWqWJE9bLuGS3ccv421</v>
      </c>
    </row>
    <row r="893" ht="15.75" customHeight="1">
      <c r="A893" s="0" t="str">
        <f>IFERROR(__xludf.DUMMYFUNCTION("""COMPUTED_VALUE"""),"Rebalancer")</f>
        <v>Rebalancer</v>
      </c>
      <c r="B893" s="0" t="str">
        <f>IFERROR(__xludf.DUMMYFUNCTION("""COMPUTED_VALUE"""),"VerifyCustomGroupModel")</f>
        <v>VerifyCustomGroupModel</v>
      </c>
      <c r="C893" s="0" t="str">
        <f>IFERROR(__xludf.DUMMYFUNCTION("""COMPUTED_VALUE"""),"1DUwxSUq_47EK60XmK3LOdCXa1fkWqWJE9bLuGS3ccv422")</f>
        <v>1DUwxSUq_47EK60XmK3LOdCXa1fkWqWJE9bLuGS3ccv422</v>
      </c>
    </row>
    <row r="894" ht="15.75" customHeight="1">
      <c r="A894" s="0" t="str">
        <f>IFERROR(__xludf.DUMMYFUNCTION("""COMPUTED_VALUE"""),"Blotter")</f>
        <v>Blotter</v>
      </c>
      <c r="B894" s="0" t="str">
        <f>IFERROR(__xludf.DUMMYFUNCTION("""COMPUTED_VALUE"""),"VerifyFilterUiRC")</f>
        <v>VerifyFilterUiRC</v>
      </c>
      <c r="C894" s="0" t="str">
        <f>IFERROR(__xludf.DUMMYFUNCTION("""COMPUTED_VALUE"""),"1QQZEZqPXfPnxfNID2a3__xw8RnEAn77igg5Q32S3Sm0")</f>
        <v>1QQZEZqPXfPnxfNID2a3__xw8RnEAn77igg5Q32S3Sm0</v>
      </c>
    </row>
    <row r="895" ht="15.75" customHeight="1">
      <c r="A895" s="0" t="str">
        <f>IFERROR(__xludf.DUMMYFUNCTION("""COMPUTED_VALUE"""),"TradingTicket")</f>
        <v>TradingTicket</v>
      </c>
      <c r="B895" s="0" t="str">
        <f>IFERROR(__xludf.DUMMYFUNCTION("""COMPUTED_VALUE"""),"SymbolSuggestionVerify")</f>
        <v>SymbolSuggestionVerify</v>
      </c>
      <c r="C895" s="0" t="str">
        <f>IFERROR(__xludf.DUMMYFUNCTION("""COMPUTED_VALUE"""),"14aTeLjmUbS-nhaQwjtZAMGxdQ5DS6UsBjE5OTWN-LQU")</f>
        <v>14aTeLjmUbS-nhaQwjtZAMGxdQ5DS6UsBjE5OTWN-LQU</v>
      </c>
    </row>
    <row r="896" ht="15.75" customHeight="1">
      <c r="A896" s="0" t="str">
        <f>IFERROR(__xludf.DUMMYFUNCTION("""COMPUTED_VALUE"""),"PreferencesMain")</f>
        <v>PreferencesMain</v>
      </c>
      <c r="B896" s="0" t="str">
        <f>IFERROR(__xludf.DUMMYFUNCTION("""COMPUTED_VALUE"""),"UpdatePTTPref")</f>
        <v>UpdatePTTPref</v>
      </c>
      <c r="C896" s="0" t="str">
        <f>IFERROR(__xludf.DUMMYFUNCTION("""COMPUTED_VALUE"""),"14aTeLjmUbS-nhaQwjtZAMGxdQ5DS6UsBjE5OTWN-LQU")</f>
        <v>14aTeLjmUbS-nhaQwjtZAMGxdQ5DS6UsBjE5OTWN-LQU</v>
      </c>
    </row>
    <row r="897" ht="15.75" customHeight="1">
      <c r="A897" s="0" t="str">
        <f>IFERROR(__xludf.DUMMYFUNCTION("""COMPUTED_VALUE"""),"PreferencesMain")</f>
        <v>PreferencesMain</v>
      </c>
      <c r="B897" s="0" t="str">
        <f>IFERROR(__xludf.DUMMYFUNCTION("""COMPUTED_VALUE"""),"ActionOnPreferencesMain")</f>
        <v>ActionOnPreferencesMain</v>
      </c>
      <c r="C897" s="0" t="str">
        <f>IFERROR(__xludf.DUMMYFUNCTION("""COMPUTED_VALUE"""),"14aTeLjmUbS-nhaQwjtZAMGxdQ5DS6UsBjE5OTWN-LQU")</f>
        <v>14aTeLjmUbS-nhaQwjtZAMGxdQ5DS6UsBjE5OTWN-LQU</v>
      </c>
    </row>
    <row r="898" ht="15.75" customHeight="1">
      <c r="A898" s="0" t="str">
        <f>IFERROR(__xludf.DUMMYFUNCTION("""COMPUTED_VALUE"""),"PreferencesMain")</f>
        <v>PreferencesMain</v>
      </c>
      <c r="B898" s="0" t="str">
        <f>IFERROR(__xludf.DUMMYFUNCTION("""COMPUTED_VALUE"""),"VerifyUpdategrdAccountFactor")</f>
        <v>VerifyUpdategrdAccountFactor</v>
      </c>
      <c r="C898" s="0" t="str">
        <f>IFERROR(__xludf.DUMMYFUNCTION("""COMPUTED_VALUE"""),"14aTeLjmUbS-nhaQwjtZAMGxdQ5DS6UsBjE5OTWN-LQU")</f>
        <v>14aTeLjmUbS-nhaQwjtZAMGxdQ5DS6UsBjE5OTWN-LQU</v>
      </c>
    </row>
    <row r="899" ht="15.75" customHeight="1">
      <c r="A899" s="0" t="str">
        <f>IFERROR(__xludf.DUMMYFUNCTION("""COMPUTED_VALUE"""),"PreferencesMain")</f>
        <v>PreferencesMain</v>
      </c>
      <c r="B899" s="0" t="str">
        <f>IFERROR(__xludf.DUMMYFUNCTION("""COMPUTED_VALUE"""),"VerifyUpdategrdMFA")</f>
        <v>VerifyUpdategrdMFA</v>
      </c>
      <c r="C899" s="0" t="str">
        <f>IFERROR(__xludf.DUMMYFUNCTION("""COMPUTED_VALUE"""),"14aTeLjmUbS-nhaQwjtZAMGxdQ5DS6UsBjE5OTWN-LQU")</f>
        <v>14aTeLjmUbS-nhaQwjtZAMGxdQ5DS6UsBjE5OTWN-LQU</v>
      </c>
    </row>
    <row r="900" ht="15.75" customHeight="1">
      <c r="A900" s="0" t="str">
        <f>IFERROR(__xludf.DUMMYFUNCTION("""COMPUTED_VALUE"""),"PreferencesMain")</f>
        <v>PreferencesMain</v>
      </c>
      <c r="B900" s="0" t="str">
        <f>IFERROR(__xludf.DUMMYFUNCTION("""COMPUTED_VALUE"""),"SwitchTabMFA")</f>
        <v>SwitchTabMFA</v>
      </c>
      <c r="C900" s="0" t="str">
        <f>IFERROR(__xludf.DUMMYFUNCTION("""COMPUTED_VALUE"""),"14aTeLjmUbS-nhaQwjtZAMGxdQ5DS6UsBjE5OTWN-LQU")</f>
        <v>14aTeLjmUbS-nhaQwjtZAMGxdQ5DS6UsBjE5OTWN-LQU</v>
      </c>
    </row>
    <row r="901" ht="15.75" customHeight="1">
      <c r="A901" s="0" t="str">
        <f>IFERROR(__xludf.DUMMYFUNCTION("""COMPUTED_VALUE"""),"PreferencesMain")</f>
        <v>PreferencesMain</v>
      </c>
      <c r="B901" s="0" t="str">
        <f>IFERROR(__xludf.DUMMYFUNCTION("""COMPUTED_VALUE"""),"UpdateBlotterPref")</f>
        <v>UpdateBlotterPref</v>
      </c>
      <c r="C901" s="0" t="str">
        <f>IFERROR(__xludf.DUMMYFUNCTION("""COMPUTED_VALUE"""),"14aTeLjmUbS-nhaQwjtZAMGxdQ5DS6UsBjE5OTWN-LQU")</f>
        <v>14aTeLjmUbS-nhaQwjtZAMGxdQ5DS6UsBjE5OTWN-LQU</v>
      </c>
    </row>
    <row r="902" ht="15.75" customHeight="1">
      <c r="A902" s="0" t="str">
        <f>IFERROR(__xludf.DUMMYFUNCTION("""COMPUTED_VALUE"""),"PreferencesMain")</f>
        <v>PreferencesMain</v>
      </c>
      <c r="B902" s="0" t="str">
        <f>IFERROR(__xludf.DUMMYFUNCTION("""COMPUTED_VALUE"""),"UpdatePMPref")</f>
        <v>UpdatePMPref</v>
      </c>
      <c r="C902" s="0" t="str">
        <f>IFERROR(__xludf.DUMMYFUNCTION("""COMPUTED_VALUE"""),"14aTeLjmUbS-nhaQwjtZAMGxdQ5DS6UsBjE5OTWN-LQU")</f>
        <v>14aTeLjmUbS-nhaQwjtZAMGxdQ5DS6UsBjE5OTWN-LQU</v>
      </c>
    </row>
    <row r="903" ht="15.75" customHeight="1">
      <c r="A903" s="0" t="str">
        <f>IFERROR(__xludf.DUMMYFUNCTION("""COMPUTED_VALUE"""),"PreferencesMain")</f>
        <v>PreferencesMain</v>
      </c>
      <c r="B903" s="0" t="str">
        <f>IFERROR(__xludf.DUMMYFUNCTION("""COMPUTED_VALUE"""),"UpdateGenPref")</f>
        <v>UpdateGenPref</v>
      </c>
      <c r="C903" s="0" t="str">
        <f>IFERROR(__xludf.DUMMYFUNCTION("""COMPUTED_VALUE"""),"14aTeLjmUbS-nhaQwjtZAMGxdQ5DS6UsBjE5OTWN-LQU")</f>
        <v>14aTeLjmUbS-nhaQwjtZAMGxdQ5DS6UsBjE5OTWN-LQU</v>
      </c>
    </row>
    <row r="904" ht="15.75" customHeight="1">
      <c r="A904" s="0" t="str">
        <f>IFERROR(__xludf.DUMMYFUNCTION("""COMPUTED_VALUE"""),"PreferencesMain")</f>
        <v>PreferencesMain</v>
      </c>
      <c r="B904" s="0" t="str">
        <f>IFERROR(__xludf.DUMMYFUNCTION("""COMPUTED_VALUE"""),"VerifyUpdateAssetSide")</f>
        <v>VerifyUpdateAssetSide</v>
      </c>
      <c r="C904" s="0" t="str">
        <f>IFERROR(__xludf.DUMMYFUNCTION("""COMPUTED_VALUE"""),"14aTeLjmUbS-nhaQwjtZAMGxdQ5DS6UsBjE5OTWN-LQU")</f>
        <v>14aTeLjmUbS-nhaQwjtZAMGxdQ5DS6UsBjE5OTWN-LQU</v>
      </c>
    </row>
    <row r="905" ht="15.75" customHeight="1">
      <c r="A905" s="0" t="str">
        <f>IFERROR(__xludf.DUMMYFUNCTION("""COMPUTED_VALUE"""),"PreferencesMain")</f>
        <v>PreferencesMain</v>
      </c>
      <c r="B905" s="0" t="str">
        <f>IFERROR(__xludf.DUMMYFUNCTION("""COMPUTED_VALUE"""),"SwicthTabPref")</f>
        <v>SwicthTabPref</v>
      </c>
      <c r="C905" s="0" t="str">
        <f>IFERROR(__xludf.DUMMYFUNCTION("""COMPUTED_VALUE"""),"14aTeLjmUbS-nhaQwjtZAMGxdQ5DS6UsBjE5OTWN-LQU")</f>
        <v>14aTeLjmUbS-nhaQwjtZAMGxdQ5DS6UsBjE5OTWN-LQU</v>
      </c>
    </row>
    <row r="906" ht="15.75" customHeight="1">
      <c r="A906" s="0" t="str">
        <f>IFERROR(__xludf.DUMMYFUNCTION("""COMPUTED_VALUE"""),"PreferencesMain")</f>
        <v>PreferencesMain</v>
      </c>
      <c r="B906" s="0" t="str">
        <f>IFERROR(__xludf.DUMMYFUNCTION("""COMPUTED_VALUE"""),"TTDefaultSelection")</f>
        <v>TTDefaultSelection</v>
      </c>
      <c r="C906" s="0" t="str">
        <f>IFERROR(__xludf.DUMMYFUNCTION("""COMPUTED_VALUE"""),"14aTeLjmUbS-nhaQwjtZAMGxdQ5DS6UsBjE5OTWN-LQU")</f>
        <v>14aTeLjmUbS-nhaQwjtZAMGxdQ5DS6UsBjE5OTWN-LQU</v>
      </c>
    </row>
    <row r="907" ht="15.75" customHeight="1">
      <c r="A907" s="0" t="str">
        <f>IFERROR(__xludf.DUMMYFUNCTION("""COMPUTED_VALUE"""),"PreferencesMain")</f>
        <v>PreferencesMain</v>
      </c>
      <c r="B907" s="0" t="str">
        <f>IFERROR(__xludf.DUMMYFUNCTION("""COMPUTED_VALUE"""),"TTNumSelection")</f>
        <v>TTNumSelection</v>
      </c>
      <c r="C907" s="0" t="str">
        <f>IFERROR(__xludf.DUMMYFUNCTION("""COMPUTED_VALUE"""),"14aTeLjmUbS-nhaQwjtZAMGxdQ5DS6UsBjE5OTWN-LQU")</f>
        <v>14aTeLjmUbS-nhaQwjtZAMGxdQ5DS6UsBjE5OTWN-LQU</v>
      </c>
    </row>
    <row r="908" ht="15.75" customHeight="1">
      <c r="A908" s="0" t="str">
        <f>IFERROR(__xludf.DUMMYFUNCTION("""COMPUTED_VALUE"""),"PreferencesMain")</f>
        <v>PreferencesMain</v>
      </c>
      <c r="B908" s="0" t="str">
        <f>IFERROR(__xludf.DUMMYFUNCTION("""COMPUTED_VALUE"""),"TTConfirmationPopUps")</f>
        <v>TTConfirmationPopUps</v>
      </c>
      <c r="C908" s="0" t="str">
        <f>IFERROR(__xludf.DUMMYFUNCTION("""COMPUTED_VALUE"""),"14aTeLjmUbS-nhaQwjtZAMGxdQ5DS6UsBjE5OTWN-LQU")</f>
        <v>14aTeLjmUbS-nhaQwjtZAMGxdQ5DS6UsBjE5OTWN-LQU</v>
      </c>
    </row>
    <row r="909" ht="15.75" customHeight="1">
      <c r="A909" s="0" t="str">
        <f>IFERROR(__xludf.DUMMYFUNCTION("""COMPUTED_VALUE"""),"PreferencesMain")</f>
        <v>PreferencesMain</v>
      </c>
      <c r="B909" s="0" t="str">
        <f>IFERROR(__xludf.DUMMYFUNCTION("""COMPUTED_VALUE"""),"VerifyUpdateBrokerPref")</f>
        <v>VerifyUpdateBrokerPref</v>
      </c>
      <c r="C909" s="0" t="str">
        <f>IFERROR(__xludf.DUMMYFUNCTION("""COMPUTED_VALUE"""),"14aTeLjmUbS-nhaQwjtZAMGxdQ5DS6UsBjE5OTWN-LQU")</f>
        <v>14aTeLjmUbS-nhaQwjtZAMGxdQ5DS6UsBjE5OTWN-LQU</v>
      </c>
    </row>
    <row r="910" ht="15.75" customHeight="1">
      <c r="A910" s="0" t="str">
        <f>IFERROR(__xludf.DUMMYFUNCTION("""COMPUTED_VALUE"""),"PreferencesMain")</f>
        <v>PreferencesMain</v>
      </c>
      <c r="B910" s="0" t="str">
        <f>IFERROR(__xludf.DUMMYFUNCTION("""COMPUTED_VALUE"""),"TTGeneralPref")</f>
        <v>TTGeneralPref</v>
      </c>
      <c r="C910" s="0" t="str">
        <f>IFERROR(__xludf.DUMMYFUNCTION("""COMPUTED_VALUE"""),"14aTeLjmUbS-nhaQwjtZAMGxdQ5DS6UsBjE5OTWN-LQU")</f>
        <v>14aTeLjmUbS-nhaQwjtZAMGxdQ5DS6UsBjE5OTWN-LQU</v>
      </c>
    </row>
    <row r="911" ht="15.75" customHeight="1">
      <c r="A911" s="0" t="str">
        <f>IFERROR(__xludf.DUMMYFUNCTION("""COMPUTED_VALUE"""),"PreferencesMain")</f>
        <v>PreferencesMain</v>
      </c>
      <c r="B911" s="0" t="str">
        <f>IFERROR(__xludf.DUMMYFUNCTION("""COMPUTED_VALUE"""),"UpdateClosingPref")</f>
        <v>UpdateClosingPref</v>
      </c>
      <c r="C911" s="0" t="str">
        <f>IFERROR(__xludf.DUMMYFUNCTION("""COMPUTED_VALUE"""),"14aTeLjmUbS-nhaQwjtZAMGxdQ5DS6UsBjE5OTWN-LQU")</f>
        <v>14aTeLjmUbS-nhaQwjtZAMGxdQ5DS6UsBjE5OTWN-LQU</v>
      </c>
    </row>
    <row r="912" ht="15.75" customHeight="1">
      <c r="A912" s="0" t="str">
        <f>IFERROR(__xludf.DUMMYFUNCTION("""COMPUTED_VALUE"""),"Allocation")</f>
        <v>Allocation</v>
      </c>
      <c r="B912" s="0" t="str">
        <f>IFERROR(__xludf.DUMMYFUNCTION("""COMPUTED_VALUE"""),"VerifyEditAttRenaming")</f>
        <v>VerifyEditAttRenaming</v>
      </c>
      <c r="C912" s="0" t="str">
        <f>IFERROR(__xludf.DUMMYFUNCTION("""COMPUTED_VALUE"""),"14aTeLjmUbS-nhaQwjtZAMGxdQ5DS6UsBjE5OTWN-LQU")</f>
        <v>14aTeLjmUbS-nhaQwjtZAMGxdQ5DS6UsBjE5OTWN-LQU</v>
      </c>
    </row>
    <row r="913" ht="15.75" customHeight="1">
      <c r="A913" s="0" t="str">
        <f>IFERROR(__xludf.DUMMYFUNCTION("""COMPUTED_VALUE"""),"Rebalancer")</f>
        <v>Rebalancer</v>
      </c>
      <c r="B913" s="0" t="str">
        <f>IFERROR(__xludf.DUMMYFUNCTION("""COMPUTED_VALUE"""),"VerifyTradeList")</f>
        <v>VerifyTradeList</v>
      </c>
      <c r="C913" s="0" t="str">
        <f>IFERROR(__xludf.DUMMYFUNCTION("""COMPUTED_VALUE"""),"14aTeLjmUbS-nhaQwjtZAMGxdQ5DS6UsBjE5OTWN-LQU")</f>
        <v>14aTeLjmUbS-nhaQwjtZAMGxdQ5DS6UsBjE5OTWN-LQU</v>
      </c>
    </row>
    <row r="914" ht="15.75" customHeight="1">
      <c r="A914" s="0" t="str">
        <f>IFERROR(__xludf.DUMMYFUNCTION("""COMPUTED_VALUE"""),"TradingTicket")</f>
        <v>TradingTicket</v>
      </c>
      <c r="B914" s="0" t="str">
        <f>IFERROR(__xludf.DUMMYFUNCTION("""COMPUTED_VALUE"""),"TTMainControls")</f>
        <v>TTMainControls</v>
      </c>
      <c r="C914" s="0" t="str">
        <f>IFERROR(__xludf.DUMMYFUNCTION("""COMPUTED_VALUE"""),"1DUwxSUq_47EK60XmK3LOdCXa1fkWqWJE9bLuGS3ccv412")</f>
        <v>1DUwxSUq_47EK60XmK3LOdCXa1fkWqWJE9bLuGS3ccv412</v>
      </c>
    </row>
    <row r="915" ht="15.75" customHeight="1">
      <c r="A915" s="0" t="str">
        <f>IFERROR(__xludf.DUMMYFUNCTION("""COMPUTED_VALUE"""),"TradingTicket")</f>
        <v>TradingTicket</v>
      </c>
      <c r="B915" s="0" t="str">
        <f>IFERROR(__xludf.DUMMYFUNCTION("""COMPUTED_VALUE"""),"VerifySymStrip")</f>
        <v>VerifySymStrip</v>
      </c>
      <c r="C915" s="0" t="str">
        <f>IFERROR(__xludf.DUMMYFUNCTION("""COMPUTED_VALUE"""),"1DUwxSUq_47EK60XmK3LOdCXa1fkWqWJE9bLuGS3ccv412")</f>
        <v>1DUwxSUq_47EK60XmK3LOdCXa1fkWqWJE9bLuGS3ccv412</v>
      </c>
    </row>
    <row r="916" ht="15.75" customHeight="1">
      <c r="A916" s="0" t="str">
        <f>IFERROR(__xludf.DUMMYFUNCTION("""COMPUTED_VALUE"""),"TradingTicket")</f>
        <v>TradingTicket</v>
      </c>
      <c r="B916" s="0" t="str">
        <f>IFERROR(__xludf.DUMMYFUNCTION("""COMPUTED_VALUE"""),"TTBottomTab")</f>
        <v>TTBottomTab</v>
      </c>
      <c r="C916" s="0" t="str">
        <f>IFERROR(__xludf.DUMMYFUNCTION("""COMPUTED_VALUE"""),"1DUwxSUq_47EK60XmK3LOdCXa1fkWqWJE9bLuGS3ccv412")</f>
        <v>1DUwxSUq_47EK60XmK3LOdCXa1fkWqWJE9bLuGS3ccv412</v>
      </c>
    </row>
    <row r="917" ht="15.75" customHeight="1">
      <c r="A917" s="0" t="str">
        <f>IFERROR(__xludf.DUMMYFUNCTION("""COMPUTED_VALUE"""),"TradingTicket")</f>
        <v>TradingTicket</v>
      </c>
      <c r="B917" s="0" t="str">
        <f>IFERROR(__xludf.DUMMYFUNCTION("""COMPUTED_VALUE"""),"TTBottomSwap")</f>
        <v>TTBottomSwap</v>
      </c>
      <c r="C917" s="0" t="str">
        <f>IFERROR(__xludf.DUMMYFUNCTION("""COMPUTED_VALUE"""),"1DUwxSUq_47EK60XmK3LOdCXa1fkWqWJE9bLuGS3ccv412")</f>
        <v>1DUwxSUq_47EK60XmK3LOdCXa1fkWqWJE9bLuGS3ccv412</v>
      </c>
    </row>
    <row r="918" ht="15.75" customHeight="1">
      <c r="A918" s="0" t="str">
        <f>IFERROR(__xludf.DUMMYFUNCTION("""COMPUTED_VALUE"""),"Blotter")</f>
        <v>Blotter</v>
      </c>
      <c r="B918" s="0" t="str">
        <f>IFERROR(__xludf.DUMMYFUNCTION("""COMPUTED_VALUE"""),"CreateHotButtonOnBlotter")</f>
        <v>CreateHotButtonOnBlotter</v>
      </c>
      <c r="C918" s="0" t="str">
        <f>IFERROR(__xludf.DUMMYFUNCTION("""COMPUTED_VALUE"""),"1Yu7Fb6AjhUP8b-KuRJvgAwq8TykNK6BDh9F0Xpf12Ek")</f>
        <v>1Yu7Fb6AjhUP8b-KuRJvgAwq8TykNK6BDh9F0Xpf12Ek</v>
      </c>
    </row>
    <row r="919" ht="15.75" customHeight="1">
      <c r="A919" s="0" t="str">
        <f>IFERROR(__xludf.DUMMYFUNCTION("""COMPUTED_VALUE"""),"Blotter")</f>
        <v>Blotter</v>
      </c>
      <c r="B919" s="0" t="str">
        <f>IFERROR(__xludf.DUMMYFUNCTION("""COMPUTED_VALUE"""),"FillHBdetailsOnBlotter")</f>
        <v>FillHBdetailsOnBlotter</v>
      </c>
      <c r="C919" s="0" t="str">
        <f>IFERROR(__xludf.DUMMYFUNCTION("""COMPUTED_VALUE"""),"13Isj5c5k8kObxI-GBT6Ir9VBOz_46lzhwVxXXVP8jQU")</f>
        <v>13Isj5c5k8kObxI-GBT6Ir9VBOz_46lzhwVxXXVP8jQU</v>
      </c>
    </row>
    <row r="920" ht="15.75" customHeight="1">
      <c r="A920" s="0" t="str">
        <f>IFERROR(__xludf.DUMMYFUNCTION("""COMPUTED_VALUE"""),"TradingTicket")</f>
        <v>TradingTicket</v>
      </c>
      <c r="B920" s="0" t="str">
        <f>IFERROR(__xludf.DUMMYFUNCTION("""COMPUTED_VALUE"""),"EditAuecWindow")</f>
        <v>EditAuecWindow</v>
      </c>
      <c r="C920" s="0" t="str">
        <f>IFERROR(__xludf.DUMMYFUNCTION("""COMPUTED_VALUE"""),"1ottlNphVbp0AC-UFd-HlDpCLwOA2yWO1pN6eR3ML7vA")</f>
        <v>1ottlNphVbp0AC-UFd-HlDpCLwOA2yWO1pN6eR3ML7vA</v>
      </c>
    </row>
    <row r="921" ht="15.75" customHeight="1">
      <c r="A921" s="0" t="str">
        <f>IFERROR(__xludf.DUMMYFUNCTION("""COMPUTED_VALUE"""),"TradingTicket")</f>
        <v>TradingTicket</v>
      </c>
      <c r="B921" s="0" t="str">
        <f>IFERROR(__xludf.DUMMYFUNCTION("""COMPUTED_VALUE"""),"VerifyBrokerSummary")</f>
        <v>VerifyBrokerSummary</v>
      </c>
      <c r="C921" s="0" t="str">
        <f>IFERROR(__xludf.DUMMYFUNCTION("""COMPUTED_VALUE"""),"11hMxlfIQYwM8vPN2h--IGp7O02EDFbvJ4CSvjSfGsMY")</f>
        <v>11hMxlfIQYwM8vPN2h--IGp7O02EDFbvJ4CSvjSfGsMY</v>
      </c>
    </row>
    <row r="922" ht="15.75" customHeight="1">
      <c r="A922" s="0" t="str">
        <f>IFERROR(__xludf.DUMMYFUNCTION("""COMPUTED_VALUE"""),"QTT")</f>
        <v>QTT</v>
      </c>
      <c r="B922" s="0" t="str">
        <f>IFERROR(__xludf.DUMMYFUNCTION("""COMPUTED_VALUE"""),"EditAuecWindowQTT")</f>
        <v>EditAuecWindowQTT</v>
      </c>
      <c r="C922" s="0" t="str">
        <f>IFERROR(__xludf.DUMMYFUNCTION("""COMPUTED_VALUE"""),"1oI_WY3xKQgSjp5JN67BMHtm3zazX5ZiMATISa2ssGB0")</f>
        <v>1oI_WY3xKQgSjp5JN67BMHtm3zazX5ZiMATISa2ssGB0</v>
      </c>
    </row>
    <row r="923" ht="15.75" customHeight="1">
      <c r="A923" s="0" t="str">
        <f>IFERROR(__xludf.DUMMYFUNCTION("""COMPUTED_VALUE"""),"QTT")</f>
        <v>QTT</v>
      </c>
      <c r="B923" s="0" t="str">
        <f>IFERROR(__xludf.DUMMYFUNCTION("""COMPUTED_VALUE"""),"VerifyBrokerSummaryQTT")</f>
        <v>VerifyBrokerSummaryQTT</v>
      </c>
      <c r="C923" s="0" t="str">
        <f>IFERROR(__xludf.DUMMYFUNCTION("""COMPUTED_VALUE"""),"1O6-eqYsZqtvYR6DOH7UM2_Jwpq9pB9uyZvgh5vEhVAI")</f>
        <v>1O6-eqYsZqtvYR6DOH7UM2_Jwpq9pB9uyZvgh5vEhVAI</v>
      </c>
    </row>
    <row r="924" ht="15.75" customHeight="1">
      <c r="A924" s="0" t="str">
        <f>IFERROR(__xludf.DUMMYFUNCTION("""COMPUTED_VALUE"""),"QTT")</f>
        <v>QTT</v>
      </c>
      <c r="B924" s="0" t="str">
        <f>IFERROR(__xludf.DUMMYFUNCTION("""COMPUTED_VALUE"""),"SaveQTThotKey")</f>
        <v>SaveQTThotKey</v>
      </c>
      <c r="C924" s="0" t="str">
        <f>IFERROR(__xludf.DUMMYFUNCTION("""COMPUTED_VALUE"""),"Undefined")</f>
        <v>Undefined</v>
      </c>
    </row>
    <row r="925" ht="15.75" customHeight="1">
      <c r="A925" s="0" t="str">
        <f>IFERROR(__xludf.DUMMYFUNCTION("""COMPUTED_VALUE"""),"Blotter")</f>
        <v>Blotter</v>
      </c>
      <c r="B925" s="0" t="str">
        <f>IFERROR(__xludf.DUMMYFUNCTION("""COMPUTED_VALUE"""),"BlotterColumnChooser")</f>
        <v>BlotterColumnChooser</v>
      </c>
      <c r="C925" s="0" t="str">
        <f>IFERROR(__xludf.DUMMYFUNCTION("""COMPUTED_VALUE"""),"12428TbyucuJDD3KuN7QG-GyRYI3gcoyDNKTQ2UpgGMQ")</f>
        <v>12428TbyucuJDD3KuN7QG-GyRYI3gcoyDNKTQ2UpgGMQ</v>
      </c>
    </row>
    <row r="926" ht="15.75" customHeight="1">
      <c r="A926" s="0" t="str">
        <f>IFERROR(__xludf.DUMMYFUNCTION("""COMPUTED_VALUE"""),"RTPNL")</f>
        <v>RTPNL</v>
      </c>
      <c r="B926" s="0" t="str">
        <f>IFERROR(__xludf.DUMMYFUNCTION("""COMPUTED_VALUE"""),"CreateGroupingWidget")</f>
        <v>CreateGroupingWidget</v>
      </c>
      <c r="C926" s="0" t="str">
        <f>IFERROR(__xludf.DUMMYFUNCTION("""COMPUTED_VALUE"""),"1ctXhgvJgrqqe8ees0907Up0TKq9pCEhinMlZnRGqKdY")</f>
        <v>1ctXhgvJgrqqe8ees0907Up0TKq9pCEhinMlZnRGqKdY</v>
      </c>
    </row>
    <row r="927" ht="15.75" customHeight="1">
      <c r="A927" s="0" t="str">
        <f>IFERROR(__xludf.DUMMYFUNCTION("""COMPUTED_VALUE"""),"RTPNL")</f>
        <v>RTPNL</v>
      </c>
      <c r="B927" s="0" t="str">
        <f>IFERROR(__xludf.DUMMYFUNCTION("""COMPUTED_VALUE"""),"CheckGroupingWidget")</f>
        <v>CheckGroupingWidget</v>
      </c>
      <c r="C927" s="0" t="str">
        <f>IFERROR(__xludf.DUMMYFUNCTION("""COMPUTED_VALUE"""),"16mimyUFzQ0Ojogh0t4Evjy-tjzAJ67xgIrWeTNmBdw0")</f>
        <v>16mimyUFzQ0Ojogh0t4Evjy-tjzAJ67xgIrWeTNmBdw0</v>
      </c>
    </row>
    <row r="928" ht="15.75" customHeight="1">
      <c r="A928" s="0" t="str">
        <f>IFERROR(__xludf.DUMMYFUNCTION("""COMPUTED_VALUE"""),"TradingTicket")</f>
        <v>TradingTicket</v>
      </c>
      <c r="B928" s="0" t="str">
        <f>IFERROR(__xludf.DUMMYFUNCTION("""COMPUTED_VALUE"""),"QTTHamburg")</f>
        <v>QTTHamburg</v>
      </c>
      <c r="C928" s="0" t="str">
        <f>IFERROR(__xludf.DUMMYFUNCTION("""COMPUTED_VALUE"""),"1pdXDcLRWAl2b2L88lHCntj01OLBjVHaNAdGG8OHa4hA")</f>
        <v>1pdXDcLRWAl2b2L88lHCntj01OLBjVHaNAdGG8OHa4hA</v>
      </c>
    </row>
    <row r="929" ht="15.75" customHeight="1">
      <c r="A929" s="0" t="str">
        <f>IFERROR(__xludf.DUMMYFUNCTION("""COMPUTED_VALUE"""),"RTPNL")</f>
        <v>RTPNL</v>
      </c>
      <c r="B929" s="0" t="str">
        <f>IFERROR(__xludf.DUMMYFUNCTION("""COMPUTED_VALUE"""),"VerifyL1L2PanelRTPNL")</f>
        <v>VerifyL1L2PanelRTPNL</v>
      </c>
      <c r="C929" s="0" t="str">
        <f>IFERROR(__xludf.DUMMYFUNCTION("""COMPUTED_VALUE"""),"1cQo_rX9O9XHFILj0ICV1GAU_RdtTKYlclT20jg9G7hg")</f>
        <v>1cQo_rX9O9XHFILj0ICV1GAU_RdtTKYlclT20jg9G7hg</v>
      </c>
    </row>
    <row r="930" ht="15.75" customHeight="1">
      <c r="A930" s="0" t="str">
        <f>IFERROR(__xludf.DUMMYFUNCTION("""COMPUTED_VALUE"""),"Blotter")</f>
        <v>Blotter</v>
      </c>
      <c r="B930" s="0" t="str">
        <f>IFERROR(__xludf.DUMMYFUNCTION("""COMPUTED_VALUE"""),"CaptureHotButtonDetails")</f>
        <v>CaptureHotButtonDetails</v>
      </c>
      <c r="C930" s="0" t="str">
        <f>IFERROR(__xludf.DUMMYFUNCTION("""COMPUTED_VALUE"""),"16Dail-EoPWyIhwRzxyvr-EY1IE8jJTUQDarvGnXioxI")</f>
        <v>16Dail-EoPWyIhwRzxyvr-EY1IE8jJTUQDarvGnXioxI</v>
      </c>
    </row>
    <row r="931" ht="15.75" customHeight="1">
      <c r="A931" s="0" t="str">
        <f>IFERROR(__xludf.DUMMYFUNCTION("""COMPUTED_VALUE"""),"SymbolLookup")</f>
        <v>SymbolLookup</v>
      </c>
      <c r="B931" s="0" t="str">
        <f>IFERROR(__xludf.DUMMYFUNCTION("""COMPUTED_VALUE"""),"EditSMGrid")</f>
        <v>EditSMGrid</v>
      </c>
      <c r="C931" s="0" t="str">
        <f>IFERROR(__xludf.DUMMYFUNCTION("""COMPUTED_VALUE"""),"14aTeLjmUbS-nhaQwjtZAMGxdQ5DS6UsBjE5OTWN-LQU")</f>
        <v>14aTeLjmUbS-nhaQwjtZAMGxdQ5DS6UsBjE5OTWN-LQU</v>
      </c>
    </row>
    <row r="932" ht="15.75" customHeight="1">
      <c r="A932" s="0" t="str">
        <f>IFERROR(__xludf.DUMMYFUNCTION("""COMPUTED_VALUE"""),"QTT")</f>
        <v>QTT</v>
      </c>
      <c r="B932" s="0" t="str">
        <f>IFERROR(__xludf.DUMMYFUNCTION("""COMPUTED_VALUE"""),"EditQuickPreference")</f>
        <v>EditQuickPreference</v>
      </c>
      <c r="C932" s="0" t="str">
        <f>IFERROR(__xludf.DUMMYFUNCTION("""COMPUTED_VALUE"""),"133vNW3loXmIKhcuaiCwGIGXOULCttZuJZtPfA4s37vw")</f>
        <v>133vNW3loXmIKhcuaiCwGIGXOULCttZuJZtPfA4s37vw</v>
      </c>
    </row>
    <row r="933" ht="15.75" customHeight="1">
      <c r="A933" s="0" t="str">
        <f>IFERROR(__xludf.DUMMYFUNCTION("""COMPUTED_VALUE"""),"Blotter")</f>
        <v>Blotter</v>
      </c>
      <c r="B933" s="0" t="str">
        <f>IFERROR(__xludf.DUMMYFUNCTION("""COMPUTED_VALUE"""),"RightClickActionVerification")</f>
        <v>RightClickActionVerification</v>
      </c>
      <c r="C933" s="0" t="str">
        <f>IFERROR(__xludf.DUMMYFUNCTION("""COMPUTED_VALUE"""),"11EX1Ln-BQAtx9NTd9zfcaia52FGNdZENDW2kwMCJ8HQ")</f>
        <v>11EX1Ln-BQAtx9NTd9zfcaia52FGNdZENDW2kwMCJ8HQ</v>
      </c>
    </row>
    <row r="934" ht="15.75" customHeight="1">
      <c r="A934" s="0" t="str">
        <f>IFERROR(__xludf.DUMMYFUNCTION("""COMPUTED_VALUE"""),"SymbolLookup")</f>
        <v>SymbolLookup</v>
      </c>
      <c r="B934" s="0" t="str">
        <f>IFERROR(__xludf.DUMMYFUNCTION("""COMPUTED_VALUE"""),"PageOneDetails")</f>
        <v>PageOneDetails</v>
      </c>
      <c r="C934" s="0" t="str">
        <f>IFERROR(__xludf.DUMMYFUNCTION("""COMPUTED_VALUE"""),"11EX1Ln-BQAtx9NTd9zfcaia52FGNdZENDW2kwMCJ8HQ")</f>
        <v>11EX1Ln-BQAtx9NTd9zfcaia52FGNdZENDW2kwMCJ8HQ</v>
      </c>
    </row>
    <row r="935" ht="15.75" customHeight="1">
      <c r="A935" s="0" t="str">
        <f>IFERROR(__xludf.DUMMYFUNCTION("""COMPUTED_VALUE"""),"SymbolLookup")</f>
        <v>SymbolLookup</v>
      </c>
      <c r="B935" s="0" t="str">
        <f>IFERROR(__xludf.DUMMYFUNCTION("""COMPUTED_VALUE"""),"ActionOnSI")</f>
        <v>ActionOnSI</v>
      </c>
      <c r="C935" s="0" t="str">
        <f>IFERROR(__xludf.DUMMYFUNCTION("""COMPUTED_VALUE"""),"11EX1Ln-BQAtx9NTd9zfcaia52FGNdZENDW2kwMCJ8HQ")</f>
        <v>11EX1Ln-BQAtx9NTd9zfcaia52FGNdZENDW2kwMCJ8HQ</v>
      </c>
    </row>
    <row r="936" ht="15.75" customHeight="1">
      <c r="A936" s="0" t="str">
        <f>IFERROR(__xludf.DUMMYFUNCTION("""COMPUTED_VALUE"""),"SymbolLookup")</f>
        <v>SymbolLookup</v>
      </c>
      <c r="B936" s="0" t="str">
        <f>IFERROR(__xludf.DUMMYFUNCTION("""COMPUTED_VALUE"""),"PageTwoDetails")</f>
        <v>PageTwoDetails</v>
      </c>
      <c r="C936" s="0" t="str">
        <f>IFERROR(__xludf.DUMMYFUNCTION("""COMPUTED_VALUE"""),"11EX1Ln-BQAtx9NTd9zfcaia52FGNdZENDW2kwMCJ8HQ")</f>
        <v>11EX1Ln-BQAtx9NTd9zfcaia52FGNdZENDW2kwMCJ8HQ</v>
      </c>
    </row>
    <row r="937" ht="15.75" customHeight="1">
      <c r="A937" s="0" t="str">
        <f>IFERROR(__xludf.DUMMYFUNCTION("""COMPUTED_VALUE"""),"SymbolLookup")</f>
        <v>SymbolLookup</v>
      </c>
      <c r="B937" s="0" t="str">
        <f>IFERROR(__xludf.DUMMYFUNCTION("""COMPUTED_VALUE"""),"ActiononSMPane")</f>
        <v>ActiononSMPane</v>
      </c>
      <c r="C937" s="0" t="str">
        <f>IFERROR(__xludf.DUMMYFUNCTION("""COMPUTED_VALUE"""),"11EX1Ln-BQAtx9NTd9zfcaia52FGNdZENDW2kwMCJ8HQ")</f>
        <v>11EX1Ln-BQAtx9NTd9zfcaia52FGNdZENDW2kwMCJ8HQ</v>
      </c>
    </row>
    <row r="938" ht="15.75" customHeight="1">
      <c r="A938" s="0" t="str">
        <f>IFERROR(__xludf.DUMMYFUNCTION("""COMPUTED_VALUE"""),"SymbolLookup")</f>
        <v>SymbolLookup</v>
      </c>
      <c r="B938" s="0" t="str">
        <f>IFERROR(__xludf.DUMMYFUNCTION("""COMPUTED_VALUE"""),"PageThreeDetails")</f>
        <v>PageThreeDetails</v>
      </c>
      <c r="C938" s="0" t="str">
        <f>IFERROR(__xludf.DUMMYFUNCTION("""COMPUTED_VALUE"""),"11EX1Ln-BQAtx9NTd9zfcaia52FGNdZENDW2kwMCJ8HQ")</f>
        <v>11EX1Ln-BQAtx9NTd9zfcaia52FGNdZENDW2kwMCJ8HQ</v>
      </c>
    </row>
    <row r="939" ht="15.75" customHeight="1">
      <c r="A939" s="0" t="str">
        <f>IFERROR(__xludf.DUMMYFUNCTION("""COMPUTED_VALUE"""),"SymbolLookup")</f>
        <v>SymbolLookup</v>
      </c>
      <c r="B939" s="0" t="str">
        <f>IFERROR(__xludf.DUMMYFUNCTION("""COMPUTED_VALUE"""),"VerifySMGrid")</f>
        <v>VerifySMGrid</v>
      </c>
      <c r="C939" s="0" t="str">
        <f>IFERROR(__xludf.DUMMYFUNCTION("""COMPUTED_VALUE"""),"11EX1Ln-BQAtx9NTd9zfcaia52FGNdZENDW2kwMCJ8HQ")</f>
        <v>11EX1Ln-BQAtx9NTd9zfcaia52FGNdZENDW2kwMCJ8HQ</v>
      </c>
    </row>
    <row r="940" ht="15.75" customHeight="1">
      <c r="A940" s="0" t="str">
        <f>IFERROR(__xludf.DUMMYFUNCTION("""COMPUTED_VALUE"""),"SymbolLookup")</f>
        <v>SymbolLookup</v>
      </c>
      <c r="B940" s="0" t="str">
        <f>IFERROR(__xludf.DUMMYFUNCTION("""COMPUTED_VALUE"""),"PageFourDetails")</f>
        <v>PageFourDetails</v>
      </c>
      <c r="C940" s="0" t="str">
        <f>IFERROR(__xludf.DUMMYFUNCTION("""COMPUTED_VALUE"""),"11EX1Ln-BQAtx9NTd9zfcaia52FGNdZENDW2kwMCJ8HQ")</f>
        <v>11EX1Ln-BQAtx9NTd9zfcaia52FGNdZENDW2kwMCJ8HQ</v>
      </c>
    </row>
    <row r="941" ht="15.75" customHeight="1">
      <c r="A941" s="0" t="str">
        <f>IFERROR(__xludf.DUMMYFUNCTION("""COMPUTED_VALUE"""),"Admin")</f>
        <v>Admin</v>
      </c>
      <c r="B941" s="0" t="str">
        <f>IFERROR(__xludf.DUMMYFUNCTION("""COMPUTED_VALUE"""),"ChangeDate")</f>
        <v>ChangeDate</v>
      </c>
      <c r="C941" s="0" t="str">
        <f>IFERROR(__xludf.DUMMYFUNCTION("""COMPUTED_VALUE"""),"1P5fd0ftHTs8WR6XF70cltzN5BPur7V01OcYEMpPEMVE")</f>
        <v>1P5fd0ftHTs8WR6XF70cltzN5BPur7V01OcYEMpPEMVE</v>
      </c>
    </row>
    <row r="942" ht="15.75" customHeight="1">
      <c r="A942" s="0" t="str">
        <f>IFERROR(__xludf.DUMMYFUNCTION("""COMPUTED_VALUE"""),"Simulator")</f>
        <v>Simulator</v>
      </c>
      <c r="B942" s="0" t="str">
        <f>IFERROR(__xludf.DUMMYFUNCTION("""COMPUTED_VALUE"""),"NewAcknowledgeTrade")</f>
        <v>NewAcknowledgeTrade</v>
      </c>
      <c r="C942" s="0" t="str">
        <f>IFERROR(__xludf.DUMMYFUNCTION("""COMPUTED_VALUE"""),"1H8R-FdslnMhiBZjAanQN5V9z26E47VjoaeJWQdGZ2pU")</f>
        <v>1H8R-FdslnMhiBZjAanQN5V9z26E47VjoaeJWQdGZ2pU</v>
      </c>
    </row>
    <row r="943" ht="15.75" customHeight="1">
      <c r="A943" s="0" t="str">
        <f>IFERROR(__xludf.DUMMYFUNCTION("""COMPUTED_VALUE"""),"Allocation")</f>
        <v>Allocation</v>
      </c>
      <c r="B943" s="0" t="str">
        <f>IFERROR(__xludf.DUMMYFUNCTION("""COMPUTED_VALUE"""),"ActionOnToolBar")</f>
        <v>ActionOnToolBar</v>
      </c>
      <c r="C943" s="0" t="str">
        <f>IFERROR(__xludf.DUMMYFUNCTION("""COMPUTED_VALUE"""),"11EX1Ln-BQAtx9NTd9zfcaia52FGNdZENDW2kwMCJ8HQ")</f>
        <v>11EX1Ln-BQAtx9NTd9zfcaia52FGNdZENDW2kwMCJ8HQ</v>
      </c>
    </row>
    <row r="944" ht="15.75" customHeight="1">
      <c r="A944" s="0" t="str">
        <f>IFERROR(__xludf.DUMMYFUNCTION("""COMPUTED_VALUE"""),"Allocation")</f>
        <v>Allocation</v>
      </c>
      <c r="B944" s="0" t="str">
        <f>IFERROR(__xludf.DUMMYFUNCTION("""COMPUTED_VALUE"""),"AutoGrpRules")</f>
        <v>AutoGrpRules</v>
      </c>
      <c r="C944" s="0" t="str">
        <f>IFERROR(__xludf.DUMMYFUNCTION("""COMPUTED_VALUE"""),"11EX1Ln-BQAtx9NTd9zfcaia52FGNdZENDW2kwMCJ8HQ")</f>
        <v>11EX1Ln-BQAtx9NTd9zfcaia52FGNdZENDW2kwMCJ8HQ</v>
      </c>
    </row>
    <row r="945" ht="15.75" customHeight="1">
      <c r="A945" s="0" t="str">
        <f>IFERROR(__xludf.DUMMYFUNCTION("""COMPUTED_VALUE"""),"Allocation")</f>
        <v>Allocation</v>
      </c>
      <c r="B945" s="0" t="str">
        <f>IFERROR(__xludf.DUMMYFUNCTION("""COMPUTED_VALUE"""),"VerifyToggleStateTA")</f>
        <v>VerifyToggleStateTA</v>
      </c>
      <c r="C945" s="0" t="str">
        <f>IFERROR(__xludf.DUMMYFUNCTION("""COMPUTED_VALUE"""),"11EX1Ln-BQAtx9NTd9zfcaia52FGNdZENDW2kwMCJ8HQ")</f>
        <v>11EX1Ln-BQAtx9NTd9zfcaia52FGNdZENDW2kwMCJ8HQ</v>
      </c>
    </row>
    <row r="946" ht="15.75" customHeight="1">
      <c r="A946" s="0" t="str">
        <f>IFERROR(__xludf.DUMMYFUNCTION("""COMPUTED_VALUE"""),"Expnl")</f>
        <v>Expnl</v>
      </c>
      <c r="B946" s="0" t="str">
        <f>IFERROR(__xludf.DUMMYFUNCTION("""COMPUTED_VALUE"""),"RefreshExpnlUi")</f>
        <v>RefreshExpnlUi</v>
      </c>
      <c r="C946" s="0" t="str">
        <f>IFERROR(__xludf.DUMMYFUNCTION("""COMPUTED_VALUE"""),"Undefined")</f>
        <v>Undefined</v>
      </c>
    </row>
    <row r="947" ht="15.75" customHeight="1">
      <c r="A947" s="0" t="str">
        <f>IFERROR(__xludf.DUMMYFUNCTION("""COMPUTED_VALUE"""),"Allocation")</f>
        <v>Allocation</v>
      </c>
      <c r="B947" s="0" t="str">
        <f>IFERROR(__xludf.DUMMYFUNCTION("""COMPUTED_VALUE"""),"ActiononAGP")</f>
        <v>ActiononAGP</v>
      </c>
      <c r="C947" s="0" t="str">
        <f>IFERROR(__xludf.DUMMYFUNCTION("""COMPUTED_VALUE"""),"11EX1Ln-BQAtx9NTd9zfcaia52FGNdZENDW2kwMCJ8HQ")</f>
        <v>11EX1Ln-BQAtx9NTd9zfcaia52FGNdZENDW2kwMCJ8HQ</v>
      </c>
    </row>
    <row r="948" ht="15.75" customHeight="1">
      <c r="A948" s="0" t="str">
        <f>IFERROR(__xludf.DUMMYFUNCTION("""COMPUTED_VALUE"""),"Allocation")</f>
        <v>Allocation</v>
      </c>
      <c r="B948" s="0" t="str">
        <f>IFERROR(__xludf.DUMMYFUNCTION("""COMPUTED_VALUE"""),"AttBulkChng")</f>
        <v>AttBulkChng</v>
      </c>
      <c r="C948" s="0" t="str">
        <f>IFERROR(__xludf.DUMMYFUNCTION("""COMPUTED_VALUE"""),"11EX1Ln-BQAtx9NTd9zfcaia52FGNdZENDW2kwMCJ8HQ")</f>
        <v>11EX1Ln-BQAtx9NTd9zfcaia52FGNdZENDW2kwMCJ8HQ</v>
      </c>
    </row>
    <row r="949" ht="15.75" customHeight="1">
      <c r="A949" s="0" t="str">
        <f>IFERROR(__xludf.DUMMYFUNCTION("""COMPUTED_VALUE"""),"Allocation")</f>
        <v>Allocation</v>
      </c>
      <c r="B949" s="0" t="str">
        <f>IFERROR(__xludf.DUMMYFUNCTION("""COMPUTED_VALUE"""),"AttBulkChngTwo")</f>
        <v>AttBulkChngTwo</v>
      </c>
      <c r="C949" s="0" t="str">
        <f>IFERROR(__xludf.DUMMYFUNCTION("""COMPUTED_VALUE"""),"11EX1Ln-BQAtx9NTd9zfcaia52FGNdZENDW2kwMCJ8HQ")</f>
        <v>11EX1Ln-BQAtx9NTd9zfcaia52FGNdZENDW2kwMCJ8HQ</v>
      </c>
    </row>
    <row r="950" ht="15.75" customHeight="1">
      <c r="A950" s="0" t="str">
        <f>IFERROR(__xludf.DUMMYFUNCTION("""COMPUTED_VALUE"""),"Login")</f>
        <v>Login</v>
      </c>
      <c r="B950" s="0" t="str">
        <f>IFERROR(__xludf.DUMMYFUNCTION("""COMPUTED_VALUE"""),"Login")</f>
        <v>Login</v>
      </c>
      <c r="C950" s="0" t="str">
        <f>IFERROR(__xludf.DUMMYFUNCTION("""COMPUTED_VALUE"""),"1uy63r2XjpUIBlAUk-lXKJTr-PpvpP6wxvLlLDzoM-Ic")</f>
        <v>1uy63r2XjpUIBlAUk-lXKJTr-PpvpP6wxvLlLDzoM-Ic</v>
      </c>
    </row>
    <row r="951" ht="15.75" customHeight="1">
      <c r="A951" s="0" t="str">
        <f>IFERROR(__xludf.DUMMYFUNCTION("""COMPUTED_VALUE"""),"Simulator")</f>
        <v>Simulator</v>
      </c>
      <c r="B951" s="0" t="str">
        <f>IFERROR(__xludf.DUMMYFUNCTION("""COMPUTED_VALUE"""),"VerifyRowAllFixLogs")</f>
        <v>VerifyRowAllFixLogs</v>
      </c>
      <c r="C951" s="0" t="str">
        <f>IFERROR(__xludf.DUMMYFUNCTION("""COMPUTED_VALUE"""),"1_W_DB1rnbV-zXf1aqv8VkPNpTGPIckmD7s5z0ncm4ho")</f>
        <v>1_W_DB1rnbV-zXf1aqv8VkPNpTGPIckmD7s5z0ncm4ho</v>
      </c>
    </row>
    <row r="952" ht="15.75" customHeight="1">
      <c r="A952" s="0" t="str">
        <f>IFERROR(__xludf.DUMMYFUNCTION("""COMPUTED_VALUE"""),"Blotter")</f>
        <v>Blotter</v>
      </c>
      <c r="B952" s="0" t="str">
        <f>IFERROR(__xludf.DUMMYFUNCTION("""COMPUTED_VALUE"""),"ManageHotButton")</f>
        <v>ManageHotButton</v>
      </c>
      <c r="C952" s="0" t="str">
        <f>IFERROR(__xludf.DUMMYFUNCTION("""COMPUTED_VALUE"""),"1kQpkPRi_1u4R3VazjhiilbOI8OkiiHRY2wfgByau1YY")</f>
        <v>1kQpkPRi_1u4R3VazjhiilbOI8OkiiHRY2wfgByau1YY</v>
      </c>
    </row>
    <row r="953" ht="15.75" customHeight="1">
      <c r="A953" s="0" t="str">
        <f>IFERROR(__xludf.DUMMYFUNCTION("""COMPUTED_VALUE"""),"Simulator")</f>
        <v>Simulator</v>
      </c>
      <c r="B953" s="0" t="str">
        <f>IFERROR(__xludf.DUMMYFUNCTION("""COMPUTED_VALUE"""),"ClearAllFixLogs")</f>
        <v>ClearAllFixLogs</v>
      </c>
    </row>
    <row r="954" ht="15.75" customHeight="1">
      <c r="A954" s="0" t="str">
        <f>IFERROR(__xludf.DUMMYFUNCTION("""COMPUTED_VALUE"""),"PranaClient")</f>
        <v>PranaClient</v>
      </c>
      <c r="B954" s="0" t="str">
        <f>IFERROR(__xludf.DUMMYFUNCTION("""COMPUTED_VALUE"""),"UpdateLiveExcelSheetForRTPNL")</f>
        <v>UpdateLiveExcelSheetForRTPNL</v>
      </c>
    </row>
    <row r="955" ht="15.75" customHeight="1">
      <c r="A955" s="0" t="str">
        <f>IFERROR(__xludf.DUMMYFUNCTION("""COMPUTED_VALUE"""),"OpenFin")</f>
        <v>OpenFin</v>
      </c>
      <c r="B955" s="0" t="str">
        <f>IFERROR(__xludf.DUMMYFUNCTION("""COMPUTED_VALUE"""),"SavePageRTPNL")</f>
        <v>SavePageRTPNL</v>
      </c>
      <c r="C955" s="0" t="str">
        <f>IFERROR(__xludf.DUMMYFUNCTION("""COMPUTED_VALUE"""),"1YqhSG4yXo70SfhUq3fYD9CKf-eg44IFJ37IZh4WLI84")</f>
        <v>1YqhSG4yXo70SfhUq3fYD9CKf-eg44IFJ37IZh4WLI84</v>
      </c>
    </row>
    <row r="956" ht="15.75" customHeight="1">
      <c r="A956" s="0" t="str">
        <f>IFERROR(__xludf.DUMMYFUNCTION("""COMPUTED_VALUE"""),"RTPNL")</f>
        <v>RTPNL</v>
      </c>
      <c r="B956" s="0" t="str">
        <f>IFERROR(__xludf.DUMMYFUNCTION("""COMPUTED_VALUE"""),"VerifyGridThroughLiveExcel")</f>
        <v>VerifyGridThroughLiveExcel</v>
      </c>
      <c r="C956" s="0" t="str">
        <f>IFERROR(__xludf.DUMMYFUNCTION("""COMPUTED_VALUE"""),"1cCUw9lchUCKgHeNcwCDXybCOZXIeN4O0zRhkTZCVDUg")</f>
        <v>1cCUw9lchUCKgHeNcwCDXybCOZXIeN4O0zRhkTZCVDUg</v>
      </c>
    </row>
    <row r="957" ht="15.75" customHeight="1">
      <c r="A957" s="0" t="str">
        <f>IFERROR(__xludf.DUMMYFUNCTION("""COMPUTED_VALUE"""),"OpenFin")</f>
        <v>OpenFin</v>
      </c>
      <c r="B957" s="0" t="str">
        <f>IFERROR(__xludf.DUMMYFUNCTION("""COMPUTED_VALUE"""),"VerifyToastMessage")</f>
        <v>VerifyToastMessage</v>
      </c>
      <c r="C957" s="0" t="str">
        <f>IFERROR(__xludf.DUMMYFUNCTION("""COMPUTED_VALUE"""),"1DYn70fZ-UJ9bocMMWUWIW2IVfXlF5TRVuLedi7Y_LNk")</f>
        <v>1DYn70fZ-UJ9bocMMWUWIW2IVfXlF5TRVuLedi7Y_LNk</v>
      </c>
    </row>
    <row r="958" ht="15.75" customHeight="1">
      <c r="A958" s="0" t="str">
        <f>IFERROR(__xludf.DUMMYFUNCTION("""COMPUTED_VALUE"""),"NavLock")</f>
        <v>NavLock</v>
      </c>
      <c r="B958" s="0" t="str">
        <f>IFERROR(__xludf.DUMMYFUNCTION("""COMPUTED_VALUE"""),"VerifyNavLockGrid")</f>
        <v>VerifyNavLockGrid</v>
      </c>
      <c r="C958" s="0" t="str">
        <f>IFERROR(__xludf.DUMMYFUNCTION("""COMPUTED_VALUE"""),"11EX1Ln-BQAtx9NTd9zfcaia52FGNdZENDW2kwMCJ8HQ")</f>
        <v>11EX1Ln-BQAtx9NTd9zfcaia52FGNdZENDW2kwMCJ8HQ</v>
      </c>
    </row>
    <row r="959" ht="15.75" customHeight="1">
      <c r="A959" s="0" t="str">
        <f>IFERROR(__xludf.DUMMYFUNCTION("""COMPUTED_VALUE"""),"RTPNL")</f>
        <v>RTPNL</v>
      </c>
      <c r="B959" s="0" t="str">
        <f>IFERROR(__xludf.DUMMYFUNCTION("""COMPUTED_VALUE"""),"ApplyColumnFilter")</f>
        <v>ApplyColumnFilter</v>
      </c>
      <c r="C959" s="0" t="str">
        <f>IFERROR(__xludf.DUMMYFUNCTION("""COMPUTED_VALUE"""),"1N9Nn6t5kuoUpj5sQRZwukYuXz8skh2F7E53j1Um1W1A")</f>
        <v>1N9Nn6t5kuoUpj5sQRZwukYuXz8skh2F7E53j1Um1W1A</v>
      </c>
    </row>
    <row r="960" ht="15.75" customHeight="1">
      <c r="A960" s="0" t="str">
        <f>IFERROR(__xludf.DUMMYFUNCTION("""COMPUTED_VALUE"""),"Closing")</f>
        <v>Closing</v>
      </c>
      <c r="B960" s="0" t="str">
        <f>IFERROR(__xludf.DUMMYFUNCTION("""COMPUTED_VALUE"""),"GetClosingData")</f>
        <v>GetClosingData</v>
      </c>
      <c r="C960" s="0" t="str">
        <f>IFERROR(__xludf.DUMMYFUNCTION("""COMPUTED_VALUE"""),"11EX1Ln-BQAtx9NTd9zfcaia52FGNdZENDW2kwMCJ9HQ")</f>
        <v>11EX1Ln-BQAtx9NTd9zfcaia52FGNdZENDW2kwMCJ9HQ</v>
      </c>
    </row>
    <row r="961" ht="15.75" customHeight="1">
      <c r="A961" s="0" t="str">
        <f>IFERROR(__xludf.DUMMYFUNCTION("""COMPUTED_VALUE"""),"Closing")</f>
        <v>Closing</v>
      </c>
      <c r="B961" s="0" t="str">
        <f>IFERROR(__xludf.DUMMYFUNCTION("""COMPUTED_VALUE"""),"CloseAmendOprtn")</f>
        <v>CloseAmendOprtn</v>
      </c>
      <c r="C961" s="0" t="str">
        <f>IFERROR(__xludf.DUMMYFUNCTION("""COMPUTED_VALUE"""),"11EX1Ln-BQAtx9NTd9zfcaia52FGNdZENDW2kwMCJ10HQ")</f>
        <v>11EX1Ln-BQAtx9NTd9zfcaia52FGNdZENDW2kwMCJ10HQ</v>
      </c>
    </row>
    <row r="962" ht="15.75" customHeight="1">
      <c r="A962" s="0" t="str">
        <f>IFERROR(__xludf.DUMMYFUNCTION("""COMPUTED_VALUE"""),"Closing")</f>
        <v>Closing</v>
      </c>
      <c r="B962" s="0" t="str">
        <f>IFERROR(__xludf.DUMMYFUNCTION("""COMPUTED_VALUE"""),"ExpSettlOprtn")</f>
        <v>ExpSettlOprtn</v>
      </c>
      <c r="C962" s="0" t="str">
        <f>IFERROR(__xludf.DUMMYFUNCTION("""COMPUTED_VALUE"""),"11EX1Ln-BQAtx9NTd9zfcaia52FGNdZENDW2kwMCJ11HQ")</f>
        <v>11EX1Ln-BQAtx9NTd9zfcaia52FGNdZENDW2kwMCJ11HQ</v>
      </c>
    </row>
    <row r="963" ht="15.75" customHeight="1">
      <c r="A963" s="0" t="str">
        <f>IFERROR(__xludf.DUMMYFUNCTION("""COMPUTED_VALUE"""),"Closing")</f>
        <v>Closing</v>
      </c>
      <c r="B963" s="0" t="str">
        <f>IFERROR(__xludf.DUMMYFUNCTION("""COMPUTED_VALUE"""),"CloseOrderOprtn")</f>
        <v>CloseOrderOprtn</v>
      </c>
      <c r="C963" s="0" t="str">
        <f>IFERROR(__xludf.DUMMYFUNCTION("""COMPUTED_VALUE"""),"11EX1Ln-BQAtx9NTd9zfcaia52FGNdZENDW2kwMCJ12HQ")</f>
        <v>11EX1Ln-BQAtx9NTd9zfcaia52FGNdZENDW2kwMCJ12HQ</v>
      </c>
    </row>
    <row r="964" ht="15.75" customHeight="1">
      <c r="A964" s="0" t="str">
        <f>IFERROR(__xludf.DUMMYFUNCTION("""COMPUTED_VALUE"""),"Closing")</f>
        <v>Closing</v>
      </c>
      <c r="B964" s="0" t="str">
        <f>IFERROR(__xludf.DUMMYFUNCTION("""COMPUTED_VALUE"""),"SelectgrdCloseTrades")</f>
        <v>SelectgrdCloseTrades</v>
      </c>
      <c r="C964" s="0" t="str">
        <f>IFERROR(__xludf.DUMMYFUNCTION("""COMPUTED_VALUE"""),"11EX1Ln-BQAtx9NTd9zfcaia52FGNdZENDW2kwMCJ13HQ")</f>
        <v>11EX1Ln-BQAtx9NTd9zfcaia52FGNdZENDW2kwMCJ13HQ</v>
      </c>
    </row>
    <row r="965" ht="15.75" customHeight="1">
      <c r="A965" s="0" t="str">
        <f>IFERROR(__xludf.DUMMYFUNCTION("""COMPUTED_VALUE"""),"Closing")</f>
        <v>Closing</v>
      </c>
      <c r="B965" s="0" t="str">
        <f>IFERROR(__xludf.DUMMYFUNCTION("""COMPUTED_VALUE"""),"SelectgrdLongTrades")</f>
        <v>SelectgrdLongTrades</v>
      </c>
      <c r="C965" s="0" t="str">
        <f>IFERROR(__xludf.DUMMYFUNCTION("""COMPUTED_VALUE"""),"11EX1Ln-BQAtx9NTd9zfcaia52FGNdZENDW2kwMCJ14HQ")</f>
        <v>11EX1Ln-BQAtx9NTd9zfcaia52FGNdZENDW2kwMCJ14HQ</v>
      </c>
    </row>
    <row r="966" ht="15.75" customHeight="1">
      <c r="A966" s="0" t="str">
        <f>IFERROR(__xludf.DUMMYFUNCTION("""COMPUTED_VALUE"""),"Closing")</f>
        <v>Closing</v>
      </c>
      <c r="B966" s="0" t="str">
        <f>IFERROR(__xludf.DUMMYFUNCTION("""COMPUTED_VALUE"""),"SelectgrdShortTrades")</f>
        <v>SelectgrdShortTrades</v>
      </c>
      <c r="C966" s="0" t="str">
        <f>IFERROR(__xludf.DUMMYFUNCTION("""COMPUTED_VALUE"""),"11EX1Ln-BQAtx9NTd9zfcaia52FGNdZENDW2kwMCJ15HQ")</f>
        <v>11EX1Ln-BQAtx9NTd9zfcaia52FGNdZENDW2kwMCJ15HQ</v>
      </c>
    </row>
    <row r="967" ht="15.75" customHeight="1">
      <c r="A967" s="0" t="str">
        <f>IFERROR(__xludf.DUMMYFUNCTION("""COMPUTED_VALUE"""),"Closing")</f>
        <v>Closing</v>
      </c>
      <c r="B967" s="0" t="str">
        <f>IFERROR(__xludf.DUMMYFUNCTION("""COMPUTED_VALUE"""),"SelectgrdNetPositionTrades")</f>
        <v>SelectgrdNetPositionTrades</v>
      </c>
      <c r="C967" s="0" t="str">
        <f>IFERROR(__xludf.DUMMYFUNCTION("""COMPUTED_VALUE"""),"11EX1Ln-BQAtx9NTd9zfcaia52FGNdZENDW2kwMCJ16HQ")</f>
        <v>11EX1Ln-BQAtx9NTd9zfcaia52FGNdZENDW2kwMCJ16HQ</v>
      </c>
    </row>
    <row r="968" ht="15.75" customHeight="1">
      <c r="A968" s="0" t="str">
        <f>IFERROR(__xludf.DUMMYFUNCTION("""COMPUTED_VALUE"""),"Closing")</f>
        <v>Closing</v>
      </c>
      <c r="B968" s="0" t="str">
        <f>IFERROR(__xludf.DUMMYFUNCTION("""COMPUTED_VALUE"""),"SelectgrdUnexpiredTrades")</f>
        <v>SelectgrdUnexpiredTrades</v>
      </c>
      <c r="C968" s="0" t="str">
        <f>IFERROR(__xludf.DUMMYFUNCTION("""COMPUTED_VALUE"""),"11EX1Ln-BQAtx9NTd9zfcaia52FGNdZENDW2kwMCJ17HQ")</f>
        <v>11EX1Ln-BQAtx9NTd9zfcaia52FGNdZENDW2kwMCJ17HQ</v>
      </c>
    </row>
    <row r="969" ht="15.75" customHeight="1">
      <c r="A969" s="0" t="str">
        <f>IFERROR(__xludf.DUMMYFUNCTION("""COMPUTED_VALUE"""),"Closing")</f>
        <v>Closing</v>
      </c>
      <c r="B969" s="0" t="str">
        <f>IFERROR(__xludf.DUMMYFUNCTION("""COMPUTED_VALUE"""),"SelectgrdCPTrades")</f>
        <v>SelectgrdCPTrades</v>
      </c>
      <c r="C969" s="0" t="str">
        <f>IFERROR(__xludf.DUMMYFUNCTION("""COMPUTED_VALUE"""),"11EX1Ln-BQAtx9NTd9zfcaia52FGNdZENDW2kwMCJ18HQ")</f>
        <v>11EX1Ln-BQAtx9NTd9zfcaia52FGNdZENDW2kwMCJ18HQ</v>
      </c>
    </row>
    <row r="970" ht="15.75" customHeight="1">
      <c r="A970" s="0" t="str">
        <f>IFERROR(__xludf.DUMMYFUNCTION("""COMPUTED_VALUE"""),"Closing")</f>
        <v>Closing</v>
      </c>
      <c r="B970" s="0" t="str">
        <f>IFERROR(__xludf.DUMMYFUNCTION("""COMPUTED_VALUE"""),"SelectgrdExpiredTrades")</f>
        <v>SelectgrdExpiredTrades</v>
      </c>
      <c r="C970" s="0" t="str">
        <f>IFERROR(__xludf.DUMMYFUNCTION("""COMPUTED_VALUE"""),"11EX1Ln-BQAtx9NTd9zfcaia52FGNdZENDW2kwMCJ19HQ")</f>
        <v>11EX1Ln-BQAtx9NTd9zfcaia52FGNdZENDW2kwMCJ19HQ</v>
      </c>
    </row>
    <row r="971" ht="15.75" customHeight="1">
      <c r="A971" s="0" t="str">
        <f>IFERROR(__xludf.DUMMYFUNCTION("""COMPUTED_VALUE"""),"Closing")</f>
        <v>Closing</v>
      </c>
      <c r="B971" s="0" t="str">
        <f>IFERROR(__xludf.DUMMYFUNCTION("""COMPUTED_VALUE"""),"SelectgrdOpenTrades")</f>
        <v>SelectgrdOpenTrades</v>
      </c>
      <c r="C971" s="0" t="str">
        <f>IFERROR(__xludf.DUMMYFUNCTION("""COMPUTED_VALUE"""),"11EX1Ln-BQAtx9NTd9zfcaia52FGNdZENDW2kwMCJ20HQ")</f>
        <v>11EX1Ln-BQAtx9NTd9zfcaia52FGNdZENDW2kwMCJ20HQ</v>
      </c>
    </row>
    <row r="972" ht="15.75" customHeight="1">
      <c r="A972" s="0" t="str">
        <f>IFERROR(__xludf.DUMMYFUNCTION("""COMPUTED_VALUE"""),"Closing")</f>
        <v>Closing</v>
      </c>
      <c r="B972" s="0" t="str">
        <f>IFERROR(__xludf.DUMMYFUNCTION("""COMPUTED_VALUE"""),"GetClosingData")</f>
        <v>GetClosingData</v>
      </c>
      <c r="C972" s="0" t="str">
        <f>IFERROR(__xludf.DUMMYFUNCTION("""COMPUTED_VALUE"""),"11EX1Ln-BQAtx9NTd9zfcaia52FGNdZENDW2kwMCJ20HQ")</f>
        <v>11EX1Ln-BQAtx9NTd9zfcaia52FGNdZENDW2kwMCJ20HQ</v>
      </c>
    </row>
    <row r="973" ht="15.75" customHeight="1">
      <c r="A973" s="0" t="str">
        <f>IFERROR(__xludf.DUMMYFUNCTION("""COMPUTED_VALUE"""),"Closing")</f>
        <v>Closing</v>
      </c>
      <c r="B973" s="0" t="str">
        <f>IFERROR(__xludf.DUMMYFUNCTION("""COMPUTED_VALUE"""),"WizardOptions")</f>
        <v>WizardOptions</v>
      </c>
      <c r="C973" s="0" t="str">
        <f>IFERROR(__xludf.DUMMYFUNCTION("""COMPUTED_VALUE"""),"11EX1Ln-BQAtx9NTd9zfcaia52FGNdZENDW2kwMCJ21HQ")</f>
        <v>11EX1Ln-BQAtx9NTd9zfcaia52FGNdZENDW2kwMCJ21HQ</v>
      </c>
    </row>
    <row r="974" ht="15.75" customHeight="1">
      <c r="A974" s="0" t="str">
        <f>IFERROR(__xludf.DUMMYFUNCTION("""COMPUTED_VALUE"""),"Closing")</f>
        <v>Closing</v>
      </c>
      <c r="B974" s="0" t="str">
        <f>IFERROR(__xludf.DUMMYFUNCTION("""COMPUTED_VALUE"""),"ActionOnClosingWiz")</f>
        <v>ActionOnClosingWiz</v>
      </c>
      <c r="C974" s="0" t="str">
        <f>IFERROR(__xludf.DUMMYFUNCTION("""COMPUTED_VALUE"""),"11EX1Ln-BQAtx9NTd9zfcaia52FGNdZENDW2kwMCJ21HQ")</f>
        <v>11EX1Ln-BQAtx9NTd9zfcaia52FGNdZENDW2kwMCJ21HQ</v>
      </c>
    </row>
    <row r="975" ht="15.75" customHeight="1">
      <c r="A975" s="0" t="str">
        <f>IFERROR(__xludf.DUMMYFUNCTION("""COMPUTED_VALUE"""),"Allocation")</f>
        <v>Allocation</v>
      </c>
      <c r="B975" s="0" t="str">
        <f>IFERROR(__xludf.DUMMYFUNCTION("""COMPUTED_VALUE"""),"VerifyAttRenaming")</f>
        <v>VerifyAttRenaming</v>
      </c>
      <c r="C975" s="0" t="str">
        <f>IFERROR(__xludf.DUMMYFUNCTION("""COMPUTED_VALUE"""),"11EX1Ln-BQAtx9NTd9zfcaia52FGNdZENDW2kwMCJ21HQ")</f>
        <v>11EX1Ln-BQAtx9NTd9zfcaia52FGNdZENDW2kwMCJ21HQ</v>
      </c>
    </row>
    <row r="976" ht="15.75" customHeight="1">
      <c r="A976" s="0" t="str">
        <f>IFERROR(__xludf.DUMMYFUNCTION("""COMPUTED_VALUE"""),"NavLock")</f>
        <v>NavLock</v>
      </c>
      <c r="B976" s="0" t="str">
        <f>IFERROR(__xludf.DUMMYFUNCTION("""COMPUTED_VALUE"""),"DeleteRowNavLock")</f>
        <v>DeleteRowNavLock</v>
      </c>
      <c r="C976" s="0" t="str">
        <f>IFERROR(__xludf.DUMMYFUNCTION("""COMPUTED_VALUE"""),"11EX1Ln-BQAtx9NTd9zfcaia52FGNdZENDW2kwMCJ21HQ")</f>
        <v>11EX1Ln-BQAtx9NTd9zfcaia52FGNdZENDW2kwMCJ21HQ</v>
      </c>
    </row>
    <row r="977" ht="15.75" customHeight="1">
      <c r="A977" s="0" t="str">
        <f>IFERROR(__xludf.DUMMYFUNCTION("""COMPUTED_VALUE"""),"Closing")</f>
        <v>Closing</v>
      </c>
      <c r="B977" s="0" t="str">
        <f>IFERROR(__xludf.DUMMYFUNCTION("""COMPUTED_VALUE"""),"VerifyLongPositionsGrid")</f>
        <v>VerifyLongPositionsGrid</v>
      </c>
      <c r="C977" s="0" t="str">
        <f>IFERROR(__xludf.DUMMYFUNCTION("""COMPUTED_VALUE"""),"11EX1Ln-BQAtx9NTd9zfcaia52FGNdZENDW2kwMCJ14HQ")</f>
        <v>11EX1Ln-BQAtx9NTd9zfcaia52FGNdZENDW2kwMCJ14HQ</v>
      </c>
    </row>
    <row r="978" ht="15.75" customHeight="1">
      <c r="A978" s="0" t="str">
        <f>IFERROR(__xludf.DUMMYFUNCTION("""COMPUTED_VALUE"""),"Closing")</f>
        <v>Closing</v>
      </c>
      <c r="B978" s="0" t="str">
        <f>IFERROR(__xludf.DUMMYFUNCTION("""COMPUTED_VALUE"""),"VerifyShortPositionsGrid")</f>
        <v>VerifyShortPositionsGrid</v>
      </c>
      <c r="C978" s="0" t="str">
        <f>IFERROR(__xludf.DUMMYFUNCTION("""COMPUTED_VALUE"""),"11EX1Ln-BQAtx9NTd9zfcaia52FGNdZENDW2kwMCJ15HQ")</f>
        <v>11EX1Ln-BQAtx9NTd9zfcaia52FGNdZENDW2kwMCJ15HQ</v>
      </c>
    </row>
    <row r="979" ht="15.75" customHeight="1">
      <c r="A979" s="0" t="str">
        <f>IFERROR(__xludf.DUMMYFUNCTION("""COMPUTED_VALUE"""),"Closing")</f>
        <v>Closing</v>
      </c>
      <c r="B979" s="0" t="str">
        <f>IFERROR(__xludf.DUMMYFUNCTION("""COMPUTED_VALUE"""),"VerifyClosedTrades")</f>
        <v>VerifyClosedTrades</v>
      </c>
      <c r="C979" s="0" t="str">
        <f>IFERROR(__xludf.DUMMYFUNCTION("""COMPUTED_VALUE"""),"11EX1Ln-BQAtx9NTd9zfcaia52FGNdZENDW2kwMCJ16HQ")</f>
        <v>11EX1Ln-BQAtx9NTd9zfcaia52FGNdZENDW2kwMCJ16HQ</v>
      </c>
    </row>
    <row r="980" ht="15.75" customHeight="1">
      <c r="A980" s="0" t="str">
        <f>IFERROR(__xludf.DUMMYFUNCTION("""COMPUTED_VALUE"""),"Closing")</f>
        <v>Closing</v>
      </c>
      <c r="B980" s="0" t="str">
        <f>IFERROR(__xludf.DUMMYFUNCTION("""COMPUTED_VALUE"""),"CloseAmendOprtn")</f>
        <v>CloseAmendOprtn</v>
      </c>
      <c r="C980" s="0" t="str">
        <f>IFERROR(__xludf.DUMMYFUNCTION("""COMPUTED_VALUE"""),"11EX1Ln-BQAtx9NTd9zfcaia52FGNdZENDW2kwMCJ17HQ")</f>
        <v>11EX1Ln-BQAtx9NTd9zfcaia52FGNdZENDW2kwMCJ17HQ</v>
      </c>
    </row>
    <row r="981" ht="15.75" customHeight="1">
      <c r="A981" s="0" t="str">
        <f>IFERROR(__xludf.DUMMYFUNCTION("""COMPUTED_VALUE"""),"Closing")</f>
        <v>Closing</v>
      </c>
      <c r="B981" s="0" t="str">
        <f>IFERROR(__xludf.DUMMYFUNCTION("""COMPUTED_VALUE"""),"ExpSettlOprtn")</f>
        <v>ExpSettlOprtn</v>
      </c>
      <c r="C981" s="0" t="str">
        <f>IFERROR(__xludf.DUMMYFUNCTION("""COMPUTED_VALUE"""),"11EX1Ln-BQAtx9NTd9zfcaia52FGNdZENDW2kwMCJ18HQ")</f>
        <v>11EX1Ln-BQAtx9NTd9zfcaia52FGNdZENDW2kwMCJ18HQ</v>
      </c>
    </row>
    <row r="982" ht="15.75" customHeight="1">
      <c r="A982" s="0" t="str">
        <f>IFERROR(__xludf.DUMMYFUNCTION("""COMPUTED_VALUE"""),"Closing")</f>
        <v>Closing</v>
      </c>
      <c r="B982" s="0" t="str">
        <f>IFERROR(__xludf.DUMMYFUNCTION("""COMPUTED_VALUE"""),"ActionOnExpGrid")</f>
        <v>ActionOnExpGrid</v>
      </c>
      <c r="C982" s="0" t="str">
        <f>IFERROR(__xludf.DUMMYFUNCTION("""COMPUTED_VALUE"""),"11EX1Ln-BQAtx9NTd9zfcaia52FGNdZENDW2kwMCJ19HQ")</f>
        <v>11EX1Ln-BQAtx9NTd9zfcaia52FGNdZENDW2kwMCJ19HQ</v>
      </c>
    </row>
    <row r="983" ht="15.75" customHeight="1">
      <c r="A983" s="0" t="str">
        <f>IFERROR(__xludf.DUMMYFUNCTION("""COMPUTED_VALUE"""),"Closing")</f>
        <v>Closing</v>
      </c>
      <c r="B983" s="0" t="str">
        <f>IFERROR(__xludf.DUMMYFUNCTION("""COMPUTED_VALUE"""),"ActiononIncorrectQty")</f>
        <v>ActiononIncorrectQty</v>
      </c>
      <c r="C983" s="0" t="str">
        <f>IFERROR(__xludf.DUMMYFUNCTION("""COMPUTED_VALUE"""),"11EX1Ln-BQAtx9NTd9zfcaia52FGNdZENDW2kwMCJ20HQ")</f>
        <v>11EX1Ln-BQAtx9NTd9zfcaia52FGNdZENDW2kwMCJ20HQ</v>
      </c>
    </row>
    <row r="984" ht="15.75" customHeight="1">
      <c r="A984" s="0" t="str">
        <f>IFERROR(__xludf.DUMMYFUNCTION("""COMPUTED_VALUE"""),"Closing")</f>
        <v>Closing</v>
      </c>
      <c r="B984" s="0" t="str">
        <f>IFERROR(__xludf.DUMMYFUNCTION("""COMPUTED_VALUE"""),"VerifyIncorrectQty")</f>
        <v>VerifyIncorrectQty</v>
      </c>
      <c r="C984" s="0" t="str">
        <f>IFERROR(__xludf.DUMMYFUNCTION("""COMPUTED_VALUE"""),"11EX1Ln-BQAtx9NTd9zfcaia52FGNdZENDW2kwMCJ21HQ")</f>
        <v>11EX1Ln-BQAtx9NTd9zfcaia52FGNdZENDW2kwMCJ21HQ</v>
      </c>
    </row>
    <row r="985" ht="15.75" customHeight="1">
      <c r="A985" s="0" t="str">
        <f>IFERROR(__xludf.DUMMYFUNCTION("""COMPUTED_VALUE"""),"Closing")</f>
        <v>Closing</v>
      </c>
      <c r="B985" s="0" t="str">
        <f>IFERROR(__xludf.DUMMYFUNCTION("""COMPUTED_VALUE"""),"VerifyOpenTrades")</f>
        <v>VerifyOpenTrades</v>
      </c>
      <c r="C985" s="0" t="str">
        <f>IFERROR(__xludf.DUMMYFUNCTION("""COMPUTED_VALUE"""),"11EX1Ln-BQAtx9NTd9zfcaia52FGNdZENDW2kwMCJ20HQ")</f>
        <v>11EX1Ln-BQAtx9NTd9zfcaia52FGNdZENDW2kwMCJ20HQ</v>
      </c>
    </row>
    <row r="986" ht="15.75" customHeight="1">
      <c r="A986" s="0" t="str">
        <f>IFERROR(__xludf.DUMMYFUNCTION("""COMPUTED_VALUE"""),"CreateTransaction")</f>
        <v>CreateTransaction</v>
      </c>
      <c r="B986" s="0" t="str">
        <f>IFERROR(__xludf.DUMMYFUNCTION("""COMPUTED_VALUE"""),"EditCTGrid")</f>
        <v>EditCTGrid</v>
      </c>
      <c r="C986" s="0" t="str">
        <f>IFERROR(__xludf.DUMMYFUNCTION("""COMPUTED_VALUE"""),"11EX1Ln-BQAtx9NTd9zfcaia52FGNdZENDW2kwMCJ20HQ")</f>
        <v>11EX1Ln-BQAtx9NTd9zfcaia52FGNdZENDW2kwMCJ20HQ</v>
      </c>
    </row>
    <row r="987" ht="15.75" customHeight="1">
      <c r="A987" s="0" t="str">
        <f>IFERROR(__xludf.DUMMYFUNCTION("""COMPUTED_VALUE"""),"CreateTransaction")</f>
        <v>CreateTransaction</v>
      </c>
      <c r="B987" s="0" t="str">
        <f>IFERROR(__xludf.DUMMYFUNCTION("""COMPUTED_VALUE"""),"ActionOnCT")</f>
        <v>ActionOnCT</v>
      </c>
      <c r="C987" s="0" t="str">
        <f>IFERROR(__xludf.DUMMYFUNCTION("""COMPUTED_VALUE"""),"11EX1Ln-BQAtx9NTd9zfcaia52FGNdZENDW2kwMCJ20HQ")</f>
        <v>11EX1Ln-BQAtx9NTd9zfcaia52FGNdZENDW2kwMCJ20HQ</v>
      </c>
    </row>
    <row r="988" ht="15.75" customHeight="1">
      <c r="A988" s="0" t="str">
        <f>IFERROR(__xludf.DUMMYFUNCTION("""COMPUTED_VALUE"""),"Unknown")</f>
        <v>Unknown</v>
      </c>
      <c r="B988" s="0" t="str">
        <f>IFERROR(__xludf.DUMMYFUNCTION("""COMPUTED_VALUE"""),"OpenColumnChooser")</f>
        <v>OpenColumnChooser</v>
      </c>
      <c r="C988" s="0" t="str">
        <f>IFERROR(__xludf.DUMMYFUNCTION("""COMPUTED_VALUE"""),"11EX1Ln-BQAtx9NTd9zfcaia52FGNdZENDW2kwMCJ20HQ")</f>
        <v>11EX1Ln-BQAtx9NTd9zfcaia52FGNdZENDW2kwMCJ20HQ</v>
      </c>
    </row>
    <row r="989" ht="15.75" customHeight="1">
      <c r="A989" s="0" t="str">
        <f>IFERROR(__xludf.DUMMYFUNCTION("""COMPUTED_VALUE"""),"Closing")</f>
        <v>Closing</v>
      </c>
      <c r="B989" s="0" t="str">
        <f>IFERROR(__xludf.DUMMYFUNCTION("""COMPUTED_VALUE"""),"UnExpUnsettOperation")</f>
        <v>UnExpUnsettOperation</v>
      </c>
      <c r="C989" s="0" t="str">
        <f>IFERROR(__xludf.DUMMYFUNCTION("""COMPUTED_VALUE"""),"11EX1Ln-BQAtx9NTd9zfcaia52FGNdZENDW2kwMCJ20HQ")</f>
        <v>11EX1Ln-BQAtx9NTd9zfcaia52FGNdZENDW2kwMCJ20HQ</v>
      </c>
    </row>
    <row r="990" ht="15.75" customHeight="1">
      <c r="A990" s="0" t="str">
        <f>IFERROR(__xludf.DUMMYFUNCTION("""COMPUTED_VALUE"""),"NavLock")</f>
        <v>NavLock</v>
      </c>
      <c r="B990" s="0" t="str">
        <f>IFERROR(__xludf.DUMMYFUNCTION("""COMPUTED_VALUE"""),"ActiononNavLock")</f>
        <v>ActiononNavLock</v>
      </c>
      <c r="C990" s="0" t="str">
        <f>IFERROR(__xludf.DUMMYFUNCTION("""COMPUTED_VALUE"""),"11EX1Ln-BQAtx9NTd9zfcaia52FGNdZENDW2kwMCJ20HQ")</f>
        <v>11EX1Ln-BQAtx9NTd9zfcaia52FGNdZENDW2kwMCJ20HQ</v>
      </c>
    </row>
    <row r="991" ht="15.75" customHeight="1">
      <c r="A991" s="0" t="str">
        <f>IFERROR(__xludf.DUMMYFUNCTION("""COMPUTED_VALUE"""),"Allocation")</f>
        <v>Allocation</v>
      </c>
      <c r="B991" s="0" t="str">
        <f>IFERROR(__xludf.DUMMYFUNCTION("""COMPUTED_VALUE"""),"ActiononFixPref")</f>
        <v>ActiononFixPref</v>
      </c>
      <c r="C991" s="0" t="str">
        <f>IFERROR(__xludf.DUMMYFUNCTION("""COMPUTED_VALUE"""),"11EX1Ln-BQAtx9NTd9zfcaia52FGNdZENDW2kwMCJ20HQ")</f>
        <v>11EX1Ln-BQAtx9NTd9zfcaia52FGNdZENDW2kwMCJ20HQ</v>
      </c>
    </row>
    <row r="992" ht="15.75" customHeight="1">
      <c r="A992" s="0" t="str">
        <f>IFERROR(__xludf.DUMMYFUNCTION("""COMPUTED_VALUE"""),"Blotter")</f>
        <v>Blotter</v>
      </c>
      <c r="B992" s="0" t="str">
        <f>IFERROR(__xludf.DUMMYFUNCTION("""COMPUTED_VALUE"""),"SelectWorkSubsOnBlotter")</f>
        <v>SelectWorkSubsOnBlotter</v>
      </c>
      <c r="C992" s="0" t="str">
        <f>IFERROR(__xludf.DUMMYFUNCTION("""COMPUTED_VALUE"""),"11EX1Ln-BQAtx9NTd9zfcaia52FGNdZENDW2kwMCJ20HQ")</f>
        <v>11EX1Ln-BQAtx9NTd9zfcaia52FGNdZENDW2kwMCJ20HQ</v>
      </c>
    </row>
    <row r="993" ht="15.75" customHeight="1">
      <c r="A993" s="0" t="str">
        <f>IFERROR(__xludf.DUMMYFUNCTION("""COMPUTED_VALUE"""),"Closing")</f>
        <v>Closing</v>
      </c>
      <c r="B993" s="0" t="str">
        <f>IFERROR(__xludf.DUMMYFUNCTION("""COMPUTED_VALUE"""),"VerifyAccountUnexpired")</f>
        <v>VerifyAccountUnexpired</v>
      </c>
      <c r="C993" s="0" t="str">
        <f>IFERROR(__xludf.DUMMYFUNCTION("""COMPUTED_VALUE"""),"11EX1Ln-BQAtx9NTd9zfcaia52FGNdZENDW2kwMCJ20HQ")</f>
        <v>11EX1Ln-BQAtx9NTd9zfcaia52FGNdZENDW2kwMCJ20HQ</v>
      </c>
    </row>
    <row r="994" ht="15.75" customHeight="1">
      <c r="A994" s="0" t="str">
        <f>IFERROR(__xludf.DUMMYFUNCTION("""COMPUTED_VALUE"""),"PortfolioManagement")</f>
        <v>PortfolioManagement</v>
      </c>
      <c r="B994" s="0" t="str">
        <f>IFERROR(__xludf.DUMMYFUNCTION("""COMPUTED_VALUE"""),"ToolBarActiononPM")</f>
        <v>ToolBarActiononPM</v>
      </c>
      <c r="C994" s="0" t="str">
        <f>IFERROR(__xludf.DUMMYFUNCTION("""COMPUTED_VALUE"""),"11EX1Ln-BQAtx9NTd9zfcaia52FGNdZENDW2kwMCJ20HQ")</f>
        <v>11EX1Ln-BQAtx9NTd9zfcaia52FGNdZENDW2kwMCJ20HQ</v>
      </c>
    </row>
    <row r="995" ht="15.75" customHeight="1">
      <c r="A995" s="0" t="str">
        <f>IFERROR(__xludf.DUMMYFUNCTION("""COMPUTED_VALUE"""),"Allocation")</f>
        <v>Allocation</v>
      </c>
      <c r="B995" s="0" t="str">
        <f>IFERROR(__xludf.DUMMYFUNCTION("""COMPUTED_VALUE"""),"EditAttRenaming")</f>
        <v>EditAttRenaming</v>
      </c>
      <c r="C995" s="0" t="str">
        <f>IFERROR(__xludf.DUMMYFUNCTION("""COMPUTED_VALUE"""),"14aTeLjmUbS-nhaQwjtZAMGxdQ5DS6UsBjE5OTWN-LQU")</f>
        <v>14aTeLjmUbS-nhaQwjtZAMGxdQ5DS6UsBjE5OTWN-LQU</v>
      </c>
    </row>
    <row r="996" ht="15.75" customHeight="1">
      <c r="A996" s="0" t="str">
        <f>IFERROR(__xludf.DUMMYFUNCTION("""COMPUTED_VALUE"""),"Unknown")</f>
        <v>Unknown</v>
      </c>
      <c r="B996" s="0" t="str">
        <f>IFERROR(__xludf.DUMMYFUNCTION("""COMPUTED_VALUE"""),"ActiononColumnChooser")</f>
        <v>ActiononColumnChooser</v>
      </c>
      <c r="C996" s="0" t="str">
        <f>IFERROR(__xludf.DUMMYFUNCTION("""COMPUTED_VALUE"""),"14aTeLjmUbS-nhaQwjtZAMGxdQ5DS6UsBjE5OTWN-LQU")</f>
        <v>14aTeLjmUbS-nhaQwjtZAMGxdQ5DS6UsBjE5OTWN-LQU</v>
      </c>
    </row>
    <row r="997" ht="15.75" customHeight="1">
      <c r="A997" s="0" t="str">
        <f>IFERROR(__xludf.DUMMYFUNCTION("""COMPUTED_VALUE"""),"Unknown")</f>
        <v>Unknown</v>
      </c>
      <c r="B997" s="0" t="str">
        <f>IFERROR(__xludf.DUMMYFUNCTION("""COMPUTED_VALUE"""),"VerifyColumnChooser")</f>
        <v>VerifyColumnChooser</v>
      </c>
      <c r="C997" s="0" t="str">
        <f>IFERROR(__xludf.DUMMYFUNCTION("""COMPUTED_VALUE"""),"14aTeLjmUbS-nhaQwjtZAMGxdQ5DS6UsBjE5OTWN-LQU")</f>
        <v>14aTeLjmUbS-nhaQwjtZAMGxdQ5DS6UsBjE5OTWN-LQU</v>
      </c>
    </row>
    <row r="998" ht="15.75" customHeight="1">
      <c r="A998" s="0" t="str">
        <f>IFERROR(__xludf.DUMMYFUNCTION("""COMPUTED_VALUE"""),"Unknown")</f>
        <v>Unknown</v>
      </c>
      <c r="B998" s="0" t="str">
        <f>IFERROR(__xludf.DUMMYFUNCTION("""COMPUTED_VALUE"""),"EditColumnChooser")</f>
        <v>EditColumnChooser</v>
      </c>
      <c r="C998" s="0" t="str">
        <f>IFERROR(__xludf.DUMMYFUNCTION("""COMPUTED_VALUE"""),"14aTeLjmUbS-nhaQwjtZAMGxdQ5DS6UsBjE5OTWN-LQU")</f>
        <v>14aTeLjmUbS-nhaQwjtZAMGxdQ5DS6UsBjE5OTWN-LQU</v>
      </c>
    </row>
    <row r="999" ht="15.75" customHeight="1">
      <c r="A999" s="0" t="str">
        <f>IFERROR(__xludf.DUMMYFUNCTION("""COMPUTED_VALUE"""),"Unknown")</f>
        <v>Unknown</v>
      </c>
      <c r="B999" s="0" t="str">
        <f>IFERROR(__xludf.DUMMYFUNCTION("""COMPUTED_VALUE"""),"OpenColumnChooser")</f>
        <v>OpenColumnChooser</v>
      </c>
      <c r="C999" s="0" t="str">
        <f>IFERROR(__xludf.DUMMYFUNCTION("""COMPUTED_VALUE"""),"14aTeLjmUbS-nhaQwjtZAMGxdQ5DS6UsBjE5OTWN-LQU")</f>
        <v>14aTeLjmUbS-nhaQwjtZAMGxdQ5DS6UsBjE5OTWN-LQU</v>
      </c>
    </row>
    <row r="1000" ht="15.75" customHeight="1">
      <c r="A1000" s="0" t="str">
        <f>IFERROR(__xludf.DUMMYFUNCTION("""COMPUTED_VALUE"""),"TradingTicket")</f>
        <v>TradingTicket</v>
      </c>
      <c r="B1000" s="0" t="str">
        <f>IFERROR(__xludf.DUMMYFUNCTION("""COMPUTED_VALUE"""),"UpdateTTCA")</f>
        <v>UpdateTTCA</v>
      </c>
      <c r="C1000" s="0" t="str">
        <f>IFERROR(__xludf.DUMMYFUNCTION("""COMPUTED_VALUE"""),"14aTeLjmUbS-nhaQwjtZAMGxdQ5DS6UsBjE5OTWN-LQU")</f>
        <v>14aTeLjmUbS-nhaQwjtZAMGxdQ5DS6UsBjE5OTWN-LQU</v>
      </c>
    </row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B5:C6"/>
  <sheetViews>
    <sheetView workbookViewId="0"/>
  </sheetViews>
  <sheetFormatPr customHeight="1" defaultColWidth="15.13" defaultRowHeight="15.0"/>
  <sheetData>
    <row r="5">
      <c r="B5" s="18" t="s">
        <v>11</v>
      </c>
      <c r="C5" s="18" t="s">
        <v>12</v>
      </c>
    </row>
    <row r="6">
      <c r="B6" s="18" t="s">
        <v>13</v>
      </c>
      <c r="C6" s="19" t="b">
        <v>1</v>
      </c>
    </row>
  </sheetData>
  <headerFooter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16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IFERROR(__xludf.DUMMYFUNCTION("""COMPUTED_VALUE"""),"UpdateMultipleDailyCash")</f>
        <v>UpdateMultipleDailyCash</v>
      </c>
      <c r="E4" s="26" t="str">
        <f>IFERROR(__xludf.DUMMYFUNCTION("""COMPUTED_VALUE"""),"UpdateForexConversion")</f>
        <v>UpdateForexConversion</v>
      </c>
      <c r="F4" s="26" t="str">
        <f>IFERROR(__xludf.DUMMYFUNCTION("""COMPUTED_VALUE"""),"UpdateMarkPrice")</f>
        <v>UpdateMarkPrice</v>
      </c>
      <c r="G4" s="26" t="str">
        <f>IFERROR(__xludf.DUMMYFUNCTION("""COMPUTED_VALUE"""),"CleanUp")</f>
        <v>CleanUp</v>
      </c>
      <c r="H4" s="26" t="str">
        <f>IFERROR(__xludf.DUMMYFUNCTION("""COMPUTED_VALUE"""),"GetMarkPriceData")</f>
        <v>GetMarkPriceData</v>
      </c>
      <c r="I4" s="26" t="str">
        <f>IFERROR(__xludf.DUMMYFUNCTION("""COMPUTED_VALUE"""),"GetForwardPoints")</f>
        <v>GetForwardPoints</v>
      </c>
      <c r="J4" s="26" t="str">
        <f>IFERROR(__xludf.DUMMYFUNCTION("""COMPUTED_VALUE"""),"UpdateForwardPoints")</f>
        <v>UpdateForwardPoints</v>
      </c>
      <c r="K4" s="26" t="str">
        <f>IFERROR(__xludf.DUMMYFUNCTION("""COMPUTED_VALUE"""),"GetForexConversion")</f>
        <v>GetForexConversion</v>
      </c>
      <c r="L4" s="26" t="str">
        <f>IFERROR(__xludf.DUMMYFUNCTION("""COMPUTED_VALUE"""),"DeleteNAV")</f>
        <v>DeleteNAV</v>
      </c>
      <c r="M4" s="26" t="str">
        <f>IFERROR(__xludf.DUMMYFUNCTION("""COMPUTED_VALUE"""),"GetDailyCash")</f>
        <v>GetDailyCash</v>
      </c>
      <c r="N4" s="26" t="str">
        <f>IFERROR(__xludf.DUMMYFUNCTION("""COMPUTED_VALUE"""),"GetDailyBeta")</f>
        <v>GetDailyBeta</v>
      </c>
      <c r="O4" s="26" t="str">
        <f>IFERROR(__xludf.DUMMYFUNCTION("""COMPUTED_VALUE"""),"GetDailyVolatility")</f>
        <v>GetDailyVolatility</v>
      </c>
      <c r="P4" s="27" t="str">
        <f>IFERROR(__xludf.DUMMYFUNCTION("""COMPUTED_VALUE"""),"GetDailyDividendYield")</f>
        <v>GetDailyDividendYield</v>
      </c>
      <c r="Q4" s="27" t="str">
        <f>IFERROR(__xludf.DUMMYFUNCTION("""COMPUTED_VALUE"""),"GetDailyTradingVolume")</f>
        <v>GetDailyTradingVolume</v>
      </c>
      <c r="R4" s="27" t="str">
        <f>IFERROR(__xludf.DUMMYFUNCTION("""COMPUTED_VALUE"""),"GetDailyOutstandings")</f>
        <v>GetDailyOutstandings</v>
      </c>
      <c r="S4" s="27" t="str">
        <f>IFERROR(__xludf.DUMMYFUNCTION("""COMPUTED_VALUE"""),"GetDailyDelta")</f>
        <v>GetDailyDelta</v>
      </c>
      <c r="T4" s="27" t="str">
        <f>IFERROR(__xludf.DUMMYFUNCTION("""COMPUTED_VALUE"""),"UpdateDailyVolatility")</f>
        <v>UpdateDailyVolatility</v>
      </c>
      <c r="U4" s="27" t="str">
        <f>IFERROR(__xludf.DUMMYFUNCTION("""COMPUTED_VALUE"""),"UpdateDividendYield")</f>
        <v>UpdateDividendYield</v>
      </c>
      <c r="V4" s="27" t="str">
        <f>IFERROR(__xludf.DUMMYFUNCTION("""COMPUTED_VALUE"""),"UpdateTradingVolume")</f>
        <v>UpdateTradingVolume</v>
      </c>
      <c r="W4" s="27" t="str">
        <f>IFERROR(__xludf.DUMMYFUNCTION("""COMPUTED_VALUE"""),"UpdateDailyDelta")</f>
        <v>UpdateDailyDelta</v>
      </c>
      <c r="X4" s="27" t="str">
        <f>IFERROR(__xludf.DUMMYFUNCTION("""COMPUTED_VALUE"""),"UpdateDailyOutstandings")</f>
        <v>UpdateDailyOutstandings</v>
      </c>
      <c r="Y4" s="27" t="str">
        <f>IFERROR(__xludf.DUMMYFUNCTION("""COMPUTED_VALUE"""),"UpdateBeta")</f>
        <v>UpdateBeta</v>
      </c>
      <c r="Z4" s="27" t="str">
        <f>IFERROR(__xludf.DUMMYFUNCTION("""COMPUTED_VALUE"""),"UpdateNAV")</f>
        <v>UpdateNAV</v>
      </c>
      <c r="AA4" s="27" t="str">
        <f>IFERROR(__xludf.DUMMYFUNCTION("""COMPUTED_VALUE"""),"UpdateDailyCash")</f>
        <v>UpdateDailyCash</v>
      </c>
      <c r="AB4" s="27" t="str">
        <f>IFERROR(__xludf.DUMMYFUNCTION("""COMPUTED_VALUE"""),"UpdateDailyCreditLimt")</f>
        <v>UpdateDailyCreditLimt</v>
      </c>
      <c r="AC4" s="27" t="str">
        <f>IFERROR(__xludf.DUMMYFUNCTION("""COMPUTED_VALUE"""),"RemoveDailyCreditLimit")</f>
        <v>RemoveDailyCreditLimit</v>
      </c>
      <c r="AD4" s="27" t="str">
        <f>IFERROR(__xludf.DUMMYFUNCTION("""COMPUTED_VALUE"""),"RemoveDailyCash")</f>
        <v>RemoveDailyCash</v>
      </c>
      <c r="AE4" s="27" t="str">
        <f>IFERROR(__xludf.DUMMYFUNCTION("""COMPUTED_VALUE"""),"RemoveNAV")</f>
        <v>RemoveNAV</v>
      </c>
      <c r="AF4" s="27" t="str">
        <f>IFERROR(__xludf.DUMMYFUNCTION("""COMPUTED_VALUE"""),"UpdateForexConversionMonthly")</f>
        <v>UpdateForexConversionMonthly</v>
      </c>
      <c r="AG4" s="27" t="str">
        <f>IFERROR(__xludf.DUMMYFUNCTION("""COMPUTED_VALUE"""),"UpdateMarkPriceMonthly")</f>
        <v>UpdateMarkPriceMonthly</v>
      </c>
      <c r="AH4" s="27" t="str">
        <f>IFERROR(__xludf.DUMMYFUNCTION("""COMPUTED_VALUE"""),"VerifyDailyCash")</f>
        <v>VerifyDailyCash</v>
      </c>
      <c r="AI4" s="27" t="str">
        <f>IFERROR(__xludf.DUMMYFUNCTION("""COMPUTED_VALUE"""),"EnableBlankMarkPrices")</f>
        <v>EnableBlankMarkPrices</v>
      </c>
      <c r="AJ4" s="27" t="str">
        <f>IFERROR(__xludf.DUMMYFUNCTION("""COMPUTED_VALUE"""),"UpateSymbolBlankMP")</f>
        <v>UpateSymbolBlankMP</v>
      </c>
      <c r="AK4" s="27" t="str">
        <f>IFERROR(__xludf.DUMMYFUNCTION("""COMPUTED_VALUE"""),"UpdateBlankMP")</f>
        <v>UpdateBlankMP</v>
      </c>
      <c r="AL4" s="27" t="str">
        <f>IFERROR(__xludf.DUMMYFUNCTION("""COMPUTED_VALUE"""),"FilterBlankMP")</f>
        <v>FilterBlankMP</v>
      </c>
      <c r="AM4" s="27" t="str">
        <f>IFERROR(__xludf.DUMMYFUNCTION("""COMPUTED_VALUE"""),"VerifyDVNavLockPopup")</f>
        <v>VerifyDVNavLockPopup</v>
      </c>
      <c r="AN4" s="27" t="str">
        <f>IFERROR(__xludf.DUMMYFUNCTION("""COMPUTED_VALUE"""),"SelectDateAtMPFC")</f>
        <v>SelectDateAtMPFC</v>
      </c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B5" s="0" t="s">
        <v>19</v>
      </c>
      <c r="C5" s="0" t="s">
        <v>20</v>
      </c>
    </row>
    <row r="6" ht="15.75" customHeight="1">
      <c r="A6" s="12"/>
      <c r="B6" s="32">
        <f ref="B6:C6" t="shared" si="1">today()-1</f>
        <v>45854</v>
      </c>
      <c r="C6" s="33">
        <f t="shared" si="1"/>
        <v>45854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3A892E0-8BBE-476C-9DA2-9B8BEFA65B8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800F96D-E197-41A0-886B-7B400ED1643E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63B63397-0F8F-40AA-B3C4-422FD54F893C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21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IFERROR(__xludf.DUMMYFUNCTION("""COMPUTED_VALUE"""),"UpdateMultipleDailyCash")</f>
        <v>UpdateMultipleDailyCash</v>
      </c>
      <c r="E4" s="26" t="str">
        <f>IFERROR(__xludf.DUMMYFUNCTION("""COMPUTED_VALUE"""),"UpdateForexConversion")</f>
        <v>UpdateForexConversion</v>
      </c>
      <c r="F4" s="26" t="str">
        <f>IFERROR(__xludf.DUMMYFUNCTION("""COMPUTED_VALUE"""),"UpdateMarkPrice")</f>
        <v>UpdateMarkPrice</v>
      </c>
      <c r="G4" s="26" t="str">
        <f>IFERROR(__xludf.DUMMYFUNCTION("""COMPUTED_VALUE"""),"CleanUp")</f>
        <v>CleanUp</v>
      </c>
      <c r="H4" s="26" t="str">
        <f>IFERROR(__xludf.DUMMYFUNCTION("""COMPUTED_VALUE"""),"GetMarkPriceData")</f>
        <v>GetMarkPriceData</v>
      </c>
      <c r="I4" s="26" t="str">
        <f>IFERROR(__xludf.DUMMYFUNCTION("""COMPUTED_VALUE"""),"GetForwardPoints")</f>
        <v>GetForwardPoints</v>
      </c>
      <c r="J4" s="26" t="str">
        <f>IFERROR(__xludf.DUMMYFUNCTION("""COMPUTED_VALUE"""),"UpdateForwardPoints")</f>
        <v>UpdateForwardPoints</v>
      </c>
      <c r="K4" s="26" t="str">
        <f>IFERROR(__xludf.DUMMYFUNCTION("""COMPUTED_VALUE"""),"GetForexConversion")</f>
        <v>GetForexConversion</v>
      </c>
      <c r="L4" s="26" t="str">
        <f>IFERROR(__xludf.DUMMYFUNCTION("""COMPUTED_VALUE"""),"DeleteNAV")</f>
        <v>DeleteNAV</v>
      </c>
      <c r="M4" s="26" t="str">
        <f>IFERROR(__xludf.DUMMYFUNCTION("""COMPUTED_VALUE"""),"GetDailyCash")</f>
        <v>GetDailyCash</v>
      </c>
      <c r="N4" s="26" t="str">
        <f>IFERROR(__xludf.DUMMYFUNCTION("""COMPUTED_VALUE"""),"GetDailyBeta")</f>
        <v>GetDailyBeta</v>
      </c>
      <c r="O4" s="26" t="str">
        <f>IFERROR(__xludf.DUMMYFUNCTION("""COMPUTED_VALUE"""),"GetDailyVolatility")</f>
        <v>GetDailyVolatility</v>
      </c>
      <c r="P4" s="27" t="str">
        <f>IFERROR(__xludf.DUMMYFUNCTION("""COMPUTED_VALUE"""),"GetDailyDividendYield")</f>
        <v>GetDailyDividendYield</v>
      </c>
      <c r="Q4" s="27" t="str">
        <f>IFERROR(__xludf.DUMMYFUNCTION("""COMPUTED_VALUE"""),"GetDailyTradingVolume")</f>
        <v>GetDailyTradingVolume</v>
      </c>
      <c r="R4" s="27" t="str">
        <f>IFERROR(__xludf.DUMMYFUNCTION("""COMPUTED_VALUE"""),"GetDailyOutstandings")</f>
        <v>GetDailyOutstandings</v>
      </c>
      <c r="S4" s="27" t="str">
        <f>IFERROR(__xludf.DUMMYFUNCTION("""COMPUTED_VALUE"""),"GetDailyDelta")</f>
        <v>GetDailyDelta</v>
      </c>
      <c r="T4" s="27" t="str">
        <f>IFERROR(__xludf.DUMMYFUNCTION("""COMPUTED_VALUE"""),"UpdateDailyVolatility")</f>
        <v>UpdateDailyVolatility</v>
      </c>
      <c r="U4" s="27" t="str">
        <f>IFERROR(__xludf.DUMMYFUNCTION("""COMPUTED_VALUE"""),"UpdateDividendYield")</f>
        <v>UpdateDividendYield</v>
      </c>
      <c r="V4" s="27" t="str">
        <f>IFERROR(__xludf.DUMMYFUNCTION("""COMPUTED_VALUE"""),"UpdateTradingVolume")</f>
        <v>UpdateTradingVolume</v>
      </c>
      <c r="W4" s="27" t="str">
        <f>IFERROR(__xludf.DUMMYFUNCTION("""COMPUTED_VALUE"""),"UpdateDailyDelta")</f>
        <v>UpdateDailyDelta</v>
      </c>
      <c r="X4" s="27" t="str">
        <f>IFERROR(__xludf.DUMMYFUNCTION("""COMPUTED_VALUE"""),"UpdateDailyOutstandings")</f>
        <v>UpdateDailyOutstandings</v>
      </c>
      <c r="Y4" s="27" t="str">
        <f>IFERROR(__xludf.DUMMYFUNCTION("""COMPUTED_VALUE"""),"UpdateBeta")</f>
        <v>UpdateBeta</v>
      </c>
      <c r="Z4" s="27" t="str">
        <f>IFERROR(__xludf.DUMMYFUNCTION("""COMPUTED_VALUE"""),"UpdateNAV")</f>
        <v>UpdateNAV</v>
      </c>
      <c r="AA4" s="27" t="str">
        <f>IFERROR(__xludf.DUMMYFUNCTION("""COMPUTED_VALUE"""),"UpdateDailyCash")</f>
        <v>UpdateDailyCash</v>
      </c>
      <c r="AB4" s="27" t="str">
        <f>IFERROR(__xludf.DUMMYFUNCTION("""COMPUTED_VALUE"""),"UpdateDailyCreditLimt")</f>
        <v>UpdateDailyCreditLimt</v>
      </c>
      <c r="AC4" s="27" t="str">
        <f>IFERROR(__xludf.DUMMYFUNCTION("""COMPUTED_VALUE"""),"RemoveDailyCreditLimit")</f>
        <v>RemoveDailyCreditLimit</v>
      </c>
      <c r="AD4" s="27" t="str">
        <f>IFERROR(__xludf.DUMMYFUNCTION("""COMPUTED_VALUE"""),"RemoveDailyCash")</f>
        <v>RemoveDailyCash</v>
      </c>
      <c r="AE4" s="27" t="str">
        <f>IFERROR(__xludf.DUMMYFUNCTION("""COMPUTED_VALUE"""),"RemoveNAV")</f>
        <v>RemoveNAV</v>
      </c>
      <c r="AF4" s="27" t="str">
        <f>IFERROR(__xludf.DUMMYFUNCTION("""COMPUTED_VALUE"""),"UpdateForexConversionMonthly")</f>
        <v>UpdateForexConversionMonthly</v>
      </c>
      <c r="AG4" s="27" t="str">
        <f>IFERROR(__xludf.DUMMYFUNCTION("""COMPUTED_VALUE"""),"UpdateMarkPriceMonthly")</f>
        <v>UpdateMarkPriceMonthly</v>
      </c>
      <c r="AH4" s="27" t="str">
        <f>IFERROR(__xludf.DUMMYFUNCTION("""COMPUTED_VALUE"""),"VerifyDailyCash")</f>
        <v>VerifyDailyCash</v>
      </c>
      <c r="AI4" s="27" t="str">
        <f>IFERROR(__xludf.DUMMYFUNCTION("""COMPUTED_VALUE"""),"EnableBlankMarkPrices")</f>
        <v>EnableBlankMarkPrices</v>
      </c>
      <c r="AJ4" s="27" t="str">
        <f>IFERROR(__xludf.DUMMYFUNCTION("""COMPUTED_VALUE"""),"UpateSymbolBlankMP")</f>
        <v>UpateSymbolBlankMP</v>
      </c>
      <c r="AK4" s="27" t="str">
        <f>IFERROR(__xludf.DUMMYFUNCTION("""COMPUTED_VALUE"""),"UpdateBlankMP")</f>
        <v>UpdateBlankMP</v>
      </c>
      <c r="AL4" s="27" t="str">
        <f>IFERROR(__xludf.DUMMYFUNCTION("""COMPUTED_VALUE"""),"FilterBlankMP")</f>
        <v>FilterBlankMP</v>
      </c>
      <c r="AM4" s="27" t="str">
        <f>IFERROR(__xludf.DUMMYFUNCTION("""COMPUTED_VALUE"""),"VerifyDVNavLockPopup")</f>
        <v>VerifyDVNavLockPopup</v>
      </c>
      <c r="AN4" s="27" t="str">
        <f>IFERROR(__xludf.DUMMYFUNCTION("""COMPUTED_VALUE"""),"SelectDateAtMPFC")</f>
        <v>SelectDateAtMPFC</v>
      </c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22</v>
      </c>
      <c r="C6" s="12" t="s">
        <v>23</v>
      </c>
      <c r="D6" s="12">
        <v>4662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23</v>
      </c>
      <c r="D7" s="12">
        <v>50000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654A7D7-A1D2-4AD0-B174-821442F38B7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18BE468-98FC-415C-8B13-3551108B647B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A1EAE876-AA5B-42F2-BBE2-D23EB76B7BBB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26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IFERROR(__xludf.DUMMYFUNCTION("""COMPUTED_VALUE"""),"RoundLotPreference")</f>
        <v>RoundLotPreference</v>
      </c>
      <c r="C5" s="29" t="str">
        <f>IFERROR(__xludf.DUMMYFUNCTION("""COMPUTED_VALUE"""),"ReinvestCash")</f>
        <v>ReinvestCash</v>
      </c>
      <c r="D5" s="29" t="str">
        <f>IFERROR(__xludf.DUMMYFUNCTION("""COMPUTED_VALUE"""),"Sell to Raise Cash")</f>
        <v>Sell to Raise Cash</v>
      </c>
      <c r="E5" s="29" t="str">
        <f>IFERROR(__xludf.DUMMYFUNCTION("""COMPUTED_VALUE"""),"No Shorting")</f>
        <v>No Shorting</v>
      </c>
      <c r="F5" s="30" t="str">
        <f>IFERROR(__xludf.DUMMYFUNCTION("""COMPUTED_VALUE"""),"Allow Negative Cash")</f>
        <v>Allow Negative Cash</v>
      </c>
      <c r="G5" s="29" t="str">
        <f>IFERROR(__xludf.DUMMYFUNCTION("""COMPUTED_VALUE"""),"Rebalance Across Securities")</f>
        <v>Rebalance Across Securities</v>
      </c>
      <c r="H5" s="29" t="str">
        <f>IFERROR(__xludf.DUMMYFUNCTION("""COMPUTED_VALUE"""),"Other Items Impacting NAV")</f>
        <v>Other Items Impacting NAV</v>
      </c>
      <c r="I5" s="29" t="str">
        <f>IFERROR(__xludf.DUMMYFUNCTION("""COMPUTED_VALUE"""),"NAV Calculation Preference")</f>
        <v>NAV Calculation Preference</v>
      </c>
      <c r="J5" s="29" t="str">
        <f>IFERROR(__xludf.DUMMYFUNCTION("""COMPUTED_VALUE"""),"Account/Groups Visibility")</f>
        <v>Account/Groups Visibility</v>
      </c>
      <c r="K5" s="29" t="str">
        <f>IFERROR(__xludf.DUMMYFUNCTION("""COMPUTED_VALUE"""),"Always Ask for Saving Orders")</f>
        <v>Always Ask for Saving Orders</v>
      </c>
      <c r="L5" s="29" t="str">
        <f>IFERROR(__xludf.DUMMYFUNCTION("""COMPUTED_VALUE"""),"Rounding Type")</f>
        <v>Rounding Type</v>
      </c>
      <c r="M5" s="29" t="str">
        <f>IFERROR(__xludf.DUMMYFUNCTION("""COMPUTED_VALUE"""),"/=/-/=:")</f>
        <v>/=/-/=: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/>
      <c r="C6" s="8"/>
      <c r="D6" s="12"/>
      <c r="E6" s="34"/>
      <c r="F6" s="8"/>
      <c r="G6" s="8"/>
      <c r="H6" s="8"/>
      <c r="I6" s="35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36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F114996-4EBE-4AD7-B87E-23B44826428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BB839B5-CEDF-4A13-A28F-6986B46F2C97}">
          <x14:formula1>
            <xm:f>RebalancePreference!$4:$4</xm:f>
          </x14:formula1>
          <xm:sqref>E3</xm:sqref>
        </x14:dataValidation>
        <x14:dataValidation type="list" allowBlank="1" showInputMessage="1" showErrorMessage="1" prompt="Choose an available module" xr:uid="{F0BEB024-BF9D-47F8-BFEC-DC74547C9E49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28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24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AD5CB9D-F1B1-4061-AD40-BEB1884BE15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DA90564-F410-4119-998B-C63AF623D422}">
          <x14:formula1>
            <xm:f>FetchAccountPositions!$4:$4</xm:f>
          </x14:formula1>
          <xm:sqref>E3</xm:sqref>
        </x14:dataValidation>
        <x14:dataValidation type="list" allowBlank="1" showInputMessage="1" showErrorMessage="1" prompt="Choose an available module" xr:uid="{FD8EE9A9-C59C-4870-AFA1-0C91D1E2701F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29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 t="str">
        <f>IFERROR(__xludf.DUMMYFUNCTION("""COMPUTED_VALUE"""),"Custom Cash Flow")</f>
        <v>Custom Cash Flow</v>
      </c>
      <c r="F5" s="30" t="str">
        <f>IFERROR(__xludf.DUMMYFUNCTION("""COMPUTED_VALUE"""),"MasterFund Groups")</f>
        <v>MasterFund Groups</v>
      </c>
      <c r="G5" s="29" t="str">
        <f>IFERROR(__xludf.DUMMYFUNCTION("""COMPUTED_VALUE"""),"Accounts")</f>
        <v>Accounts</v>
      </c>
      <c r="H5" s="29" t="str">
        <f>IFERROR(__xludf.DUMMYFUNCTION("""COMPUTED_VALUE"""),"Cash Flow Account Wise")</f>
        <v>Cash Flow Account Wise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37">
        <v>50000</v>
      </c>
      <c r="C6" s="38" t="s">
        <v>30</v>
      </c>
      <c r="D6" s="39" t="s">
        <v>31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CDF8D63-9464-44A4-B40F-540F6DFD166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29BE9B1-0111-4D8D-A559-08FA3B744C51}">
          <x14:formula1>
            <xm:f>AddCash!$4:$4</xm:f>
          </x14:formula1>
          <xm:sqref>E3</xm:sqref>
        </x14:dataValidation>
        <x14:dataValidation type="list" allowBlank="1" showInputMessage="1" showErrorMessage="1" prompt="Choose an available module" xr:uid="{CB4D0F1E-38D0-4BB2-B5AE-C474F0BE297E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33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5BD7E7A-DD90-4821-9DCC-02152F71ACF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4A5B871-5E00-41EC-9F2C-58F257B8F306}">
          <x14:formula1>
            <xm:f>RunRebalance!$4:$4</xm:f>
          </x14:formula1>
          <xm:sqref>E3</xm:sqref>
        </x14:dataValidation>
        <x14:dataValidation type="list" allowBlank="1" showInputMessage="1" showErrorMessage="1" prompt="Choose an available module" xr:uid="{153DEACA-BCB4-4017-969B-D4D01BD78CE9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34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IFERROR(__xludf.DUMMYFUNCTION("""COMPUTED_VALUE"""),"Ticker")</f>
        <v>Ticker</v>
      </c>
      <c r="C5" s="29" t="str">
        <f>IFERROR(__xludf.DUMMYFUNCTION("""COMPUTED_VALUE"""),"Set/Inc/Dec")</f>
        <v>Set/Inc/Dec</v>
      </c>
      <c r="D5" s="29" t="str">
        <f>IFERROR(__xludf.DUMMYFUNCTION("""COMPUTED_VALUE"""),"Target%")</f>
        <v>Target%</v>
      </c>
      <c r="E5" s="29" t="str">
        <f>IFERROR(__xludf.DUMMYFUNCTION("""COMPUTED_VALUE"""),"Account/Group")</f>
        <v>Account/Group</v>
      </c>
      <c r="F5" s="30" t="str">
        <f>IFERROR(__xludf.DUMMYFUNCTION("""COMPUTED_VALUE"""),"ReinvestCash")</f>
        <v>ReinvestCash</v>
      </c>
      <c r="G5" s="29" t="str">
        <f>IFERROR(__xludf.DUMMYFUNCTION("""COMPUTED_VALUE"""),"SellToRaiseCash")</f>
        <v>SellToRaiseCash</v>
      </c>
      <c r="H5" s="29" t="str">
        <f>IFERROR(__xludf.DUMMYFUNCTION("""COMPUTED_VALUE"""),"AllowNegCash")</f>
        <v>AllowNegCash</v>
      </c>
      <c r="I5" s="29" t="str">
        <f>IFERROR(__xludf.DUMMYFUNCTION("""COMPUTED_VALUE"""),"NoShortning")</f>
        <v>NoShortning</v>
      </c>
      <c r="J5" s="29" t="str">
        <f>IFERROR(__xludf.DUMMYFUNCTION("""COMPUTED_VALUE"""),"Price")</f>
        <v>Price</v>
      </c>
      <c r="K5" s="29" t="str">
        <f>IFERROR(__xludf.DUMMYFUNCTION("""COMPUTED_VALUE"""),"Fx")</f>
        <v>Fx</v>
      </c>
      <c r="L5" s="29" t="str">
        <f>IFERROR(__xludf.DUMMYFUNCTION("""COMPUTED_VALUE"""),"BPS SET")</f>
        <v>BPS SET</v>
      </c>
      <c r="M5" s="29" t="str">
        <f>IFERROR(__xludf.DUMMYFUNCTION("""COMPUTED_VALUE"""),"SetCashTarget")</f>
        <v>SetCashTarget</v>
      </c>
      <c r="N5" s="29" t="str">
        <f>IFERROR(__xludf.DUMMYFUNCTION("""COMPUTED_VALUE"""),"SetCashTarget%")</f>
        <v>SetCashTarget%</v>
      </c>
      <c r="O5" s="29" t="str">
        <f>IFERROR(__xludf.DUMMYFUNCTION("""COMPUTED_VALUE"""),"SellToRaiseCashAndSetCashTarget")</f>
        <v>SellToRaiseCashAndSetCashTarget</v>
      </c>
      <c r="P5" s="29" t="str">
        <f>IFERROR(__xludf.DUMMYFUNCTION("""COMPUTED_VALUE"""),"AllowNegCashAndSetCashTarget")</f>
        <v>AllowNegCashAndSetCashTarget</v>
      </c>
      <c r="Q5" s="29" t="str">
        <f>IFERROR(__xludf.DUMMYFUNCTION("""COMPUTED_VALUE"""),"DisableCT")</f>
        <v>DisableCT</v>
      </c>
      <c r="R5" s="29" t="str">
        <f>IFERROR(__xludf.DUMMYFUNCTION("""COMPUTED_VALUE"""),"AllowNegCashAndSellToRaise")</f>
        <v>AllowNegCashAndSellToRaise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0" t="s">
        <v>35</v>
      </c>
      <c r="C6" s="38" t="s">
        <v>36</v>
      </c>
      <c r="D6" s="41">
        <v>1</v>
      </c>
      <c r="E6" s="42"/>
      <c r="F6" s="42"/>
      <c r="G6" s="42"/>
      <c r="H6" s="42"/>
      <c r="I6" s="42"/>
      <c r="J6" s="43">
        <v>10</v>
      </c>
      <c r="K6" s="43">
        <v>1</v>
      </c>
      <c r="L6" s="4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368C517-1BE0-40E1-A6D9-14CC01FDFA8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6FEDAAC-BA47-4FE6-BD28-E4315E9FFAE9}">
          <x14:formula1>
            <xm:f>RebalanceAcrossSecurities!$4:$4</xm:f>
          </x14:formula1>
          <xm:sqref>E3</xm:sqref>
        </x14:dataValidation>
        <x14:dataValidation type="list" allowBlank="1" showInputMessage="1" showErrorMessage="1" prompt="Choose an available module" xr:uid="{14F07CD6-28F0-4A4D-970B-56A55FA5A9B2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37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IFERROR(__xludf.DUMMYFUNCTION("""COMPUTED_VALUE"""),"Modify Rebalance")</f>
        <v>Modify Rebalance</v>
      </c>
      <c r="C5" s="29" t="str">
        <f>IFERROR(__xludf.DUMMYFUNCTION("""COMPUTED_VALUE"""),"AllowNegCash")</f>
        <v>AllowNegCash</v>
      </c>
      <c r="D5" s="29" t="str">
        <f>IFERROR(__xludf.DUMMYFUNCTION("""COMPUTED_VALUE"""),"SellToRaiseCash")</f>
        <v>SellToRaiseCash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38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C876CA0-5B4D-4F91-BE27-A0A53D33B22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1289372-4931-4A5C-A176-062A845BB5ED}">
          <x14:formula1>
            <xm:f>ModifyRebalance!$4:$4</xm:f>
          </x14:formula1>
          <xm:sqref>E3</xm:sqref>
        </x14:dataValidation>
        <x14:dataValidation type="list" allowBlank="1" showInputMessage="1" showErrorMessage="1" prompt="Choose an available module" xr:uid="{64584016-9ED3-49EE-8747-B16224C270FA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39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4" t="s">
        <v>24</v>
      </c>
      <c r="C6" s="44" t="s">
        <v>40</v>
      </c>
      <c r="D6" s="44" t="s">
        <v>41</v>
      </c>
      <c r="E6" s="45">
        <v>43</v>
      </c>
      <c r="F6" s="45">
        <v>8</v>
      </c>
      <c r="G6" s="45">
        <v>344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24</v>
      </c>
      <c r="C7" s="44" t="s">
        <v>40</v>
      </c>
      <c r="D7" s="44" t="s">
        <v>35</v>
      </c>
      <c r="E7" s="45">
        <v>101</v>
      </c>
      <c r="F7" s="45">
        <v>10</v>
      </c>
      <c r="G7" s="46">
        <v>1010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24</v>
      </c>
      <c r="C8" s="44" t="s">
        <v>40</v>
      </c>
      <c r="D8" s="44" t="s">
        <v>42</v>
      </c>
      <c r="E8" s="45">
        <v>43</v>
      </c>
      <c r="F8" s="45">
        <v>25</v>
      </c>
      <c r="G8" s="46">
        <v>1150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24</v>
      </c>
      <c r="C9" s="44" t="s">
        <v>43</v>
      </c>
      <c r="D9" s="44" t="s">
        <v>44</v>
      </c>
      <c r="E9" s="45">
        <v>5</v>
      </c>
      <c r="F9" s="45">
        <v>30</v>
      </c>
      <c r="G9" s="45">
        <v>-183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24</v>
      </c>
      <c r="C10" s="44" t="s">
        <v>43</v>
      </c>
      <c r="D10" s="44" t="s">
        <v>45</v>
      </c>
      <c r="E10" s="45">
        <v>43</v>
      </c>
      <c r="F10" s="45">
        <v>10</v>
      </c>
      <c r="G10" s="45">
        <v>-430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24</v>
      </c>
      <c r="C11" s="44" t="s">
        <v>43</v>
      </c>
      <c r="D11" s="44" t="s">
        <v>46</v>
      </c>
      <c r="E11" s="45">
        <v>5</v>
      </c>
      <c r="F11" s="45">
        <v>20</v>
      </c>
      <c r="G11" s="45">
        <v>-100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24</v>
      </c>
      <c r="C12" s="44" t="s">
        <v>40</v>
      </c>
      <c r="D12" s="44" t="s">
        <v>47</v>
      </c>
      <c r="E12" s="45">
        <v>43</v>
      </c>
      <c r="F12" s="45">
        <v>10</v>
      </c>
      <c r="G12" s="45">
        <v>430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950B1BE-73D8-4607-B671-A9CCEBBB9DD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2DEB133-3FE3-4956-81D2-8A561AACADE1}">
          <x14:formula1>
            <xm:f>SendtoStaging!$4:$4</xm:f>
          </x14:formula1>
          <xm:sqref>E3</xm:sqref>
        </x14:dataValidation>
        <x14:dataValidation type="list" allowBlank="1" showInputMessage="1" showErrorMessage="1" prompt="Choose an available module" xr:uid="{0D396FF1-B8BB-458D-A8B2-5381F63CFE54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48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9D583B-9449-43BF-B8D2-6A0B6936A68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81F0839-C040-417F-9375-5B30CFB8DCC9}">
          <x14:formula1>
            <xm:f>RunRebalance1!$4:$4</xm:f>
          </x14:formula1>
          <xm:sqref>E3</xm:sqref>
        </x14:dataValidation>
        <x14:dataValidation type="list" allowBlank="1" showInputMessage="1" showErrorMessage="1" prompt="Choose an available module" xr:uid="{F2BBE918-C51C-437E-8A61-571E7C6B4472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39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4" t="s">
        <v>24</v>
      </c>
      <c r="C6" s="44" t="s">
        <v>40</v>
      </c>
      <c r="D6" s="44" t="s">
        <v>42</v>
      </c>
      <c r="E6" s="45">
        <v>42</v>
      </c>
      <c r="F6" s="45">
        <v>25</v>
      </c>
      <c r="G6" s="46">
        <v>1124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24</v>
      </c>
      <c r="C7" s="44" t="s">
        <v>40</v>
      </c>
      <c r="D7" s="44" t="s">
        <v>47</v>
      </c>
      <c r="E7" s="45">
        <v>42</v>
      </c>
      <c r="F7" s="45">
        <v>10</v>
      </c>
      <c r="G7" s="45">
        <v>420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24</v>
      </c>
      <c r="C8" s="44" t="s">
        <v>43</v>
      </c>
      <c r="D8" s="44" t="s">
        <v>46</v>
      </c>
      <c r="E8" s="45">
        <v>4</v>
      </c>
      <c r="F8" s="45">
        <v>20</v>
      </c>
      <c r="G8" s="45">
        <v>-80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24</v>
      </c>
      <c r="C9" s="44" t="s">
        <v>43</v>
      </c>
      <c r="D9" s="44" t="s">
        <v>45</v>
      </c>
      <c r="E9" s="45">
        <v>42</v>
      </c>
      <c r="F9" s="45">
        <v>10</v>
      </c>
      <c r="G9" s="45">
        <v>-420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24</v>
      </c>
      <c r="C10" s="44" t="s">
        <v>43</v>
      </c>
      <c r="D10" s="44" t="s">
        <v>44</v>
      </c>
      <c r="E10" s="45">
        <v>4</v>
      </c>
      <c r="F10" s="45">
        <v>30</v>
      </c>
      <c r="G10" s="45">
        <v>-146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24</v>
      </c>
      <c r="C11" s="44" t="s">
        <v>40</v>
      </c>
      <c r="D11" s="44" t="s">
        <v>41</v>
      </c>
      <c r="E11" s="45">
        <v>42</v>
      </c>
      <c r="F11" s="45">
        <v>8</v>
      </c>
      <c r="G11" s="45">
        <v>336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24</v>
      </c>
      <c r="C12" s="44" t="s">
        <v>40</v>
      </c>
      <c r="D12" s="44" t="s">
        <v>35</v>
      </c>
      <c r="E12" s="45">
        <v>99</v>
      </c>
      <c r="F12" s="45">
        <v>10</v>
      </c>
      <c r="G12" s="45">
        <v>990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/>
      <c r="C13" s="47"/>
      <c r="D13" s="47"/>
      <c r="E13" s="47"/>
      <c r="F13" s="47"/>
      <c r="G13" s="47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0083FB4-E1C9-41E3-B6B2-075748EF2F7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1F5D8F8-9268-4E35-A00E-D758EB5F3EFE}">
          <x14:formula1>
            <xm:f>SendtoStaging1!$4:$4</xm:f>
          </x14:formula1>
          <xm:sqref>E3</xm:sqref>
        </x14:dataValidation>
        <x14:dataValidation type="list" allowBlank="1" showInputMessage="1" showErrorMessage="1" prompt="Choose an available module" xr:uid="{B28E34B6-68E5-4735-A494-840A80756E1D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49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08D248-65D1-4A6D-90CE-65EFAD8327B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7C27C7C-8CC0-4838-A394-B1ED21271D4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751676B-548D-4D29-852E-8BA9DCA6607D}">
          <x14:formula1>
            <xm:f>RunRebalance2!$4:$4</xm:f>
          </x14:formula1>
          <xm:sqref>E3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39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4" t="s">
        <v>24</v>
      </c>
      <c r="C6" s="44" t="s">
        <v>40</v>
      </c>
      <c r="D6" s="44" t="s">
        <v>42</v>
      </c>
      <c r="E6" s="45">
        <v>42</v>
      </c>
      <c r="F6" s="45">
        <v>25</v>
      </c>
      <c r="G6" s="46">
        <v>1124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24</v>
      </c>
      <c r="C7" s="44" t="s">
        <v>40</v>
      </c>
      <c r="D7" s="44" t="s">
        <v>47</v>
      </c>
      <c r="E7" s="45">
        <v>42</v>
      </c>
      <c r="F7" s="45">
        <v>10</v>
      </c>
      <c r="G7" s="45">
        <v>420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24</v>
      </c>
      <c r="C8" s="44" t="s">
        <v>43</v>
      </c>
      <c r="D8" s="44" t="s">
        <v>46</v>
      </c>
      <c r="E8" s="45">
        <v>4</v>
      </c>
      <c r="F8" s="45">
        <v>20</v>
      </c>
      <c r="G8" s="45">
        <v>-80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24</v>
      </c>
      <c r="C9" s="44" t="s">
        <v>43</v>
      </c>
      <c r="D9" s="44" t="s">
        <v>45</v>
      </c>
      <c r="E9" s="45">
        <v>42</v>
      </c>
      <c r="F9" s="45">
        <v>10</v>
      </c>
      <c r="G9" s="45">
        <v>-420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24</v>
      </c>
      <c r="C10" s="44" t="s">
        <v>43</v>
      </c>
      <c r="D10" s="44" t="s">
        <v>44</v>
      </c>
      <c r="E10" s="45">
        <v>4</v>
      </c>
      <c r="F10" s="45">
        <v>30</v>
      </c>
      <c r="G10" s="45">
        <v>-146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24</v>
      </c>
      <c r="C11" s="44" t="s">
        <v>40</v>
      </c>
      <c r="D11" s="44" t="s">
        <v>41</v>
      </c>
      <c r="E11" s="45">
        <v>42</v>
      </c>
      <c r="F11" s="45">
        <v>8</v>
      </c>
      <c r="G11" s="45">
        <v>336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24</v>
      </c>
      <c r="C12" s="44" t="s">
        <v>40</v>
      </c>
      <c r="D12" s="44" t="s">
        <v>35</v>
      </c>
      <c r="E12" s="45">
        <v>100</v>
      </c>
      <c r="F12" s="45">
        <v>10</v>
      </c>
      <c r="G12" s="46">
        <v>1000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C5AD136-86F1-4D14-8F50-0A0D594A9E7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6F4D89F-FF3E-405C-A077-4947719DC07E}">
          <x14:formula1>
            <xm:f>SendtoStaging2!$4:$4</xm:f>
          </x14:formula1>
          <xm:sqref>E3</xm:sqref>
        </x14:dataValidation>
        <x14:dataValidation type="list" allowBlank="1" showInputMessage="1" showErrorMessage="1" prompt="Choose an available module" xr:uid="{E72FCE2C-005C-4D2E-A8E2-5519E5FE982B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33</v>
      </c>
      <c r="C6" s="8"/>
      <c r="D6" s="12" t="b">
        <v>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241C4A9-5B46-4605-BE7E-56EF5F86271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834D953-F618-421D-A9EE-A2C0A960B0C8}">
          <x14:formula1>
            <xm:f>RunRebalance3!$4:$4</xm:f>
          </x14:formula1>
          <xm:sqref>E3</xm:sqref>
        </x14:dataValidation>
        <x14:dataValidation type="list" allowBlank="1" showInputMessage="1" showErrorMessage="1" prompt="Choose an available module" xr:uid="{4FE7AACA-64B6-4369-85F6-B2D64C3F0DE1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39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4" t="s">
        <v>24</v>
      </c>
      <c r="C6" s="44" t="s">
        <v>40</v>
      </c>
      <c r="D6" s="44" t="s">
        <v>42</v>
      </c>
      <c r="E6" s="45">
        <v>200</v>
      </c>
      <c r="F6" s="45">
        <v>25</v>
      </c>
      <c r="G6" s="46">
        <v>5350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24</v>
      </c>
      <c r="C7" s="44" t="s">
        <v>40</v>
      </c>
      <c r="D7" s="44" t="s">
        <v>47</v>
      </c>
      <c r="E7" s="45">
        <v>300</v>
      </c>
      <c r="F7" s="45">
        <v>10</v>
      </c>
      <c r="G7" s="46">
        <v>3000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24</v>
      </c>
      <c r="C8" s="44" t="s">
        <v>43</v>
      </c>
      <c r="D8" s="44" t="s">
        <v>46</v>
      </c>
      <c r="E8" s="45">
        <v>600</v>
      </c>
      <c r="F8" s="45">
        <v>20</v>
      </c>
      <c r="G8" s="46">
        <v>-12000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24</v>
      </c>
      <c r="C9" s="44" t="s">
        <v>43</v>
      </c>
      <c r="D9" s="44" t="s">
        <v>45</v>
      </c>
      <c r="E9" s="45">
        <v>500</v>
      </c>
      <c r="F9" s="45">
        <v>10</v>
      </c>
      <c r="G9" s="46">
        <v>-5000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24</v>
      </c>
      <c r="C10" s="44" t="s">
        <v>43</v>
      </c>
      <c r="D10" s="44" t="s">
        <v>44</v>
      </c>
      <c r="E10" s="45">
        <v>400</v>
      </c>
      <c r="F10" s="45">
        <v>30</v>
      </c>
      <c r="G10" s="46">
        <v>-14640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24</v>
      </c>
      <c r="C11" s="44" t="s">
        <v>40</v>
      </c>
      <c r="D11" s="44" t="s">
        <v>41</v>
      </c>
      <c r="E11" s="45">
        <v>100</v>
      </c>
      <c r="F11" s="45">
        <v>8</v>
      </c>
      <c r="G11" s="45">
        <v>800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24</v>
      </c>
      <c r="C12" s="44" t="s">
        <v>40</v>
      </c>
      <c r="D12" s="44" t="s">
        <v>35</v>
      </c>
      <c r="E12" s="45">
        <v>100</v>
      </c>
      <c r="F12" s="45">
        <v>10</v>
      </c>
      <c r="G12" s="46">
        <v>1000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/>
      <c r="C13" s="47"/>
      <c r="D13" s="47"/>
      <c r="E13" s="47"/>
      <c r="F13" s="47"/>
      <c r="G13" s="47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F8C21B6-B286-451A-B0CA-DFF4A89DCC4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101A608-47D7-4889-9B9F-3E159D898EA8}">
          <x14:formula1>
            <xm:f>SendtoStaging3!$4:$4</xm:f>
          </x14:formula1>
          <xm:sqref>E3</xm:sqref>
        </x14:dataValidation>
        <x14:dataValidation type="list" allowBlank="1" showInputMessage="1" showErrorMessage="1" prompt="Choose an available module" xr:uid="{22E982C4-A2EB-49AF-B5EB-F0D4B17FAB4E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48</v>
      </c>
      <c r="C6" s="8"/>
      <c r="D6" s="12" t="b">
        <v>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AEC4D3C-A46D-444F-9CCB-474FCEB0ACA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F8B03DE-34DD-45DB-A24D-1CABE8A7C9F4}">
          <x14:formula1>
            <xm:f>RunRebalance4!$4:$4</xm:f>
          </x14:formula1>
          <xm:sqref>E3</xm:sqref>
        </x14:dataValidation>
        <x14:dataValidation type="list" allowBlank="1" showInputMessage="1" showErrorMessage="1" prompt="Choose an available module" xr:uid="{45B40FC2-7668-4E02-98A3-14DCD1CDFD2F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39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4" t="s">
        <v>24</v>
      </c>
      <c r="C6" s="44" t="s">
        <v>40</v>
      </c>
      <c r="D6" s="44" t="s">
        <v>35</v>
      </c>
      <c r="E6" s="45">
        <v>100</v>
      </c>
      <c r="F6" s="45">
        <v>10</v>
      </c>
      <c r="G6" s="46">
        <v>1000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AE35EFB-C835-4C08-91E7-44957AC4EF2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D6D3EEC-BDAB-40D1-B4B7-911EB96B978E}">
          <x14:formula1>
            <xm:f>SendtoStaging4!$4:$4</xm:f>
          </x14:formula1>
          <xm:sqref>E3</xm:sqref>
        </x14:dataValidation>
        <x14:dataValidation type="list" allowBlank="1" showInputMessage="1" showErrorMessage="1" prompt="Choose an available module" xr:uid="{15FF9878-0AB3-4951-8E8B-8F85EEE4D117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49</v>
      </c>
      <c r="C6" s="8"/>
      <c r="D6" s="12" t="b">
        <v>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7844B58-318E-466D-92FC-F2D9C9D5D7B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396009E-E962-410F-988D-CF6701A6FC1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5A1CEC8-36A9-420F-BA0A-94BDE6CC1CA3}">
          <x14:formula1>
            <xm:f>RunRebalance5!$4:$4</xm:f>
          </x14:formula1>
          <xm:sqref>E3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39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4" t="s">
        <v>24</v>
      </c>
      <c r="C6" s="44" t="s">
        <v>40</v>
      </c>
      <c r="D6" s="44" t="s">
        <v>35</v>
      </c>
      <c r="E6" s="45">
        <v>100</v>
      </c>
      <c r="F6" s="45">
        <v>10</v>
      </c>
      <c r="G6" s="46">
        <v>1000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/>
      <c r="C7" s="47"/>
      <c r="D7" s="47"/>
      <c r="E7" s="47"/>
      <c r="F7" s="47"/>
      <c r="G7" s="47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44FAC88-3CB1-42FE-8D20-33A8020AE74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66FAE3B-086A-48F8-8332-DA02C7EFC254}">
          <x14:formula1>
            <xm:f>SendtoStaging5!$4:$4</xm:f>
          </x14:formula1>
          <xm:sqref>E3</xm:sqref>
        </x14:dataValidation>
        <x14:dataValidation type="list" allowBlank="1" showInputMessage="1" showErrorMessage="1" prompt="Choose an available module" xr:uid="{C8299C53-A036-4C50-B19E-D5D14D46AB35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