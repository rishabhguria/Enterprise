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reateDoneAwayOrder" sheetId="5" r:id="rId7"/>
    <sheet state="visible" name="CreateStageOrder" sheetId="6" r:id="rId8"/>
    <sheet state="visible" name="EditOrder" sheetId="7" r:id="rId9"/>
    <sheet state="visible" name="VerifyCustomAllocationonTT" sheetId="8" r:id="rId10"/>
    <sheet state="visible" name="TradeNewSubOrder" sheetId="9" r:id="rId11"/>
    <sheet state="visible" name="SelectTradeOnOrderGrid" sheetId="10" r:id="rId12"/>
    <sheet state="visible" name="ReloadOrderFromSubOrder" sheetId="11" r:id="rId13"/>
    <sheet state="visible" name="ReplaceSubOrder" sheetId="12" r:id="rId14"/>
    <sheet state="visible" name="CreateReplaceOrder" sheetId="13" r:id="rId15"/>
    <sheet state="visible" name="ReloadOrderFromWorkingSubs" sheetId="14" r:id="rId16"/>
    <sheet state="visible" name="AddCalculatedPreferences" sheetId="15" r:id="rId17"/>
    <sheet state="visible" name="SetAccountValueCalculatedPref" sheetId="16" r:id="rId18"/>
    <sheet state="visible" name="Copy of Data" sheetId="17" r:id="rId19"/>
  </sheets>
  <definedNames/>
  <calcPr/>
</workbook>
</file>

<file path=xl/sharedStrings.xml><?xml version="1.0" encoding="utf-8"?>
<sst xmlns="http://schemas.openxmlformats.org/spreadsheetml/2006/main" count="149" uniqueCount="45">
  <si>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</si>
  <si>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</si>
  <si>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</si>
  <si>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</si>
  <si>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</si>
  <si>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</si>
  <si>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</si>
  <si>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</si>
  <si>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</si>
  <si>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</si>
  <si>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</si>
  <si>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</si>
  <si>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</si>
  <si>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</si>
  <si>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</si>
  <si>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</si>
  <si>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Support6</t>
  </si>
  <si>
    <t>TradingTicket</t>
  </si>
  <si>
    <t>CreateDoneAwayOrder</t>
  </si>
  <si>
    <t>AAPL</t>
  </si>
  <si>
    <t>Buy</t>
  </si>
  <si>
    <t>Test</t>
  </si>
  <si>
    <t>MSFT</t>
  </si>
  <si>
    <t>CreateStageOrder</t>
  </si>
  <si>
    <t>IBM</t>
  </si>
  <si>
    <t>Blotter</t>
  </si>
  <si>
    <t>EditOrder</t>
  </si>
  <si>
    <t>Equity</t>
  </si>
  <si>
    <t>Filled</t>
  </si>
  <si>
    <t>MS</t>
  </si>
  <si>
    <t>VerifyCustomAllocationonTT</t>
  </si>
  <si>
    <t>Allocation2</t>
  </si>
  <si>
    <t>Allocation4</t>
  </si>
  <si>
    <t>TradeNewSubOrder</t>
  </si>
  <si>
    <t>New</t>
  </si>
  <si>
    <t>SelectTradeOnOrderGrid</t>
  </si>
  <si>
    <t>ReloadOrderFromSubOrder</t>
  </si>
  <si>
    <t>ReplaceSubOrder</t>
  </si>
  <si>
    <t>CreateReplaceOrder</t>
  </si>
  <si>
    <t>ReloadOrderFromWorkingSubs</t>
  </si>
  <si>
    <t>Allocation</t>
  </si>
  <si>
    <t>AddCalculatedPreferences</t>
  </si>
  <si>
    <t>SetAccountValueCalculatedPref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</si>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</sst>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 t="str">
        <f>IFERROR(__xludf.DUMMYFUNCTION("""COMPUTED_VALUE"""),"DefaultOrderType")</f>
        <v>DefaultOrderType</v>
      </c>
      <c r="H5" s="27" t="str">
        <f>IFERROR(__xludf.DUMMYFUNCTION("""COMPUTED_VALUE"""),"AllowAllUserToGenerateSubs")</f>
        <v>AllowAllUserToGenerateSubs</v>
      </c>
      <c r="I5" s="27" t="str">
        <f>IFERROR(__xludf.DUMMYFUNCTION("""COMPUTED_VALUE"""),"LimitPriceRulesForStageOrdersOnly")</f>
        <v>LimitPriceRulesForStageOrdersOnly</v>
      </c>
      <c r="J5" s="27" t="str">
        <f>IFERROR(__xludf.DUMMYFUNCTION("""COMPUTED_VALUE"""),"LimitRulesForSubOrders")</f>
        <v>LimitRulesForSubOrders</v>
      </c>
      <c r="K5" s="27" t="str">
        <f>IFERROR(__xludf.DUMMYFUNCTION("""COMPUTED_VALUE"""),"LimitRulesForOrdersExceptStagedAndSubOrders")</f>
        <v>LimitRulesForOrdersExceptStagedAndSubOrders</v>
      </c>
      <c r="L5" s="27" t="str">
        <f>IFERROR(__xludf.DUMMYFUNCTION("""COMPUTED_VALUE"""),"LimitPriceRules")</f>
        <v>LimitPriceRules</v>
      </c>
      <c r="M5" s="27" t="str">
        <f>IFERROR(__xludf.DUMMYFUNCTION("""COMPUTED_VALUE"""),"CancelReplaceRemoveRules")</f>
        <v>CancelReplaceRemoveRules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100.0</v>
      </c>
      <c r="E6" s="30"/>
      <c r="F6" s="12" t="s">
        <v>21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20</v>
      </c>
      <c r="D7" s="12">
        <v>100.0</v>
      </c>
      <c r="E7" s="8"/>
      <c r="F7" s="12" t="s">
        <v>21</v>
      </c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12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20</v>
      </c>
      <c r="D6" s="12">
        <v>100.0</v>
      </c>
      <c r="E6" s="30"/>
      <c r="F6" s="12" t="s">
        <v>21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27</v>
      </c>
      <c r="AI6" s="9" t="s">
        <v>19</v>
      </c>
      <c r="AJ6" s="9" t="s">
        <v>20</v>
      </c>
      <c r="AK6" s="9" t="s">
        <v>28</v>
      </c>
      <c r="AL6" s="9">
        <v>100.0</v>
      </c>
      <c r="AQ6" s="9">
        <v>2.0</v>
      </c>
      <c r="AR6" s="9">
        <v>2.0</v>
      </c>
      <c r="AS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IFERROR(__xludf.DUMMYFUNCTION("""COMPUTED_VALUE"""),"Current Quantity")</f>
        <v>Current Quantity</v>
      </c>
      <c r="D5" s="27" t="str">
        <f>IFERROR(__xludf.DUMMYFUNCTION("""COMPUTED_VALUE"""),"Current %")</f>
        <v>Current %</v>
      </c>
      <c r="E5" s="27" t="str">
        <f>IFERROR(__xludf.DUMMYFUNCTION("""COMPUTED_VALUE"""),"Allocated Quantity")</f>
        <v>Allocated Quantity</v>
      </c>
      <c r="F5" s="28" t="str">
        <f>IFERROR(__xludf.DUMMYFUNCTION("""COMPUTED_VALUE"""),"Allocation %")</f>
        <v>Allocation %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>
        <v>50.0</v>
      </c>
      <c r="D6" s="12">
        <v>50.0</v>
      </c>
      <c r="E6" s="12"/>
      <c r="F6" s="12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32</v>
      </c>
      <c r="C7" s="12">
        <v>50.0</v>
      </c>
      <c r="D7" s="12">
        <v>50.0</v>
      </c>
      <c r="E7" s="12"/>
      <c r="F7" s="12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VerifyCustomAllocationonTT!$4:$4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20</v>
      </c>
      <c r="AK6" s="9" t="s">
        <v>34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0"/>
      <c r="F6" s="12" t="s">
        <v>20</v>
      </c>
      <c r="G6" s="12" t="s">
        <v>28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0"/>
      <c r="F6" s="12" t="s">
        <v>20</v>
      </c>
      <c r="G6" s="12" t="s">
        <v>28</v>
      </c>
      <c r="H6" s="12">
        <v>100.0</v>
      </c>
      <c r="I6" s="12">
        <v>100.0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20</v>
      </c>
      <c r="AL6" s="9" t="s">
        <v>28</v>
      </c>
      <c r="AM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0"/>
      <c r="F6" s="12" t="s">
        <v>20</v>
      </c>
      <c r="G6" s="12" t="s">
        <v>28</v>
      </c>
      <c r="H6" s="12">
        <v>100.0</v>
      </c>
      <c r="I6" s="12">
        <v>100.0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31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21</v>
      </c>
      <c r="C7" s="12" t="s">
        <v>32</v>
      </c>
      <c r="D7" s="12">
        <v>50.0</v>
      </c>
      <c r="E7" s="3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43</v>
      </c>
      <c r="C6" s="8"/>
      <c r="D6" s="12" t="s">
        <v>44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