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DataClosing" sheetId="7" r:id="rId9"/>
    <sheet state="visible" name="SelectTradeUnexpiredUnsettled" sheetId="8" r:id="rId10"/>
    <sheet state="visible" name="EditTradeUnexpiredUnsettled" sheetId="9" r:id="rId11"/>
    <sheet state="visible" name="ExerciseAssignmentAtZero" sheetId="10" r:id="rId12"/>
    <sheet state="visible" name="GetDataAllocation" sheetId="11" r:id="rId13"/>
    <sheet state="visible" name="CheckAllocatedGroups" sheetId="12" r:id="rId14"/>
    <sheet state="visible" name="GetDayEndCash" sheetId="13" r:id="rId15"/>
    <sheet state="visible" name="VerifyDayEndCash" sheetId="14" r:id="rId16"/>
    <sheet state="visible" name="GetAccountBalance" sheetId="15" r:id="rId17"/>
    <sheet state="visible" name="GetTradingTransaction" sheetId="16" r:id="rId18"/>
    <sheet state="visible" name="VerifyTradingTransaction" sheetId="17" r:id="rId19"/>
    <sheet state="visible" name="GetRevaluationData" sheetId="18" r:id="rId20"/>
    <sheet state="visible" name="VerifyRevaluationData" sheetId="19" r:id="rId21"/>
    <sheet state="visible" name="EditTradeUnexpiredUnsettled1" sheetId="20" r:id="rId22"/>
    <sheet state="visible" name="ExerciseAssignment" sheetId="21" r:id="rId23"/>
    <sheet state="visible" name="CheckAllocatedGroups1" sheetId="22" r:id="rId24"/>
    <sheet state="visible" name="VerifyRevaluationData1" sheetId="23" r:id="rId25"/>
    <sheet state="visible" name="EditTradeUnexpiredUnsettled2" sheetId="24" r:id="rId26"/>
    <sheet state="visible" name="Expire" sheetId="25" r:id="rId27"/>
    <sheet state="visible" name="CheckAllocatedGroups2" sheetId="26" r:id="rId28"/>
    <sheet state="visible" name="VerifyTradingTransaction1" sheetId="27" r:id="rId29"/>
    <sheet state="visible" name="VerifyRevaluationData2" sheetId="28" r:id="rId30"/>
  </sheets>
  <definedNames/>
  <calcPr/>
</workbook>
</file>

<file path=xl/sharedStrings.xml><?xml version="1.0" encoding="utf-8"?>
<sst xmlns="http://schemas.openxmlformats.org/spreadsheetml/2006/main" count="1180" uniqueCount="69">
  <si>
    <t>Master Data Info</t>
  </si>
  <si>
    <t>Modules Info</t>
  </si>
  <si>
    <t>Settings</t>
  </si>
  <si>
    <t>Module Step Setting File</t>
  </si>
  <si>
    <t>Module</t>
  </si>
  <si>
    <t>1EIOAnn5_ydURa9w8aagTvOqRzTyrnNiyPEGPgiL87Y4</t>
  </si>
  <si>
    <t>Step</t>
  </si>
  <si>
    <t>Master Data Settings File</t>
  </si>
  <si>
    <t>1Nt_rf5DtgjbN9Ag4AMMlUkZYROxKZLH5m54YOl7tRT0</t>
  </si>
  <si>
    <t>Master Data Sheet</t>
  </si>
  <si>
    <t>Modules</t>
  </si>
  <si>
    <t>Data</t>
  </si>
  <si>
    <t>TradingTicket</t>
  </si>
  <si>
    <t>DailyValuation</t>
  </si>
  <si>
    <t>CreateDoneAwayOrder</t>
  </si>
  <si>
    <t>GetMarkPriceData</t>
  </si>
  <si>
    <t>Data Format</t>
  </si>
  <si>
    <t>Input Format</t>
  </si>
  <si>
    <t>O:MSFT 18B104.00D2</t>
  </si>
  <si>
    <t>Sell to Open</t>
  </si>
  <si>
    <t>Allocation1</t>
  </si>
  <si>
    <t>Flat Amount</t>
  </si>
  <si>
    <t>Closing</t>
  </si>
  <si>
    <t>GetDataClosing</t>
  </si>
  <si>
    <t>UpdateMarkPriceMonthly</t>
  </si>
  <si>
    <t>Historical</t>
  </si>
  <si>
    <t>SelectTradeUnexpiredUnsettled</t>
  </si>
  <si>
    <t>EditTradeUnexpiredUnsettled</t>
  </si>
  <si>
    <t>Call</t>
  </si>
  <si>
    <t>ExerciseAssignmentAtZero</t>
  </si>
  <si>
    <t>Allocation</t>
  </si>
  <si>
    <t>GetDataAllocation</t>
  </si>
  <si>
    <t>CheckAllocatedGroups</t>
  </si>
  <si>
    <t>GeneralLedger</t>
  </si>
  <si>
    <t>GetDayEndCash</t>
  </si>
  <si>
    <t>PartiallyClosed</t>
  </si>
  <si>
    <t>SelltoOpen</t>
  </si>
  <si>
    <t>Open</t>
  </si>
  <si>
    <t>Sell short</t>
  </si>
  <si>
    <t>MSFT</t>
  </si>
  <si>
    <t>Assignment</t>
  </si>
  <si>
    <t>Closed</t>
  </si>
  <si>
    <t>Buy to Close</t>
  </si>
  <si>
    <t>VerifyDayEndCash</t>
  </si>
  <si>
    <t>USD</t>
  </si>
  <si>
    <t>Cash</t>
  </si>
  <si>
    <t>GetAccountBalance</t>
  </si>
  <si>
    <t>GetTradingTransaction</t>
  </si>
  <si>
    <t>VerifyTradingTransaction</t>
  </si>
  <si>
    <t>GetRevaluationData</t>
  </si>
  <si>
    <t>DR</t>
  </si>
  <si>
    <t>Trading</t>
  </si>
  <si>
    <t>Cash [Cash]</t>
  </si>
  <si>
    <t>CR</t>
  </si>
  <si>
    <t>Investment - Short Equity [Liability]</t>
  </si>
  <si>
    <t>Investment - Short Equity Option [Liability]</t>
  </si>
  <si>
    <t>VerifyRevaluationData</t>
  </si>
  <si>
    <t>Equity Option Short Revaluation [Asset]</t>
  </si>
  <si>
    <t>Revaluation</t>
  </si>
  <si>
    <t>UnRealized PNL Entry</t>
  </si>
  <si>
    <t>Equity Option UnRealized Profit And Loss [Income]</t>
  </si>
  <si>
    <t>Contra UnRealized PNL Entry</t>
  </si>
  <si>
    <t>Equity Short Revaluation [Asset]</t>
  </si>
  <si>
    <t>Equity UnRealized Profit And Loss [Income]</t>
  </si>
  <si>
    <t>Realized PNL Entry</t>
  </si>
  <si>
    <t>Equity Option Realized Profit And Loss [Income]</t>
  </si>
  <si>
    <t>ExerciseAssignment</t>
  </si>
  <si>
    <t>Expire</t>
  </si>
  <si>
    <t>OptionPremiumAdjustment [Income]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</si>
</sst>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9.0"/>
      <color rgb="FF000000"/>
      <name val="Segoe UI"/>
    </font>
    <font>
      <sz val="9.0"/>
      <color rgb="FFE7E8E9"/>
      <name val="Segoe UI"/>
    </font>
    <font>
      <sz val="9.0"/>
      <color rgb="FF868686"/>
      <name val="Segoe UI"/>
    </font>
    <font>
      <sz val="9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left/>
      <right/>
      <top/>
    </border>
    <border>
      <right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5" fillId="0" fontId="13" numFmtId="0" xfId="0" applyAlignment="1" applyBorder="1" applyFont="1">
      <alignment vertical="bottom"/>
    </xf>
    <xf borderId="0" fillId="0" fontId="4" numFmtId="164" xfId="0" applyAlignment="1" applyFont="1" applyNumberFormat="1">
      <alignment readingOrder="0" shrinkToFit="0" wrapText="0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readingOrder="0" shrinkToFit="0" wrapText="0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5" fillId="0" fontId="4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0" fillId="0" fontId="5" numFmtId="0" xfId="0" applyAlignment="1" applyFont="1">
      <alignment readingOrder="0" vertical="bottom"/>
    </xf>
    <xf borderId="5" fillId="0" fontId="4" numFmtId="164" xfId="0" applyAlignment="1" applyBorder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/>
    </xf>
    <xf borderId="5" fillId="0" fontId="4" numFmtId="0" xfId="0" applyAlignment="1" applyBorder="1" applyFont="1">
      <alignment horizontal="center" vertical="bottom"/>
    </xf>
    <xf borderId="6" fillId="5" fontId="6" numFmtId="0" xfId="0" applyAlignment="1" applyBorder="1" applyFont="1">
      <alignment shrinkToFit="0" wrapText="0"/>
    </xf>
    <xf borderId="6" fillId="5" fontId="6" numFmtId="0" xfId="0" applyAlignment="1" applyBorder="1" applyFont="1">
      <alignment readingOrder="0" shrinkToFit="0" wrapText="0"/>
    </xf>
    <xf borderId="0" fillId="0" fontId="14" numFmtId="165" xfId="0" applyAlignment="1" applyFont="1" applyNumberFormat="1">
      <alignment horizontal="left" readingOrder="0"/>
    </xf>
    <xf borderId="0" fillId="0" fontId="14" numFmtId="0" xfId="0" applyAlignment="1" applyFont="1">
      <alignment horizontal="right" readingOrder="0"/>
    </xf>
    <xf borderId="0" fillId="0" fontId="15" numFmtId="0" xfId="0" applyAlignment="1" applyFont="1">
      <alignment horizontal="right" readingOrder="0"/>
    </xf>
    <xf borderId="0" fillId="0" fontId="14" numFmtId="0" xfId="0" applyAlignment="1" applyFont="1">
      <alignment horizontal="left" readingOrder="0"/>
    </xf>
    <xf borderId="0" fillId="0" fontId="16" numFmtId="0" xfId="0" applyAlignment="1" applyFont="1">
      <alignment horizontal="right" readingOrder="0"/>
    </xf>
    <xf borderId="0" fillId="0" fontId="17" numFmtId="165" xfId="0" applyAlignment="1" applyFont="1" applyNumberFormat="1">
      <alignment horizontal="left" readingOrder="0"/>
    </xf>
    <xf borderId="0" fillId="0" fontId="3" numFmtId="165" xfId="0" applyAlignment="1" applyFont="1" applyNumberFormat="1">
      <alignment readingOrder="0"/>
    </xf>
    <xf borderId="7" fillId="0" fontId="5" numFmtId="0" xfId="0" applyAlignment="1" applyBorder="1" applyFont="1">
      <alignment shrinkToFit="0" vertical="bottom" wrapText="0"/>
    </xf>
    <xf borderId="0" fillId="0" fontId="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50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7</v>
      </c>
      <c r="B4" s="10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9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14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18</v>
      </c>
      <c r="C6" s="10" t="s">
        <v>19</v>
      </c>
      <c r="D6" s="31">
        <v>500.0</v>
      </c>
      <c r="E6" s="33">
        <v>500.0</v>
      </c>
      <c r="F6" s="34" t="s">
        <v>20</v>
      </c>
      <c r="G6" s="6"/>
      <c r="H6" s="6"/>
      <c r="I6" s="6"/>
      <c r="J6" s="10">
        <v>15.0</v>
      </c>
      <c r="K6" s="6"/>
      <c r="L6" s="6"/>
      <c r="M6" s="6"/>
      <c r="N6" s="30">
        <v>43318.0</v>
      </c>
      <c r="O6" s="6"/>
      <c r="R6" s="35" t="s">
        <v>21</v>
      </c>
      <c r="S6" s="36">
        <v>10.0</v>
      </c>
      <c r="T6" s="37" t="s">
        <v>21</v>
      </c>
      <c r="U6" s="38">
        <v>10.0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6</v>
      </c>
      <c r="E3" s="21" t="s">
        <v>15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30">
        <v>43318.0</v>
      </c>
      <c r="C6" s="6"/>
      <c r="D6" s="10"/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13</v>
      </c>
      <c r="D3" s="8" t="s">
        <v>6</v>
      </c>
      <c r="E3" s="21" t="s">
        <v>24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IFERROR(__xludf.DUMMYFUNCTION("""COMPUTED_VALUE"""),"Date")</f>
        <v>Date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 t="s">
        <v>18</v>
      </c>
      <c r="C6" s="33">
        <v>14.0</v>
      </c>
      <c r="D6" s="40">
        <v>43318.0</v>
      </c>
      <c r="E6" s="32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0" t="s">
        <v>18</v>
      </c>
      <c r="C7" s="41">
        <v>13.0</v>
      </c>
      <c r="D7" s="42">
        <v>43319.0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0" t="s">
        <v>18</v>
      </c>
      <c r="C8" s="41">
        <v>16.0</v>
      </c>
      <c r="D8" s="42">
        <v>43320.0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10" t="s">
        <v>18</v>
      </c>
      <c r="C9" s="41">
        <v>17.0</v>
      </c>
      <c r="D9" s="42">
        <v>43321.0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10" t="s">
        <v>18</v>
      </c>
      <c r="C10" s="41">
        <v>18.0</v>
      </c>
      <c r="D10" s="42">
        <v>43322.0</v>
      </c>
      <c r="E10" s="6"/>
      <c r="F10" s="6"/>
      <c r="G10" s="29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10" t="s">
        <v>18</v>
      </c>
      <c r="C11" s="41">
        <v>19.0</v>
      </c>
      <c r="D11" s="42">
        <v>43323.0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23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4" t="s">
        <v>25</v>
      </c>
      <c r="C6" s="40">
        <v>43318.0</v>
      </c>
      <c r="D6" s="40">
        <v>43322.0</v>
      </c>
      <c r="E6" s="35" t="s">
        <v>20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26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IFERROR(__xludf.DUMMYFUNCTION("""COMPUTED_VALUE"""),"AUECID")</f>
        <v>AUECID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5" t="s">
        <v>20</v>
      </c>
      <c r="C6" s="35"/>
      <c r="D6" s="4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V6" s="10" t="s">
        <v>19</v>
      </c>
      <c r="BW6" s="10"/>
      <c r="BX6" s="37"/>
      <c r="BY6" s="37"/>
      <c r="BZ6" s="37"/>
      <c r="CA6" s="37"/>
      <c r="CB6" s="37"/>
      <c r="CC6" s="37"/>
      <c r="CD6" s="37"/>
      <c r="CE6" s="37"/>
      <c r="CF6" s="46" t="s">
        <v>28</v>
      </c>
      <c r="CG6" s="38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29" t="s">
        <v>18</v>
      </c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27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IFERROR(__xludf.DUMMYFUNCTION("""COMPUTED_VALUE"""),"Original Side")</f>
        <v>Original Side</v>
      </c>
      <c r="D5" s="26" t="str">
        <f>IFERROR(__xludf.DUMMYFUNCTION("""COMPUTED_VALUE"""),"Symbol")</f>
        <v>Symbol</v>
      </c>
      <c r="E5" s="26" t="str">
        <f>IFERROR(__xludf.DUMMYFUNCTION("""COMPUTED_VALUE"""),"Settlement Qty")</f>
        <v>Settlement Qty</v>
      </c>
      <c r="F5" s="27" t="str">
        <f>IFERROR(__xludf.DUMMYFUNCTION("""COMPUTED_VALUE"""),"Quantity")</f>
        <v>Quantity</v>
      </c>
      <c r="G5" s="26" t="str">
        <f>IFERROR(__xludf.DUMMYFUNCTION("""COMPUTED_VALUE"""),"TotalCommission&amp;Fees")</f>
        <v>TotalCommission&amp;Fees</v>
      </c>
      <c r="H5" s="26" t="str">
        <f>IFERROR(__xludf.DUMMYFUNCTION("""COMPUTED_VALUE"""),"Net Notional")</f>
        <v>Net Notional</v>
      </c>
      <c r="I5" s="26" t="str">
        <f>IFERROR(__xludf.DUMMYFUNCTION("""COMPUTED_VALUE"""),"Average Price")</f>
        <v>Average Price</v>
      </c>
      <c r="J5" s="26" t="str">
        <f>IFERROR(__xludf.DUMMYFUNCTION("""COMPUTED_VALUE"""),"UnderlyingName")</f>
        <v>UnderlyingName</v>
      </c>
      <c r="K5" s="26" t="str">
        <f>IFERROR(__xludf.DUMMYFUNCTION("""COMPUTED_VALUE"""),"UnitCost")</f>
        <v>UnitCost</v>
      </c>
      <c r="L5" s="26" t="str">
        <f>IFERROR(__xludf.DUMMYFUNCTION("""COMPUTED_VALUE"""),"PositionTag")</f>
        <v>PositionTag</v>
      </c>
      <c r="M5" s="26" t="str">
        <f>IFERROR(__xludf.DUMMYFUNCTION("""COMPUTED_VALUE"""),"Strategy")</f>
        <v>Strategy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10">
        <v>250.0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29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32"/>
      <c r="F6" s="6"/>
      <c r="G6" s="6"/>
      <c r="H6" s="6"/>
      <c r="I6" s="6"/>
      <c r="J6" s="6"/>
      <c r="K6" s="6"/>
      <c r="L6" s="6"/>
      <c r="M6" s="6"/>
      <c r="N6" s="6"/>
      <c r="O6" s="6"/>
      <c r="BP6" s="30">
        <v>43320.0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ExerciseAssignmentAtZero!$4:$4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31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4" t="s">
        <v>25</v>
      </c>
      <c r="C6" s="40">
        <v>43318.0</v>
      </c>
      <c r="D6" s="47">
        <v>43323.0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32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20</v>
      </c>
      <c r="C6" s="6"/>
      <c r="D6" s="10"/>
      <c r="E6" s="32"/>
      <c r="F6" s="6"/>
      <c r="G6" s="6"/>
      <c r="H6" s="6"/>
      <c r="I6" s="6"/>
      <c r="J6" s="6"/>
      <c r="K6" s="6"/>
      <c r="L6" s="10">
        <v>15.0</v>
      </c>
      <c r="M6" s="6"/>
      <c r="N6" s="6"/>
      <c r="O6" s="6"/>
      <c r="S6" s="39" t="s">
        <v>35</v>
      </c>
      <c r="AI6" s="39">
        <v>1.0</v>
      </c>
      <c r="AU6" s="39">
        <v>749980.0</v>
      </c>
      <c r="AX6" s="39">
        <v>0.0</v>
      </c>
      <c r="BF6" s="39">
        <v>750000.0</v>
      </c>
      <c r="BJ6" s="39">
        <v>500.0</v>
      </c>
      <c r="BO6" s="39" t="s">
        <v>19</v>
      </c>
      <c r="BT6" s="10" t="s">
        <v>18</v>
      </c>
      <c r="BW6" s="39">
        <v>20.0</v>
      </c>
      <c r="CE6" s="48">
        <v>43318.0</v>
      </c>
      <c r="CI6" s="39" t="s">
        <v>36</v>
      </c>
    </row>
    <row r="7" ht="15.75" customHeight="1">
      <c r="A7" s="6"/>
      <c r="B7" s="10" t="s">
        <v>20</v>
      </c>
      <c r="C7" s="6"/>
      <c r="D7" s="6"/>
      <c r="E7" s="6"/>
      <c r="F7" s="6"/>
      <c r="G7" s="6"/>
      <c r="H7" s="6"/>
      <c r="I7" s="6"/>
      <c r="J7" s="6"/>
      <c r="K7" s="6"/>
      <c r="L7" s="10">
        <v>104.0</v>
      </c>
      <c r="M7" s="6"/>
      <c r="N7" s="6"/>
      <c r="O7" s="6"/>
      <c r="S7" s="39" t="s">
        <v>37</v>
      </c>
      <c r="AI7" s="39">
        <v>1.0</v>
      </c>
      <c r="AU7" s="39">
        <v>2600000.0</v>
      </c>
      <c r="AX7" s="39">
        <v>0.0</v>
      </c>
      <c r="BF7" s="39">
        <v>2600000.0</v>
      </c>
      <c r="BJ7" s="39">
        <v>25000.0</v>
      </c>
      <c r="BO7" s="39" t="s">
        <v>38</v>
      </c>
      <c r="BT7" s="39" t="s">
        <v>39</v>
      </c>
      <c r="BW7" s="39">
        <v>0.0</v>
      </c>
      <c r="CE7" s="48">
        <v>43320.0</v>
      </c>
      <c r="CI7" s="39" t="s">
        <v>40</v>
      </c>
    </row>
    <row r="8" ht="15.75" customHeight="1">
      <c r="A8" s="6"/>
      <c r="B8" s="10" t="s">
        <v>20</v>
      </c>
      <c r="C8" s="6"/>
      <c r="D8" s="6"/>
      <c r="E8" s="6"/>
      <c r="F8" s="6"/>
      <c r="G8" s="6"/>
      <c r="H8" s="6"/>
      <c r="I8" s="6"/>
      <c r="J8" s="6"/>
      <c r="K8" s="6"/>
      <c r="L8" s="10">
        <v>0.0</v>
      </c>
      <c r="M8" s="6"/>
      <c r="N8" s="6"/>
      <c r="O8" s="6"/>
      <c r="S8" s="39" t="s">
        <v>41</v>
      </c>
      <c r="AI8" s="39">
        <v>1.0</v>
      </c>
      <c r="AU8" s="39">
        <v>0.0</v>
      </c>
      <c r="AX8" s="39">
        <v>0.0</v>
      </c>
      <c r="BF8" s="39">
        <v>0.0</v>
      </c>
      <c r="BJ8" s="39">
        <v>250.0</v>
      </c>
      <c r="BO8" s="39" t="s">
        <v>42</v>
      </c>
      <c r="BT8" s="10" t="s">
        <v>18</v>
      </c>
      <c r="BW8" s="39">
        <v>0.0</v>
      </c>
      <c r="CE8" s="48">
        <v>43320.0</v>
      </c>
      <c r="CI8" s="39" t="s">
        <v>40</v>
      </c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34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4"/>
      <c r="C6" s="35" t="s">
        <v>20</v>
      </c>
      <c r="D6" s="40">
        <v>43318.0</v>
      </c>
      <c r="E6" s="47">
        <v>43323.0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43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IFERROR(__xludf.DUMMYFUNCTION("""COMPUTED_VALUE"""),"Date")</f>
        <v>Date</v>
      </c>
      <c r="D5" s="26" t="str">
        <f>IFERROR(__xludf.DUMMYFUNCTION("""COMPUTED_VALUE"""),"Currency (Local)")</f>
        <v>Currency (Local)</v>
      </c>
      <c r="E5" s="26" t="str">
        <f>IFERROR(__xludf.DUMMYFUNCTION("""COMPUTED_VALUE"""),"Cash (Local)")</f>
        <v>Cash (Local)</v>
      </c>
      <c r="F5" s="27" t="str">
        <f>IFERROR(__xludf.DUMMYFUNCTION("""COMPUTED_VALUE"""),"Currency (Base)")</f>
        <v>Currency (Base)</v>
      </c>
      <c r="G5" s="26" t="str">
        <f>IFERROR(__xludf.DUMMYFUNCTION("""COMPUTED_VALUE"""),"Cash (Base)")</f>
        <v>Cash (Base)</v>
      </c>
      <c r="H5" s="26" t="str">
        <f>IFERROR(__xludf.DUMMYFUNCTION("""COMPUTED_VALUE"""),"BalanceType")</f>
        <v>BalanceType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20</v>
      </c>
      <c r="C6" s="30">
        <v>43318.0</v>
      </c>
      <c r="D6" s="10" t="s">
        <v>44</v>
      </c>
      <c r="E6" s="10">
        <v>749980.0</v>
      </c>
      <c r="F6" s="10" t="s">
        <v>44</v>
      </c>
      <c r="G6" s="10">
        <v>749980.0</v>
      </c>
      <c r="H6" s="10" t="s">
        <v>45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46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4"/>
      <c r="C6" s="35" t="s">
        <v>20</v>
      </c>
      <c r="D6" s="40">
        <v>43323.0</v>
      </c>
      <c r="E6" s="49" t="b">
        <v>1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47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4"/>
      <c r="C6" s="35" t="s">
        <v>20</v>
      </c>
      <c r="D6" s="40">
        <v>43318.0</v>
      </c>
      <c r="E6" s="40">
        <v>43323.0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52.86"/>
    <col customWidth="1" min="18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48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0" t="str">
        <f>IFERROR(__xludf.DUMMYFUNCTION("""COMPUTED_VALUE"""),"Date")</f>
        <v>Date</v>
      </c>
      <c r="C5" s="50" t="str">
        <f>IFERROR(__xludf.DUMMYFUNCTION("""COMPUTED_VALUE"""),"Modify Date")</f>
        <v>Modify Date</v>
      </c>
      <c r="D5" s="50" t="str">
        <f>IFERROR(__xludf.DUMMYFUNCTION("""COMPUTED_VALUE"""),"Entry Date")</f>
        <v>Entry Date</v>
      </c>
      <c r="E5" s="50" t="str">
        <f>IFERROR(__xludf.DUMMYFUNCTION("""COMPUTED_VALUE"""),"DR")</f>
        <v>DR</v>
      </c>
      <c r="F5" s="51" t="str">
        <f>IFERROR(__xludf.DUMMYFUNCTION("""COMPUTED_VALUE"""),"CR")</f>
        <v>CR</v>
      </c>
      <c r="G5" s="50" t="str">
        <f>IFERROR(__xludf.DUMMYFUNCTION("""COMPUTED_VALUE"""),"Fx Rate")</f>
        <v>Fx Rate</v>
      </c>
      <c r="H5" s="50" t="str">
        <f>IFERROR(__xludf.DUMMYFUNCTION("""COMPUTED_VALUE"""),"FX Conversion Method Operator")</f>
        <v>FX Conversion Method Operator</v>
      </c>
      <c r="I5" s="50" t="str">
        <f>IFERROR(__xludf.DUMMYFUNCTION("""COMPUTED_VALUE"""),"Account Side")</f>
        <v>Account Side</v>
      </c>
      <c r="J5" s="50" t="str">
        <f>IFERROR(__xludf.DUMMYFUNCTION("""COMPUTED_VALUE"""),"TransactionSource")</f>
        <v>TransactionSource</v>
      </c>
      <c r="K5" s="50" t="str">
        <f>IFERROR(__xludf.DUMMYFUNCTION("""COMPUTED_VALUE"""),"Currency")</f>
        <v>Currency</v>
      </c>
      <c r="L5" s="50" t="str">
        <f>IFERROR(__xludf.DUMMYFUNCTION("""COMPUTED_VALUE"""),"Base Currency")</f>
        <v>Base Currency</v>
      </c>
      <c r="M5" s="50" t="str">
        <f>IFERROR(__xludf.DUMMYFUNCTION("""COMPUTED_VALUE"""),"Symbol")</f>
        <v>Symbol</v>
      </c>
      <c r="N5" s="50" t="str">
        <f>IFERROR(__xludf.DUMMYFUNCTION("""COMPUTED_VALUE"""),"Description")</f>
        <v>Description</v>
      </c>
      <c r="O5" s="50" t="str">
        <f>IFERROR(__xludf.DUMMYFUNCTION("""COMPUTED_VALUE"""),"DR (Base)")</f>
        <v>DR (Base)</v>
      </c>
      <c r="P5" s="50" t="str">
        <f>IFERROR(__xludf.DUMMYFUNCTION("""COMPUTED_VALUE"""),"CR (Base)")</f>
        <v>CR (Base)</v>
      </c>
      <c r="Q5" s="50" t="str">
        <f>IFERROR(__xludf.DUMMYFUNCTION("""COMPUTED_VALUE"""),"Cash Sub-Account")</f>
        <v>Cash Sub-Account</v>
      </c>
      <c r="R5" s="50" t="str">
        <f>IFERROR(__xludf.DUMMYFUNCTION("""COMPUTED_VALUE"""),"Account")</f>
        <v>Account</v>
      </c>
      <c r="S5" s="50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2">
        <v>43320.0</v>
      </c>
      <c r="D6" s="10"/>
      <c r="E6" s="53">
        <v>2600000.0</v>
      </c>
      <c r="F6" s="54">
        <v>0.0</v>
      </c>
      <c r="G6" s="6"/>
      <c r="H6" s="6"/>
      <c r="I6" s="10" t="s">
        <v>50</v>
      </c>
      <c r="J6" s="55" t="s">
        <v>51</v>
      </c>
      <c r="K6" s="55" t="s">
        <v>44</v>
      </c>
      <c r="L6" s="6"/>
      <c r="M6" s="55" t="s">
        <v>39</v>
      </c>
      <c r="N6" s="6"/>
      <c r="O6" s="53">
        <v>2600000.0</v>
      </c>
      <c r="P6" s="54">
        <v>0.0</v>
      </c>
      <c r="Q6" s="55" t="s">
        <v>52</v>
      </c>
      <c r="R6" s="10" t="s">
        <v>20</v>
      </c>
    </row>
    <row r="7" ht="15.75" customHeight="1">
      <c r="A7" s="6"/>
      <c r="B7" s="52">
        <v>43320.0</v>
      </c>
      <c r="D7" s="6"/>
      <c r="E7" s="56">
        <v>0.0</v>
      </c>
      <c r="F7" s="53">
        <v>2600000.0</v>
      </c>
      <c r="G7" s="6"/>
      <c r="H7" s="6"/>
      <c r="I7" s="10" t="s">
        <v>53</v>
      </c>
      <c r="J7" s="55" t="s">
        <v>51</v>
      </c>
      <c r="K7" s="55" t="s">
        <v>44</v>
      </c>
      <c r="L7" s="6"/>
      <c r="M7" s="55" t="s">
        <v>39</v>
      </c>
      <c r="N7" s="6"/>
      <c r="O7" s="56">
        <v>0.0</v>
      </c>
      <c r="P7" s="53">
        <v>2600000.0</v>
      </c>
      <c r="Q7" s="55" t="s">
        <v>54</v>
      </c>
      <c r="R7" s="10" t="s">
        <v>20</v>
      </c>
    </row>
    <row r="8" ht="15.75" customHeight="1">
      <c r="A8" s="6"/>
      <c r="B8" s="57">
        <v>43318.0</v>
      </c>
      <c r="D8" s="6"/>
      <c r="E8" s="53">
        <v>20.0</v>
      </c>
      <c r="F8" s="54">
        <v>0.0</v>
      </c>
      <c r="G8" s="6"/>
      <c r="H8" s="6"/>
      <c r="I8" s="10" t="s">
        <v>50</v>
      </c>
      <c r="J8" s="55" t="s">
        <v>51</v>
      </c>
      <c r="K8" s="55" t="s">
        <v>44</v>
      </c>
      <c r="L8" s="6"/>
      <c r="M8" s="55" t="s">
        <v>18</v>
      </c>
      <c r="N8" s="6"/>
      <c r="O8" s="53">
        <v>20.0</v>
      </c>
      <c r="P8" s="54">
        <v>0.0</v>
      </c>
      <c r="Q8" s="55" t="s">
        <v>55</v>
      </c>
      <c r="R8" s="10" t="s">
        <v>20</v>
      </c>
    </row>
    <row r="9" ht="15.75" customHeight="1">
      <c r="A9" s="6"/>
      <c r="B9" s="57">
        <v>43318.0</v>
      </c>
      <c r="D9" s="6"/>
      <c r="E9" s="56">
        <v>0.0</v>
      </c>
      <c r="F9" s="53">
        <v>20.0</v>
      </c>
      <c r="G9" s="6"/>
      <c r="H9" s="6"/>
      <c r="I9" s="10" t="s">
        <v>53</v>
      </c>
      <c r="J9" s="55" t="s">
        <v>51</v>
      </c>
      <c r="K9" s="55" t="s">
        <v>44</v>
      </c>
      <c r="L9" s="6"/>
      <c r="M9" s="55" t="s">
        <v>18</v>
      </c>
      <c r="N9" s="6"/>
      <c r="O9" s="56">
        <v>0.0</v>
      </c>
      <c r="P9" s="53">
        <v>20.0</v>
      </c>
      <c r="Q9" s="55" t="s">
        <v>52</v>
      </c>
      <c r="R9" s="10" t="s">
        <v>20</v>
      </c>
    </row>
    <row r="10" ht="15.75" customHeight="1">
      <c r="A10" s="6"/>
      <c r="B10" s="57">
        <v>43318.0</v>
      </c>
      <c r="D10" s="6"/>
      <c r="E10" s="53">
        <v>750000.0</v>
      </c>
      <c r="F10" s="54">
        <v>0.0</v>
      </c>
      <c r="G10" s="6"/>
      <c r="H10" s="6"/>
      <c r="I10" s="10" t="s">
        <v>50</v>
      </c>
      <c r="J10" s="55" t="s">
        <v>51</v>
      </c>
      <c r="K10" s="55" t="s">
        <v>44</v>
      </c>
      <c r="L10" s="6"/>
      <c r="M10" s="55" t="s">
        <v>18</v>
      </c>
      <c r="N10" s="6"/>
      <c r="O10" s="53">
        <v>750000.0</v>
      </c>
      <c r="P10" s="54">
        <v>0.0</v>
      </c>
      <c r="Q10" s="55" t="s">
        <v>52</v>
      </c>
      <c r="R10" s="10" t="s">
        <v>20</v>
      </c>
    </row>
    <row r="11" ht="15.75" customHeight="1">
      <c r="A11" s="6"/>
      <c r="B11" s="57">
        <v>43318.0</v>
      </c>
      <c r="D11" s="6"/>
      <c r="E11" s="56">
        <v>0.0</v>
      </c>
      <c r="F11" s="53">
        <v>750000.0</v>
      </c>
      <c r="G11" s="6"/>
      <c r="H11" s="6"/>
      <c r="I11" s="10" t="s">
        <v>53</v>
      </c>
      <c r="J11" s="55" t="s">
        <v>51</v>
      </c>
      <c r="K11" s="55" t="s">
        <v>44</v>
      </c>
      <c r="L11" s="6"/>
      <c r="M11" s="55" t="s">
        <v>18</v>
      </c>
      <c r="N11" s="6"/>
      <c r="O11" s="56">
        <v>0.0</v>
      </c>
      <c r="P11" s="53">
        <v>750000.0</v>
      </c>
      <c r="Q11" s="55" t="s">
        <v>55</v>
      </c>
      <c r="R11" s="10" t="s">
        <v>20</v>
      </c>
    </row>
    <row r="12" ht="15.75" customHeight="1">
      <c r="A12" s="6"/>
      <c r="B12" s="6"/>
      <c r="C12" s="6"/>
      <c r="D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49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4"/>
      <c r="C6" s="35" t="s">
        <v>20</v>
      </c>
      <c r="D6" s="40">
        <v>43318.0</v>
      </c>
      <c r="E6" s="40">
        <v>43323.0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59.43"/>
    <col customWidth="1" min="7" max="8" width="14.43"/>
    <col customWidth="1" min="9" max="9" width="18.14"/>
    <col customWidth="1" min="10" max="11" width="17.43"/>
    <col customWidth="1" min="12" max="15" width="14.43"/>
    <col customWidth="1" min="16" max="16" width="5.57"/>
    <col customWidth="1" min="17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56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0" t="str">
        <f>IFERROR(__xludf.DUMMYFUNCTION("""COMPUTED_VALUE"""),"Date")</f>
        <v>Date</v>
      </c>
      <c r="C5" s="50" t="str">
        <f>IFERROR(__xludf.DUMMYFUNCTION("""COMPUTED_VALUE"""),"Account")</f>
        <v>Account</v>
      </c>
      <c r="D5" s="50" t="str">
        <f>IFERROR(__xludf.DUMMYFUNCTION("""COMPUTED_VALUE"""),"Symbol")</f>
        <v>Symbol</v>
      </c>
      <c r="E5" s="50" t="str">
        <f>IFERROR(__xludf.DUMMYFUNCTION("""COMPUTED_VALUE"""),"Currency")</f>
        <v>Currency</v>
      </c>
      <c r="F5" s="51" t="str">
        <f>IFERROR(__xludf.DUMMYFUNCTION("""COMPUTED_VALUE"""),"Cash Sub-Account")</f>
        <v>Cash Sub-Account</v>
      </c>
      <c r="G5" s="50" t="str">
        <f>IFERROR(__xludf.DUMMYFUNCTION("""COMPUTED_VALUE"""),"DR")</f>
        <v>DR</v>
      </c>
      <c r="H5" s="50" t="str">
        <f>IFERROR(__xludf.DUMMYFUNCTION("""COMPUTED_VALUE"""),"CR")</f>
        <v>CR</v>
      </c>
      <c r="I5" s="50" t="str">
        <f>IFERROR(__xludf.DUMMYFUNCTION("""COMPUTED_VALUE"""),"Modify Date")</f>
        <v>Modify Date</v>
      </c>
      <c r="J5" s="50" t="str">
        <f>IFERROR(__xludf.DUMMYFUNCTION("""COMPUTED_VALUE"""),"Entry Date")</f>
        <v>Entry Date</v>
      </c>
      <c r="K5" s="50" t="str">
        <f>IFERROR(__xludf.DUMMYFUNCTION("""COMPUTED_VALUE"""),"User")</f>
        <v>User</v>
      </c>
      <c r="L5" s="50" t="str">
        <f>IFERROR(__xludf.DUMMYFUNCTION("""COMPUTED_VALUE"""),"Fx Rate")</f>
        <v>Fx Rate</v>
      </c>
      <c r="M5" s="50" t="str">
        <f>IFERROR(__xludf.DUMMYFUNCTION("""COMPUTED_VALUE"""),"FX Conversion Method Operator")</f>
        <v>FX Conversion Method Operator</v>
      </c>
      <c r="N5" s="50" t="str">
        <f>IFERROR(__xludf.DUMMYFUNCTION("""COMPUTED_VALUE"""),"Account Side")</f>
        <v>Account Side</v>
      </c>
      <c r="O5" s="50" t="str">
        <f>IFERROR(__xludf.DUMMYFUNCTION("""COMPUTED_VALUE"""),"TransactionSource")</f>
        <v>TransactionSource</v>
      </c>
      <c r="P5" s="50" t="str">
        <f>IFERROR(__xludf.DUMMYFUNCTION("""COMPUTED_VALUE"""),"Base Currency")</f>
        <v>Base Currency</v>
      </c>
      <c r="Q5" s="50" t="str">
        <f>IFERROR(__xludf.DUMMYFUNCTION("""COMPUTED_VALUE"""),"Description")</f>
        <v>Description</v>
      </c>
      <c r="R5" s="50" t="str">
        <f>IFERROR(__xludf.DUMMYFUNCTION("""COMPUTED_VALUE"""),"DR (Base)")</f>
        <v>DR (Base)</v>
      </c>
      <c r="S5" s="50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2">
        <v>43318.0</v>
      </c>
      <c r="C6" s="55" t="s">
        <v>20</v>
      </c>
      <c r="D6" s="55" t="s">
        <v>18</v>
      </c>
      <c r="E6" s="55" t="s">
        <v>44</v>
      </c>
      <c r="F6" s="55" t="s">
        <v>57</v>
      </c>
      <c r="G6" s="53">
        <v>49980.0</v>
      </c>
      <c r="H6" s="54">
        <v>0.0</v>
      </c>
      <c r="I6" s="6"/>
      <c r="J6" s="6"/>
      <c r="K6" s="6"/>
      <c r="L6" s="6"/>
      <c r="M6" s="6"/>
      <c r="N6" s="55" t="s">
        <v>50</v>
      </c>
      <c r="O6" s="55" t="s">
        <v>58</v>
      </c>
      <c r="Q6" s="55" t="s">
        <v>59</v>
      </c>
      <c r="R6" s="53">
        <v>49980.0</v>
      </c>
      <c r="S6" s="53">
        <v>0.0</v>
      </c>
    </row>
    <row r="7" ht="15.75" customHeight="1">
      <c r="A7" s="6"/>
      <c r="B7" s="52">
        <v>43318.0</v>
      </c>
      <c r="C7" s="55" t="s">
        <v>20</v>
      </c>
      <c r="D7" s="55" t="s">
        <v>18</v>
      </c>
      <c r="E7" s="55" t="s">
        <v>44</v>
      </c>
      <c r="F7" s="55" t="s">
        <v>60</v>
      </c>
      <c r="G7" s="56">
        <v>0.0</v>
      </c>
      <c r="H7" s="53">
        <v>49980.0</v>
      </c>
      <c r="I7" s="6"/>
      <c r="J7" s="6"/>
      <c r="K7" s="6"/>
      <c r="L7" s="6"/>
      <c r="M7" s="6"/>
      <c r="N7" s="55" t="s">
        <v>53</v>
      </c>
      <c r="O7" s="55" t="s">
        <v>58</v>
      </c>
      <c r="Q7" s="55" t="s">
        <v>59</v>
      </c>
      <c r="R7" s="53">
        <v>0.0</v>
      </c>
      <c r="S7" s="53">
        <v>49980.0</v>
      </c>
    </row>
    <row r="8" ht="15.75" customHeight="1">
      <c r="A8" s="6"/>
      <c r="B8" s="52">
        <v>43319.0</v>
      </c>
      <c r="C8" s="55" t="s">
        <v>20</v>
      </c>
      <c r="D8" s="55" t="s">
        <v>18</v>
      </c>
      <c r="E8" s="55" t="s">
        <v>44</v>
      </c>
      <c r="F8" s="55" t="s">
        <v>57</v>
      </c>
      <c r="G8" s="53">
        <v>99980.0</v>
      </c>
      <c r="H8" s="54">
        <v>0.0</v>
      </c>
      <c r="I8" s="6"/>
      <c r="J8" s="6"/>
      <c r="K8" s="6"/>
      <c r="L8" s="6"/>
      <c r="M8" s="6"/>
      <c r="N8" s="55" t="s">
        <v>50</v>
      </c>
      <c r="O8" s="55" t="s">
        <v>58</v>
      </c>
      <c r="Q8" s="55" t="s">
        <v>59</v>
      </c>
      <c r="R8" s="53">
        <v>99980.0</v>
      </c>
      <c r="S8" s="53">
        <v>0.0</v>
      </c>
    </row>
    <row r="9" ht="15.75" customHeight="1">
      <c r="A9" s="6"/>
      <c r="B9" s="52">
        <v>43319.0</v>
      </c>
      <c r="C9" s="55" t="s">
        <v>20</v>
      </c>
      <c r="D9" s="55" t="s">
        <v>18</v>
      </c>
      <c r="E9" s="55" t="s">
        <v>44</v>
      </c>
      <c r="F9" s="55" t="s">
        <v>60</v>
      </c>
      <c r="G9" s="56">
        <v>0.0</v>
      </c>
      <c r="H9" s="53">
        <v>99980.0</v>
      </c>
      <c r="I9" s="6"/>
      <c r="J9" s="6"/>
      <c r="K9" s="6"/>
      <c r="L9" s="6"/>
      <c r="M9" s="6"/>
      <c r="N9" s="55" t="s">
        <v>53</v>
      </c>
      <c r="O9" s="55" t="s">
        <v>58</v>
      </c>
      <c r="Q9" s="55" t="s">
        <v>59</v>
      </c>
      <c r="R9" s="53">
        <v>0.0</v>
      </c>
      <c r="S9" s="53">
        <v>99980.0</v>
      </c>
    </row>
    <row r="10" ht="15.75" customHeight="1">
      <c r="A10" s="6"/>
      <c r="B10" s="52">
        <v>43319.0</v>
      </c>
      <c r="C10" s="55" t="s">
        <v>20</v>
      </c>
      <c r="D10" s="55" t="s">
        <v>18</v>
      </c>
      <c r="E10" s="55" t="s">
        <v>44</v>
      </c>
      <c r="F10" s="55" t="s">
        <v>60</v>
      </c>
      <c r="G10" s="53">
        <v>49980.0</v>
      </c>
      <c r="H10" s="54">
        <v>0.0</v>
      </c>
      <c r="I10" s="6"/>
      <c r="J10" s="6"/>
      <c r="K10" s="6"/>
      <c r="L10" s="6"/>
      <c r="M10" s="6"/>
      <c r="N10" s="55" t="s">
        <v>50</v>
      </c>
      <c r="O10" s="55" t="s">
        <v>58</v>
      </c>
      <c r="Q10" s="55" t="s">
        <v>61</v>
      </c>
      <c r="R10" s="53">
        <v>49980.0</v>
      </c>
      <c r="S10" s="53">
        <v>0.0</v>
      </c>
    </row>
    <row r="11" ht="15.75" customHeight="1">
      <c r="A11" s="6"/>
      <c r="B11" s="52">
        <v>43319.0</v>
      </c>
      <c r="C11" s="55" t="s">
        <v>20</v>
      </c>
      <c r="D11" s="55" t="s">
        <v>18</v>
      </c>
      <c r="E11" s="55" t="s">
        <v>44</v>
      </c>
      <c r="F11" s="55" t="s">
        <v>57</v>
      </c>
      <c r="G11" s="56">
        <v>0.0</v>
      </c>
      <c r="H11" s="53">
        <v>49980.0</v>
      </c>
      <c r="I11" s="6"/>
      <c r="J11" s="6"/>
      <c r="K11" s="6"/>
      <c r="L11" s="6"/>
      <c r="M11" s="6"/>
      <c r="N11" s="55" t="s">
        <v>53</v>
      </c>
      <c r="O11" s="55" t="s">
        <v>58</v>
      </c>
      <c r="Q11" s="55" t="s">
        <v>61</v>
      </c>
      <c r="R11" s="53">
        <v>0.0</v>
      </c>
      <c r="S11" s="53">
        <v>49980.0</v>
      </c>
    </row>
    <row r="12" ht="15.75" customHeight="1">
      <c r="A12" s="6"/>
      <c r="B12" s="52">
        <v>43320.0</v>
      </c>
      <c r="C12" s="55" t="s">
        <v>20</v>
      </c>
      <c r="D12" s="55" t="s">
        <v>39</v>
      </c>
      <c r="E12" s="55" t="s">
        <v>44</v>
      </c>
      <c r="F12" s="55" t="s">
        <v>62</v>
      </c>
      <c r="G12" s="53">
        <v>2600000.0</v>
      </c>
      <c r="H12" s="54">
        <v>0.0</v>
      </c>
      <c r="I12" s="6"/>
      <c r="J12" s="6"/>
      <c r="K12" s="6"/>
      <c r="L12" s="6"/>
      <c r="M12" s="6"/>
      <c r="N12" s="55" t="s">
        <v>50</v>
      </c>
      <c r="O12" s="55" t="s">
        <v>58</v>
      </c>
      <c r="Q12" s="55" t="s">
        <v>59</v>
      </c>
      <c r="R12" s="53">
        <v>2600000.0</v>
      </c>
      <c r="S12" s="53">
        <v>0.0</v>
      </c>
    </row>
    <row r="13" ht="15.75" customHeight="1">
      <c r="A13" s="6"/>
      <c r="B13" s="52">
        <v>43320.0</v>
      </c>
      <c r="C13" s="55" t="s">
        <v>20</v>
      </c>
      <c r="D13" s="55" t="s">
        <v>39</v>
      </c>
      <c r="E13" s="55" t="s">
        <v>44</v>
      </c>
      <c r="F13" s="55" t="s">
        <v>63</v>
      </c>
      <c r="G13" s="56">
        <v>0.0</v>
      </c>
      <c r="H13" s="53">
        <v>2600000.0</v>
      </c>
      <c r="I13" s="6"/>
      <c r="J13" s="6"/>
      <c r="K13" s="6"/>
      <c r="L13" s="6"/>
      <c r="M13" s="6"/>
      <c r="N13" s="55" t="s">
        <v>53</v>
      </c>
      <c r="O13" s="55" t="s">
        <v>58</v>
      </c>
      <c r="Q13" s="55" t="s">
        <v>59</v>
      </c>
      <c r="R13" s="53">
        <v>0.0</v>
      </c>
      <c r="S13" s="53">
        <v>2600000.0</v>
      </c>
    </row>
    <row r="14" ht="15.75" customHeight="1">
      <c r="A14" s="6"/>
      <c r="B14" s="52">
        <v>43320.0</v>
      </c>
      <c r="C14" s="55" t="s">
        <v>20</v>
      </c>
      <c r="D14" s="55" t="s">
        <v>18</v>
      </c>
      <c r="E14" s="55" t="s">
        <v>44</v>
      </c>
      <c r="F14" s="55" t="s">
        <v>55</v>
      </c>
      <c r="G14" s="53">
        <v>374990.0</v>
      </c>
      <c r="H14" s="54">
        <v>0.0</v>
      </c>
      <c r="I14" s="6"/>
      <c r="J14" s="6"/>
      <c r="K14" s="6"/>
      <c r="L14" s="6"/>
      <c r="M14" s="6"/>
      <c r="N14" s="55" t="s">
        <v>50</v>
      </c>
      <c r="O14" s="55" t="s">
        <v>58</v>
      </c>
      <c r="Q14" s="55" t="s">
        <v>64</v>
      </c>
      <c r="R14" s="53">
        <v>374990.0</v>
      </c>
      <c r="S14" s="53">
        <v>0.0</v>
      </c>
    </row>
    <row r="15" ht="15.75" customHeight="1">
      <c r="A15" s="6"/>
      <c r="B15" s="52">
        <v>43320.0</v>
      </c>
      <c r="C15" s="55" t="s">
        <v>20</v>
      </c>
      <c r="D15" s="55" t="s">
        <v>18</v>
      </c>
      <c r="E15" s="55" t="s">
        <v>44</v>
      </c>
      <c r="F15" s="55" t="s">
        <v>65</v>
      </c>
      <c r="G15" s="56">
        <v>0.0</v>
      </c>
      <c r="H15" s="53">
        <v>374990.0</v>
      </c>
      <c r="I15" s="6"/>
      <c r="J15" s="6"/>
      <c r="K15" s="6"/>
      <c r="L15" s="6"/>
      <c r="M15" s="6"/>
      <c r="N15" s="55" t="s">
        <v>53</v>
      </c>
      <c r="O15" s="55" t="s">
        <v>58</v>
      </c>
      <c r="Q15" s="55" t="s">
        <v>64</v>
      </c>
      <c r="R15" s="53">
        <v>0.0</v>
      </c>
      <c r="S15" s="53">
        <v>374990.0</v>
      </c>
    </row>
    <row r="16" ht="15.75" customHeight="1">
      <c r="A16" s="6"/>
      <c r="B16" s="52">
        <v>43320.0</v>
      </c>
      <c r="C16" s="55" t="s">
        <v>20</v>
      </c>
      <c r="D16" s="55" t="s">
        <v>18</v>
      </c>
      <c r="E16" s="55" t="s">
        <v>44</v>
      </c>
      <c r="F16" s="55" t="s">
        <v>60</v>
      </c>
      <c r="G16" s="53">
        <v>25010.0</v>
      </c>
      <c r="H16" s="54">
        <v>0.0</v>
      </c>
      <c r="I16" s="6"/>
      <c r="J16" s="6"/>
      <c r="K16" s="6"/>
      <c r="L16" s="6"/>
      <c r="M16" s="6"/>
      <c r="N16" s="55" t="s">
        <v>50</v>
      </c>
      <c r="O16" s="55" t="s">
        <v>58</v>
      </c>
      <c r="Q16" s="55" t="s">
        <v>59</v>
      </c>
      <c r="R16" s="53">
        <v>25010.0</v>
      </c>
      <c r="S16" s="53">
        <v>0.0</v>
      </c>
    </row>
    <row r="17" ht="15.75" customHeight="1">
      <c r="A17" s="6"/>
      <c r="B17" s="52">
        <v>43320.0</v>
      </c>
      <c r="C17" s="55" t="s">
        <v>20</v>
      </c>
      <c r="D17" s="55" t="s">
        <v>18</v>
      </c>
      <c r="E17" s="55" t="s">
        <v>44</v>
      </c>
      <c r="F17" s="55" t="s">
        <v>57</v>
      </c>
      <c r="G17" s="56">
        <v>0.0</v>
      </c>
      <c r="H17" s="53">
        <v>25010.0</v>
      </c>
      <c r="I17" s="6"/>
      <c r="J17" s="6"/>
      <c r="K17" s="6"/>
      <c r="L17" s="6"/>
      <c r="M17" s="6"/>
      <c r="N17" s="55" t="s">
        <v>53</v>
      </c>
      <c r="O17" s="55" t="s">
        <v>58</v>
      </c>
      <c r="Q17" s="55" t="s">
        <v>59</v>
      </c>
      <c r="R17" s="53">
        <v>0.0</v>
      </c>
      <c r="S17" s="53">
        <v>25010.0</v>
      </c>
    </row>
    <row r="18" ht="15.75" customHeight="1">
      <c r="A18" s="6"/>
      <c r="B18" s="52">
        <v>43320.0</v>
      </c>
      <c r="C18" s="55" t="s">
        <v>20</v>
      </c>
      <c r="D18" s="55" t="s">
        <v>18</v>
      </c>
      <c r="E18" s="55" t="s">
        <v>44</v>
      </c>
      <c r="F18" s="55" t="s">
        <v>60</v>
      </c>
      <c r="G18" s="53">
        <v>99980.0</v>
      </c>
      <c r="H18" s="54">
        <v>0.0</v>
      </c>
      <c r="I18" s="6"/>
      <c r="J18" s="6"/>
      <c r="K18" s="6"/>
      <c r="L18" s="6"/>
      <c r="M18" s="6"/>
      <c r="N18" s="55" t="s">
        <v>50</v>
      </c>
      <c r="O18" s="55" t="s">
        <v>58</v>
      </c>
      <c r="Q18" s="55" t="s">
        <v>61</v>
      </c>
      <c r="R18" s="53">
        <v>99980.0</v>
      </c>
      <c r="S18" s="53">
        <v>0.0</v>
      </c>
    </row>
    <row r="19" ht="15.75" customHeight="1">
      <c r="A19" s="6"/>
      <c r="B19" s="52">
        <v>43320.0</v>
      </c>
      <c r="C19" s="55" t="s">
        <v>20</v>
      </c>
      <c r="D19" s="55" t="s">
        <v>18</v>
      </c>
      <c r="E19" s="55" t="s">
        <v>44</v>
      </c>
      <c r="F19" s="55" t="s">
        <v>57</v>
      </c>
      <c r="G19" s="56">
        <v>0.0</v>
      </c>
      <c r="H19" s="53">
        <v>99980.0</v>
      </c>
      <c r="I19" s="6"/>
      <c r="J19" s="6"/>
      <c r="K19" s="6"/>
      <c r="L19" s="6"/>
      <c r="M19" s="6"/>
      <c r="N19" s="55" t="s">
        <v>53</v>
      </c>
      <c r="O19" s="55" t="s">
        <v>58</v>
      </c>
      <c r="Q19" s="55" t="s">
        <v>61</v>
      </c>
      <c r="R19" s="53">
        <v>0.0</v>
      </c>
      <c r="S19" s="53">
        <v>99980.0</v>
      </c>
    </row>
    <row r="20" ht="15.75" customHeight="1">
      <c r="A20" s="6"/>
      <c r="B20" s="52">
        <v>43321.0</v>
      </c>
      <c r="C20" s="55" t="s">
        <v>20</v>
      </c>
      <c r="D20" s="55" t="s">
        <v>39</v>
      </c>
      <c r="E20" s="55" t="s">
        <v>44</v>
      </c>
      <c r="F20" s="55" t="s">
        <v>62</v>
      </c>
      <c r="G20" s="53">
        <v>2600000.0</v>
      </c>
      <c r="H20" s="54">
        <v>0.0</v>
      </c>
      <c r="I20" s="6"/>
      <c r="J20" s="6"/>
      <c r="K20" s="6"/>
      <c r="L20" s="6"/>
      <c r="M20" s="6"/>
      <c r="N20" s="55" t="s">
        <v>50</v>
      </c>
      <c r="O20" s="55" t="s">
        <v>58</v>
      </c>
      <c r="Q20" s="55" t="s">
        <v>59</v>
      </c>
      <c r="R20" s="53">
        <v>2600000.0</v>
      </c>
      <c r="S20" s="53">
        <v>0.0</v>
      </c>
    </row>
    <row r="21" ht="15.75" customHeight="1">
      <c r="A21" s="6"/>
      <c r="B21" s="52">
        <v>43321.0</v>
      </c>
      <c r="C21" s="55" t="s">
        <v>20</v>
      </c>
      <c r="D21" s="55" t="s">
        <v>39</v>
      </c>
      <c r="E21" s="55" t="s">
        <v>44</v>
      </c>
      <c r="F21" s="55" t="s">
        <v>63</v>
      </c>
      <c r="G21" s="56">
        <v>0.0</v>
      </c>
      <c r="H21" s="53">
        <v>2600000.0</v>
      </c>
      <c r="I21" s="6"/>
      <c r="J21" s="6"/>
      <c r="K21" s="6"/>
      <c r="L21" s="6"/>
      <c r="M21" s="6"/>
      <c r="N21" s="55" t="s">
        <v>53</v>
      </c>
      <c r="O21" s="55" t="s">
        <v>58</v>
      </c>
      <c r="Q21" s="55" t="s">
        <v>59</v>
      </c>
      <c r="R21" s="53">
        <v>0.0</v>
      </c>
      <c r="S21" s="53">
        <v>2600000.0</v>
      </c>
    </row>
    <row r="22" ht="15.75" customHeight="1">
      <c r="A22" s="6"/>
      <c r="B22" s="52">
        <v>43321.0</v>
      </c>
      <c r="C22" s="55" t="s">
        <v>20</v>
      </c>
      <c r="D22" s="55" t="s">
        <v>39</v>
      </c>
      <c r="E22" s="55" t="s">
        <v>44</v>
      </c>
      <c r="F22" s="55" t="s">
        <v>63</v>
      </c>
      <c r="G22" s="53">
        <v>2600000.0</v>
      </c>
      <c r="H22" s="54">
        <v>0.0</v>
      </c>
      <c r="I22" s="6"/>
      <c r="J22" s="6"/>
      <c r="K22" s="6"/>
      <c r="L22" s="6"/>
      <c r="M22" s="6"/>
      <c r="N22" s="55" t="s">
        <v>50</v>
      </c>
      <c r="O22" s="55" t="s">
        <v>58</v>
      </c>
      <c r="Q22" s="55" t="s">
        <v>61</v>
      </c>
      <c r="R22" s="53">
        <v>2600000.0</v>
      </c>
      <c r="S22" s="53">
        <v>0.0</v>
      </c>
    </row>
    <row r="23" ht="15.75" customHeight="1">
      <c r="A23" s="6"/>
      <c r="B23" s="52">
        <v>43321.0</v>
      </c>
      <c r="C23" s="55" t="s">
        <v>20</v>
      </c>
      <c r="D23" s="55" t="s">
        <v>39</v>
      </c>
      <c r="E23" s="55" t="s">
        <v>44</v>
      </c>
      <c r="F23" s="55" t="s">
        <v>62</v>
      </c>
      <c r="G23" s="56">
        <v>0.0</v>
      </c>
      <c r="H23" s="53">
        <v>2600000.0</v>
      </c>
      <c r="I23" s="6"/>
      <c r="J23" s="6"/>
      <c r="K23" s="6"/>
      <c r="L23" s="6"/>
      <c r="M23" s="6"/>
      <c r="N23" s="55" t="s">
        <v>53</v>
      </c>
      <c r="O23" s="55" t="s">
        <v>58</v>
      </c>
      <c r="Q23" s="55" t="s">
        <v>61</v>
      </c>
      <c r="R23" s="53">
        <v>0.0</v>
      </c>
      <c r="S23" s="53">
        <v>2600000.0</v>
      </c>
    </row>
    <row r="24" ht="15.75" customHeight="1">
      <c r="A24" s="6"/>
      <c r="B24" s="52">
        <v>43321.0</v>
      </c>
      <c r="C24" s="55" t="s">
        <v>20</v>
      </c>
      <c r="D24" s="55" t="s">
        <v>18</v>
      </c>
      <c r="E24" s="55" t="s">
        <v>44</v>
      </c>
      <c r="F24" s="55" t="s">
        <v>60</v>
      </c>
      <c r="G24" s="53">
        <v>50010.0</v>
      </c>
      <c r="H24" s="54">
        <v>0.0</v>
      </c>
      <c r="I24" s="6"/>
      <c r="J24" s="6"/>
      <c r="K24" s="6"/>
      <c r="L24" s="6"/>
      <c r="M24" s="6"/>
      <c r="N24" s="55" t="s">
        <v>50</v>
      </c>
      <c r="O24" s="55" t="s">
        <v>58</v>
      </c>
      <c r="Q24" s="55" t="s">
        <v>59</v>
      </c>
      <c r="R24" s="53">
        <v>50010.0</v>
      </c>
      <c r="S24" s="53">
        <v>0.0</v>
      </c>
    </row>
    <row r="25" ht="15.75" customHeight="1">
      <c r="A25" s="6"/>
      <c r="B25" s="52">
        <v>43321.0</v>
      </c>
      <c r="C25" s="55" t="s">
        <v>20</v>
      </c>
      <c r="D25" s="55" t="s">
        <v>18</v>
      </c>
      <c r="E25" s="55" t="s">
        <v>44</v>
      </c>
      <c r="F25" s="55" t="s">
        <v>57</v>
      </c>
      <c r="G25" s="56">
        <v>0.0</v>
      </c>
      <c r="H25" s="53">
        <v>50010.0</v>
      </c>
      <c r="I25" s="6"/>
      <c r="J25" s="6"/>
      <c r="K25" s="6"/>
      <c r="L25" s="6"/>
      <c r="M25" s="6"/>
      <c r="N25" s="55" t="s">
        <v>53</v>
      </c>
      <c r="O25" s="55" t="s">
        <v>58</v>
      </c>
      <c r="Q25" s="55" t="s">
        <v>59</v>
      </c>
      <c r="R25" s="53">
        <v>0.0</v>
      </c>
      <c r="S25" s="53">
        <v>50010.0</v>
      </c>
    </row>
    <row r="26" ht="15.75" customHeight="1">
      <c r="A26" s="6"/>
      <c r="B26" s="52">
        <v>43321.0</v>
      </c>
      <c r="C26" s="55" t="s">
        <v>20</v>
      </c>
      <c r="D26" s="55" t="s">
        <v>18</v>
      </c>
      <c r="E26" s="55" t="s">
        <v>44</v>
      </c>
      <c r="F26" s="55" t="s">
        <v>57</v>
      </c>
      <c r="G26" s="53">
        <v>25010.0</v>
      </c>
      <c r="H26" s="54">
        <v>0.0</v>
      </c>
      <c r="I26" s="6"/>
      <c r="J26" s="6"/>
      <c r="K26" s="6"/>
      <c r="L26" s="6"/>
      <c r="M26" s="6"/>
      <c r="N26" s="55" t="s">
        <v>50</v>
      </c>
      <c r="O26" s="55" t="s">
        <v>58</v>
      </c>
      <c r="Q26" s="55" t="s">
        <v>61</v>
      </c>
      <c r="R26" s="53">
        <v>25010.0</v>
      </c>
      <c r="S26" s="53">
        <v>0.0</v>
      </c>
    </row>
    <row r="27" ht="15.75" customHeight="1">
      <c r="B27" s="52">
        <v>43321.0</v>
      </c>
      <c r="C27" s="55" t="s">
        <v>20</v>
      </c>
      <c r="D27" s="55" t="s">
        <v>18</v>
      </c>
      <c r="E27" s="55" t="s">
        <v>44</v>
      </c>
      <c r="F27" s="55" t="s">
        <v>60</v>
      </c>
      <c r="G27" s="56">
        <v>0.0</v>
      </c>
      <c r="H27" s="53">
        <v>25010.0</v>
      </c>
      <c r="N27" s="55" t="s">
        <v>53</v>
      </c>
      <c r="O27" s="55" t="s">
        <v>58</v>
      </c>
      <c r="Q27" s="55" t="s">
        <v>61</v>
      </c>
      <c r="R27" s="53">
        <v>0.0</v>
      </c>
      <c r="S27" s="53">
        <v>25010.0</v>
      </c>
    </row>
    <row r="28" ht="15.75" customHeight="1">
      <c r="B28" s="52">
        <v>43322.0</v>
      </c>
      <c r="C28" s="55" t="s">
        <v>20</v>
      </c>
      <c r="D28" s="55" t="s">
        <v>39</v>
      </c>
      <c r="E28" s="55" t="s">
        <v>44</v>
      </c>
      <c r="F28" s="55" t="s">
        <v>62</v>
      </c>
      <c r="G28" s="53">
        <v>2600000.0</v>
      </c>
      <c r="H28" s="54">
        <v>0.0</v>
      </c>
      <c r="N28" s="55" t="s">
        <v>50</v>
      </c>
      <c r="O28" s="55" t="s">
        <v>58</v>
      </c>
      <c r="Q28" s="55" t="s">
        <v>59</v>
      </c>
      <c r="R28" s="53">
        <v>2600000.0</v>
      </c>
      <c r="S28" s="53">
        <v>0.0</v>
      </c>
    </row>
    <row r="29" ht="15.75" customHeight="1">
      <c r="B29" s="52">
        <v>43322.0</v>
      </c>
      <c r="C29" s="55" t="s">
        <v>20</v>
      </c>
      <c r="D29" s="55" t="s">
        <v>39</v>
      </c>
      <c r="E29" s="55" t="s">
        <v>44</v>
      </c>
      <c r="F29" s="55" t="s">
        <v>63</v>
      </c>
      <c r="G29" s="56">
        <v>0.0</v>
      </c>
      <c r="H29" s="53">
        <v>2600000.0</v>
      </c>
      <c r="N29" s="55" t="s">
        <v>53</v>
      </c>
      <c r="O29" s="55" t="s">
        <v>58</v>
      </c>
      <c r="Q29" s="55" t="s">
        <v>59</v>
      </c>
      <c r="R29" s="53">
        <v>0.0</v>
      </c>
      <c r="S29" s="53">
        <v>2600000.0</v>
      </c>
    </row>
    <row r="30" ht="15.75" customHeight="1">
      <c r="B30" s="52">
        <v>43322.0</v>
      </c>
      <c r="C30" s="55" t="s">
        <v>20</v>
      </c>
      <c r="D30" s="55" t="s">
        <v>39</v>
      </c>
      <c r="E30" s="55" t="s">
        <v>44</v>
      </c>
      <c r="F30" s="55" t="s">
        <v>63</v>
      </c>
      <c r="G30" s="53">
        <v>2600000.0</v>
      </c>
      <c r="H30" s="54">
        <v>0.0</v>
      </c>
      <c r="N30" s="55" t="s">
        <v>50</v>
      </c>
      <c r="O30" s="55" t="s">
        <v>58</v>
      </c>
      <c r="Q30" s="55" t="s">
        <v>61</v>
      </c>
      <c r="R30" s="53">
        <v>2600000.0</v>
      </c>
      <c r="S30" s="53">
        <v>0.0</v>
      </c>
    </row>
    <row r="31" ht="15.75" customHeight="1">
      <c r="B31" s="52">
        <v>43322.0</v>
      </c>
      <c r="C31" s="55" t="s">
        <v>20</v>
      </c>
      <c r="D31" s="55" t="s">
        <v>39</v>
      </c>
      <c r="E31" s="55" t="s">
        <v>44</v>
      </c>
      <c r="F31" s="55" t="s">
        <v>62</v>
      </c>
      <c r="G31" s="56">
        <v>0.0</v>
      </c>
      <c r="H31" s="53">
        <v>2600000.0</v>
      </c>
      <c r="N31" s="55" t="s">
        <v>53</v>
      </c>
      <c r="O31" s="55" t="s">
        <v>58</v>
      </c>
      <c r="Q31" s="55" t="s">
        <v>61</v>
      </c>
      <c r="R31" s="53">
        <v>0.0</v>
      </c>
      <c r="S31" s="53">
        <v>2600000.0</v>
      </c>
    </row>
    <row r="32" ht="15.75" customHeight="1">
      <c r="B32" s="52">
        <v>43322.0</v>
      </c>
      <c r="C32" s="55" t="s">
        <v>20</v>
      </c>
      <c r="D32" s="55" t="s">
        <v>18</v>
      </c>
      <c r="E32" s="55" t="s">
        <v>44</v>
      </c>
      <c r="F32" s="55" t="s">
        <v>60</v>
      </c>
      <c r="G32" s="53">
        <v>75010.0</v>
      </c>
      <c r="H32" s="54">
        <v>0.0</v>
      </c>
      <c r="N32" s="55" t="s">
        <v>50</v>
      </c>
      <c r="O32" s="55" t="s">
        <v>58</v>
      </c>
      <c r="Q32" s="55" t="s">
        <v>59</v>
      </c>
      <c r="R32" s="53">
        <v>75010.0</v>
      </c>
      <c r="S32" s="53">
        <v>0.0</v>
      </c>
    </row>
    <row r="33" ht="15.75" customHeight="1">
      <c r="B33" s="52">
        <v>43322.0</v>
      </c>
      <c r="C33" s="55" t="s">
        <v>20</v>
      </c>
      <c r="D33" s="55" t="s">
        <v>18</v>
      </c>
      <c r="E33" s="55" t="s">
        <v>44</v>
      </c>
      <c r="F33" s="55" t="s">
        <v>57</v>
      </c>
      <c r="G33" s="56">
        <v>0.0</v>
      </c>
      <c r="H33" s="53">
        <v>75010.0</v>
      </c>
      <c r="N33" s="55" t="s">
        <v>53</v>
      </c>
      <c r="O33" s="55" t="s">
        <v>58</v>
      </c>
      <c r="Q33" s="55" t="s">
        <v>59</v>
      </c>
      <c r="R33" s="53">
        <v>0.0</v>
      </c>
      <c r="S33" s="53">
        <v>75010.0</v>
      </c>
    </row>
    <row r="34" ht="15.75" customHeight="1">
      <c r="B34" s="52">
        <v>43322.0</v>
      </c>
      <c r="C34" s="55" t="s">
        <v>20</v>
      </c>
      <c r="D34" s="55" t="s">
        <v>18</v>
      </c>
      <c r="E34" s="55" t="s">
        <v>44</v>
      </c>
      <c r="F34" s="55" t="s">
        <v>57</v>
      </c>
      <c r="G34" s="53">
        <v>50010.0</v>
      </c>
      <c r="H34" s="54">
        <v>0.0</v>
      </c>
      <c r="N34" s="55" t="s">
        <v>50</v>
      </c>
      <c r="O34" s="55" t="s">
        <v>58</v>
      </c>
      <c r="Q34" s="55" t="s">
        <v>61</v>
      </c>
      <c r="R34" s="53">
        <v>50010.0</v>
      </c>
      <c r="S34" s="53">
        <v>0.0</v>
      </c>
    </row>
    <row r="35" ht="15.75" customHeight="1">
      <c r="B35" s="52">
        <v>43322.0</v>
      </c>
      <c r="C35" s="55" t="s">
        <v>20</v>
      </c>
      <c r="D35" s="55" t="s">
        <v>18</v>
      </c>
      <c r="E35" s="55" t="s">
        <v>44</v>
      </c>
      <c r="F35" s="55" t="s">
        <v>60</v>
      </c>
      <c r="G35" s="56">
        <v>0.0</v>
      </c>
      <c r="H35" s="53">
        <v>50010.0</v>
      </c>
      <c r="N35" s="55" t="s">
        <v>53</v>
      </c>
      <c r="O35" s="55" t="s">
        <v>58</v>
      </c>
      <c r="Q35" s="55" t="s">
        <v>61</v>
      </c>
      <c r="R35" s="53">
        <v>0.0</v>
      </c>
      <c r="S35" s="53">
        <v>50010.0</v>
      </c>
    </row>
    <row r="36" ht="15.75" customHeight="1">
      <c r="B36" s="52">
        <v>43323.0</v>
      </c>
      <c r="C36" s="55" t="s">
        <v>20</v>
      </c>
      <c r="D36" s="55" t="s">
        <v>39</v>
      </c>
      <c r="E36" s="55" t="s">
        <v>44</v>
      </c>
      <c r="F36" s="55" t="s">
        <v>62</v>
      </c>
      <c r="G36" s="53">
        <v>2600000.0</v>
      </c>
      <c r="H36" s="54">
        <v>0.0</v>
      </c>
      <c r="N36" s="55" t="s">
        <v>50</v>
      </c>
      <c r="O36" s="55" t="s">
        <v>58</v>
      </c>
      <c r="Q36" s="55" t="s">
        <v>59</v>
      </c>
      <c r="R36" s="53">
        <v>2600000.0</v>
      </c>
      <c r="S36" s="53">
        <v>0.0</v>
      </c>
    </row>
    <row r="37" ht="15.75" customHeight="1">
      <c r="B37" s="52">
        <v>43323.0</v>
      </c>
      <c r="C37" s="55" t="s">
        <v>20</v>
      </c>
      <c r="D37" s="55" t="s">
        <v>39</v>
      </c>
      <c r="E37" s="55" t="s">
        <v>44</v>
      </c>
      <c r="F37" s="55" t="s">
        <v>63</v>
      </c>
      <c r="G37" s="56">
        <v>0.0</v>
      </c>
      <c r="H37" s="53">
        <v>2600000.0</v>
      </c>
      <c r="N37" s="55" t="s">
        <v>53</v>
      </c>
      <c r="O37" s="55" t="s">
        <v>58</v>
      </c>
      <c r="Q37" s="55" t="s">
        <v>59</v>
      </c>
      <c r="R37" s="53">
        <v>0.0</v>
      </c>
      <c r="S37" s="53">
        <v>2600000.0</v>
      </c>
    </row>
    <row r="38" ht="15.75" customHeight="1">
      <c r="B38" s="52">
        <v>43323.0</v>
      </c>
      <c r="C38" s="55" t="s">
        <v>20</v>
      </c>
      <c r="D38" s="55" t="s">
        <v>39</v>
      </c>
      <c r="E38" s="55" t="s">
        <v>44</v>
      </c>
      <c r="F38" s="55" t="s">
        <v>63</v>
      </c>
      <c r="G38" s="53">
        <v>2600000.0</v>
      </c>
      <c r="H38" s="54">
        <v>0.0</v>
      </c>
      <c r="N38" s="55" t="s">
        <v>50</v>
      </c>
      <c r="O38" s="55" t="s">
        <v>58</v>
      </c>
      <c r="Q38" s="55" t="s">
        <v>61</v>
      </c>
      <c r="R38" s="53">
        <v>2600000.0</v>
      </c>
      <c r="S38" s="53">
        <v>0.0</v>
      </c>
    </row>
    <row r="39" ht="15.75" customHeight="1">
      <c r="B39" s="52">
        <v>43323.0</v>
      </c>
      <c r="C39" s="55" t="s">
        <v>20</v>
      </c>
      <c r="D39" s="55" t="s">
        <v>39</v>
      </c>
      <c r="E39" s="55" t="s">
        <v>44</v>
      </c>
      <c r="F39" s="55" t="s">
        <v>62</v>
      </c>
      <c r="G39" s="56">
        <v>0.0</v>
      </c>
      <c r="H39" s="53">
        <v>2600000.0</v>
      </c>
      <c r="N39" s="55" t="s">
        <v>53</v>
      </c>
      <c r="O39" s="55" t="s">
        <v>58</v>
      </c>
      <c r="Q39" s="55" t="s">
        <v>61</v>
      </c>
      <c r="R39" s="53">
        <v>0.0</v>
      </c>
      <c r="S39" s="53">
        <v>2600000.0</v>
      </c>
    </row>
    <row r="40" ht="15.75" customHeight="1">
      <c r="B40" s="52">
        <v>43323.0</v>
      </c>
      <c r="C40" s="55" t="s">
        <v>20</v>
      </c>
      <c r="D40" s="55" t="s">
        <v>18</v>
      </c>
      <c r="E40" s="55" t="s">
        <v>44</v>
      </c>
      <c r="F40" s="55" t="s">
        <v>60</v>
      </c>
      <c r="G40" s="53">
        <v>75010.0</v>
      </c>
      <c r="H40" s="54">
        <v>0.0</v>
      </c>
      <c r="N40" s="55" t="s">
        <v>50</v>
      </c>
      <c r="O40" s="55" t="s">
        <v>58</v>
      </c>
      <c r="Q40" s="55" t="s">
        <v>59</v>
      </c>
      <c r="R40" s="53">
        <v>75010.0</v>
      </c>
      <c r="S40" s="53">
        <v>0.0</v>
      </c>
    </row>
    <row r="41" ht="15.75" customHeight="1">
      <c r="B41" s="52">
        <v>43323.0</v>
      </c>
      <c r="C41" s="55" t="s">
        <v>20</v>
      </c>
      <c r="D41" s="55" t="s">
        <v>18</v>
      </c>
      <c r="E41" s="55" t="s">
        <v>44</v>
      </c>
      <c r="F41" s="55" t="s">
        <v>57</v>
      </c>
      <c r="G41" s="56">
        <v>0.0</v>
      </c>
      <c r="H41" s="53">
        <v>75010.0</v>
      </c>
      <c r="N41" s="55" t="s">
        <v>53</v>
      </c>
      <c r="O41" s="55" t="s">
        <v>58</v>
      </c>
      <c r="Q41" s="55" t="s">
        <v>59</v>
      </c>
      <c r="R41" s="53">
        <v>0.0</v>
      </c>
      <c r="S41" s="53">
        <v>75010.0</v>
      </c>
    </row>
    <row r="42" ht="15.75" customHeight="1">
      <c r="B42" s="52">
        <v>43323.0</v>
      </c>
      <c r="C42" s="55" t="s">
        <v>20</v>
      </c>
      <c r="D42" s="55" t="s">
        <v>18</v>
      </c>
      <c r="E42" s="55" t="s">
        <v>44</v>
      </c>
      <c r="F42" s="55" t="s">
        <v>57</v>
      </c>
      <c r="G42" s="53">
        <v>75010.0</v>
      </c>
      <c r="H42" s="54">
        <v>0.0</v>
      </c>
      <c r="N42" s="55" t="s">
        <v>50</v>
      </c>
      <c r="O42" s="55" t="s">
        <v>58</v>
      </c>
      <c r="Q42" s="55" t="s">
        <v>61</v>
      </c>
      <c r="R42" s="53">
        <v>75010.0</v>
      </c>
      <c r="S42" s="53">
        <v>0.0</v>
      </c>
    </row>
    <row r="43" ht="15.75" customHeight="1">
      <c r="B43" s="52">
        <v>43323.0</v>
      </c>
      <c r="C43" s="55" t="s">
        <v>20</v>
      </c>
      <c r="D43" s="55" t="s">
        <v>18</v>
      </c>
      <c r="E43" s="55" t="s">
        <v>44</v>
      </c>
      <c r="F43" s="55" t="s">
        <v>60</v>
      </c>
      <c r="G43" s="56">
        <v>0.0</v>
      </c>
      <c r="H43" s="53">
        <v>75010.0</v>
      </c>
      <c r="N43" s="55" t="s">
        <v>53</v>
      </c>
      <c r="O43" s="55" t="s">
        <v>58</v>
      </c>
      <c r="Q43" s="55" t="s">
        <v>61</v>
      </c>
      <c r="R43" s="53">
        <v>0.0</v>
      </c>
      <c r="S43" s="53">
        <v>75010.0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27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IFERROR(__xludf.DUMMYFUNCTION("""COMPUTED_VALUE"""),"Original Side")</f>
        <v>Original Side</v>
      </c>
      <c r="D5" s="26" t="str">
        <f>IFERROR(__xludf.DUMMYFUNCTION("""COMPUTED_VALUE"""),"Symbol")</f>
        <v>Symbol</v>
      </c>
      <c r="E5" s="26" t="str">
        <f>IFERROR(__xludf.DUMMYFUNCTION("""COMPUTED_VALUE"""),"Settlement Qty")</f>
        <v>Settlement Qty</v>
      </c>
      <c r="F5" s="27" t="str">
        <f>IFERROR(__xludf.DUMMYFUNCTION("""COMPUTED_VALUE"""),"Quantity")</f>
        <v>Quantity</v>
      </c>
      <c r="G5" s="26" t="str">
        <f>IFERROR(__xludf.DUMMYFUNCTION("""COMPUTED_VALUE"""),"TotalCommission&amp;Fees")</f>
        <v>TotalCommission&amp;Fees</v>
      </c>
      <c r="H5" s="26" t="str">
        <f>IFERROR(__xludf.DUMMYFUNCTION("""COMPUTED_VALUE"""),"Net Notional")</f>
        <v>Net Notional</v>
      </c>
      <c r="I5" s="26" t="str">
        <f>IFERROR(__xludf.DUMMYFUNCTION("""COMPUTED_VALUE"""),"Average Price")</f>
        <v>Average Price</v>
      </c>
      <c r="J5" s="26" t="str">
        <f>IFERROR(__xludf.DUMMYFUNCTION("""COMPUTED_VALUE"""),"UnderlyingName")</f>
        <v>UnderlyingName</v>
      </c>
      <c r="K5" s="26" t="str">
        <f>IFERROR(__xludf.DUMMYFUNCTION("""COMPUTED_VALUE"""),"UnitCost")</f>
        <v>UnitCost</v>
      </c>
      <c r="L5" s="26" t="str">
        <f>IFERROR(__xludf.DUMMYFUNCTION("""COMPUTED_VALUE"""),"PositionTag")</f>
        <v>PositionTag</v>
      </c>
      <c r="M5" s="26" t="str">
        <f>IFERROR(__xludf.DUMMYFUNCTION("""COMPUTED_VALUE"""),"Strategy")</f>
        <v>Strategy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10">
        <v>125.0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EditTradeUnexpiredUnsettled1!$4:$4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66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32"/>
      <c r="F6" s="6"/>
      <c r="G6" s="6"/>
      <c r="H6" s="6"/>
      <c r="I6" s="6"/>
      <c r="J6" s="6"/>
      <c r="K6" s="6"/>
      <c r="L6" s="6"/>
      <c r="M6" s="6"/>
      <c r="N6" s="6"/>
      <c r="O6" s="6"/>
      <c r="BP6" s="58">
        <v>43321.0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32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4" t="s">
        <v>20</v>
      </c>
      <c r="C6" s="35"/>
      <c r="D6" s="44"/>
      <c r="E6" s="35"/>
      <c r="F6" s="35"/>
      <c r="G6" s="35"/>
      <c r="H6" s="35"/>
      <c r="I6" s="35"/>
      <c r="J6" s="35"/>
      <c r="K6" s="35"/>
      <c r="L6" s="33">
        <v>15.0</v>
      </c>
      <c r="M6" s="35"/>
      <c r="N6" s="35"/>
      <c r="O6" s="35"/>
      <c r="P6" s="35"/>
      <c r="Q6" s="35"/>
      <c r="R6" s="35"/>
      <c r="S6" s="35" t="s">
        <v>35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8">
        <v>749980.0</v>
      </c>
      <c r="AV6" s="37"/>
      <c r="AW6" s="37"/>
      <c r="AX6" s="38">
        <v>0.0</v>
      </c>
      <c r="AY6" s="37"/>
      <c r="AZ6" s="37"/>
      <c r="BA6" s="37"/>
      <c r="BB6" s="37"/>
      <c r="BC6" s="37"/>
      <c r="BD6" s="37"/>
      <c r="BE6" s="37"/>
      <c r="BF6" s="38">
        <v>750000.0</v>
      </c>
      <c r="BG6" s="37"/>
      <c r="BH6" s="37"/>
      <c r="BI6" s="37"/>
      <c r="BJ6" s="38">
        <v>500.0</v>
      </c>
      <c r="BK6" s="37"/>
      <c r="BL6" s="37"/>
      <c r="BM6" s="37"/>
      <c r="BN6" s="37"/>
      <c r="BO6" s="37" t="s">
        <v>19</v>
      </c>
      <c r="BP6" s="37"/>
      <c r="BQ6" s="37"/>
      <c r="BR6" s="37"/>
      <c r="BS6" s="37"/>
      <c r="BT6" s="59" t="s">
        <v>18</v>
      </c>
      <c r="BU6" s="37"/>
      <c r="BV6" s="37"/>
      <c r="BW6" s="38">
        <v>20.0</v>
      </c>
      <c r="BX6" s="37"/>
      <c r="BY6" s="37"/>
      <c r="BZ6" s="37"/>
      <c r="CA6" s="37"/>
      <c r="CB6" s="37"/>
      <c r="CC6" s="37"/>
      <c r="CD6" s="37"/>
      <c r="CE6" s="60">
        <v>43318.0</v>
      </c>
      <c r="CF6" s="37"/>
      <c r="CG6" s="37"/>
      <c r="CH6" s="37"/>
      <c r="CI6" s="46" t="s">
        <v>36</v>
      </c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/>
      <c r="D7" s="37"/>
      <c r="E7" s="37"/>
      <c r="F7" s="37"/>
      <c r="G7" s="37"/>
      <c r="H7" s="37"/>
      <c r="I7" s="37"/>
      <c r="J7" s="37"/>
      <c r="K7" s="37"/>
      <c r="L7" s="41">
        <v>104.0</v>
      </c>
      <c r="M7" s="37"/>
      <c r="N7" s="37"/>
      <c r="O7" s="37"/>
      <c r="P7" s="37"/>
      <c r="Q7" s="37"/>
      <c r="R7" s="37"/>
      <c r="S7" s="37" t="s">
        <v>37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8">
        <v>2600000.0</v>
      </c>
      <c r="AV7" s="37"/>
      <c r="AW7" s="37"/>
      <c r="AX7" s="38">
        <v>0.0</v>
      </c>
      <c r="AY7" s="37"/>
      <c r="AZ7" s="37"/>
      <c r="BA7" s="37"/>
      <c r="BB7" s="37"/>
      <c r="BC7" s="37"/>
      <c r="BD7" s="37"/>
      <c r="BE7" s="37"/>
      <c r="BF7" s="38">
        <v>2600000.0</v>
      </c>
      <c r="BG7" s="37"/>
      <c r="BH7" s="37"/>
      <c r="BI7" s="37"/>
      <c r="BJ7" s="38">
        <v>25000.0</v>
      </c>
      <c r="BK7" s="37"/>
      <c r="BL7" s="37"/>
      <c r="BM7" s="37"/>
      <c r="BN7" s="37"/>
      <c r="BO7" s="37" t="s">
        <v>38</v>
      </c>
      <c r="BP7" s="37"/>
      <c r="BQ7" s="37"/>
      <c r="BR7" s="37"/>
      <c r="BS7" s="37"/>
      <c r="BT7" s="37" t="s">
        <v>39</v>
      </c>
      <c r="BU7" s="37"/>
      <c r="BV7" s="37"/>
      <c r="BW7" s="38">
        <v>0.0</v>
      </c>
      <c r="BX7" s="37"/>
      <c r="BY7" s="37"/>
      <c r="BZ7" s="37"/>
      <c r="CA7" s="37"/>
      <c r="CB7" s="37"/>
      <c r="CC7" s="37"/>
      <c r="CD7" s="37"/>
      <c r="CE7" s="60">
        <v>43320.0</v>
      </c>
      <c r="CF7" s="37"/>
      <c r="CG7" s="37"/>
      <c r="CH7" s="37"/>
      <c r="CI7" s="46" t="s">
        <v>40</v>
      </c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20</v>
      </c>
      <c r="C8" s="37"/>
      <c r="D8" s="37"/>
      <c r="E8" s="37"/>
      <c r="F8" s="37"/>
      <c r="G8" s="37"/>
      <c r="H8" s="37"/>
      <c r="I8" s="37"/>
      <c r="J8" s="37"/>
      <c r="K8" s="37"/>
      <c r="L8" s="41">
        <v>0.0</v>
      </c>
      <c r="M8" s="37"/>
      <c r="N8" s="37"/>
      <c r="O8" s="37"/>
      <c r="P8" s="37"/>
      <c r="Q8" s="37"/>
      <c r="R8" s="37"/>
      <c r="S8" s="37" t="s">
        <v>41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8">
        <v>0.0</v>
      </c>
      <c r="AV8" s="37"/>
      <c r="AW8" s="37"/>
      <c r="AX8" s="38">
        <v>0.0</v>
      </c>
      <c r="AY8" s="37"/>
      <c r="AZ8" s="37"/>
      <c r="BA8" s="37"/>
      <c r="BB8" s="37"/>
      <c r="BC8" s="37"/>
      <c r="BD8" s="37"/>
      <c r="BE8" s="37"/>
      <c r="BF8" s="38">
        <v>0.0</v>
      </c>
      <c r="BG8" s="37"/>
      <c r="BH8" s="37"/>
      <c r="BI8" s="37"/>
      <c r="BJ8" s="38">
        <v>250.0</v>
      </c>
      <c r="BK8" s="37"/>
      <c r="BL8" s="37"/>
      <c r="BM8" s="37"/>
      <c r="BN8" s="37"/>
      <c r="BO8" s="37" t="s">
        <v>42</v>
      </c>
      <c r="BP8" s="37"/>
      <c r="BQ8" s="37"/>
      <c r="BR8" s="37"/>
      <c r="BS8" s="37"/>
      <c r="BT8" s="59" t="s">
        <v>18</v>
      </c>
      <c r="BU8" s="37"/>
      <c r="BV8" s="37"/>
      <c r="BW8" s="38">
        <v>0.0</v>
      </c>
      <c r="BX8" s="37"/>
      <c r="BY8" s="37"/>
      <c r="BZ8" s="37"/>
      <c r="CA8" s="37"/>
      <c r="CB8" s="37"/>
      <c r="CC8" s="37"/>
      <c r="CD8" s="37"/>
      <c r="CE8" s="60">
        <v>43320.0</v>
      </c>
      <c r="CF8" s="37"/>
      <c r="CG8" s="37"/>
      <c r="CH8" s="37"/>
      <c r="CI8" s="46" t="s">
        <v>40</v>
      </c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6"/>
      <c r="B9" s="37" t="s">
        <v>20</v>
      </c>
      <c r="C9" s="6"/>
      <c r="D9" s="6"/>
      <c r="E9" s="6"/>
      <c r="F9" s="6"/>
      <c r="G9" s="6"/>
      <c r="H9" s="6"/>
      <c r="I9" s="6"/>
      <c r="J9" s="6"/>
      <c r="K9" s="6"/>
      <c r="L9" s="10">
        <v>104.0</v>
      </c>
      <c r="M9" s="6"/>
      <c r="N9" s="6"/>
      <c r="O9" s="6"/>
      <c r="S9" s="37" t="s">
        <v>37</v>
      </c>
      <c r="AU9" s="39">
        <v>1487495.0</v>
      </c>
      <c r="AX9" s="39">
        <v>-187495.0</v>
      </c>
      <c r="BF9" s="39">
        <v>1300000.0</v>
      </c>
      <c r="BJ9" s="39">
        <v>12500.0</v>
      </c>
      <c r="BO9" s="37" t="s">
        <v>38</v>
      </c>
      <c r="BT9" s="37" t="s">
        <v>39</v>
      </c>
      <c r="BW9" s="39">
        <v>-187495.0</v>
      </c>
      <c r="CE9" s="60">
        <v>43321.0</v>
      </c>
      <c r="CI9" s="46" t="s">
        <v>40</v>
      </c>
    </row>
    <row r="10" ht="15.75" customHeight="1">
      <c r="A10" s="6"/>
      <c r="B10" s="37" t="s">
        <v>20</v>
      </c>
      <c r="C10" s="6"/>
      <c r="D10" s="6"/>
      <c r="E10" s="6"/>
      <c r="F10" s="6"/>
      <c r="G10" s="6"/>
      <c r="H10" s="6"/>
      <c r="I10" s="6"/>
      <c r="J10" s="6"/>
      <c r="K10" s="6"/>
      <c r="L10" s="10">
        <v>0.0</v>
      </c>
      <c r="M10" s="6"/>
      <c r="N10" s="6"/>
      <c r="O10" s="6"/>
      <c r="S10" s="37" t="s">
        <v>41</v>
      </c>
      <c r="AU10" s="39">
        <v>187495.0</v>
      </c>
      <c r="AX10" s="39">
        <v>187495.0</v>
      </c>
      <c r="BF10" s="39">
        <v>0.0</v>
      </c>
      <c r="BJ10" s="39">
        <v>125.0</v>
      </c>
      <c r="BO10" s="37" t="s">
        <v>42</v>
      </c>
      <c r="BT10" s="59" t="s">
        <v>18</v>
      </c>
      <c r="BW10" s="39">
        <v>187495.0</v>
      </c>
      <c r="CE10" s="60">
        <v>43321.0</v>
      </c>
      <c r="CI10" s="46" t="s">
        <v>40</v>
      </c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50.14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56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0" t="str">
        <f>IFERROR(__xludf.DUMMYFUNCTION("""COMPUTED_VALUE"""),"Date")</f>
        <v>Date</v>
      </c>
      <c r="C5" s="50" t="str">
        <f>IFERROR(__xludf.DUMMYFUNCTION("""COMPUTED_VALUE"""),"Account")</f>
        <v>Account</v>
      </c>
      <c r="D5" s="50" t="str">
        <f>IFERROR(__xludf.DUMMYFUNCTION("""COMPUTED_VALUE"""),"Symbol")</f>
        <v>Symbol</v>
      </c>
      <c r="E5" s="50" t="str">
        <f>IFERROR(__xludf.DUMMYFUNCTION("""COMPUTED_VALUE"""),"Currency")</f>
        <v>Currency</v>
      </c>
      <c r="F5" s="51" t="str">
        <f>IFERROR(__xludf.DUMMYFUNCTION("""COMPUTED_VALUE"""),"Cash Sub-Account")</f>
        <v>Cash Sub-Account</v>
      </c>
      <c r="G5" s="50" t="str">
        <f>IFERROR(__xludf.DUMMYFUNCTION("""COMPUTED_VALUE"""),"DR")</f>
        <v>DR</v>
      </c>
      <c r="H5" s="50" t="str">
        <f>IFERROR(__xludf.DUMMYFUNCTION("""COMPUTED_VALUE"""),"CR")</f>
        <v>CR</v>
      </c>
      <c r="I5" s="50" t="str">
        <f>IFERROR(__xludf.DUMMYFUNCTION("""COMPUTED_VALUE"""),"Modify Date")</f>
        <v>Modify Date</v>
      </c>
      <c r="J5" s="50" t="str">
        <f>IFERROR(__xludf.DUMMYFUNCTION("""COMPUTED_VALUE"""),"Entry Date")</f>
        <v>Entry Date</v>
      </c>
      <c r="K5" s="50" t="str">
        <f>IFERROR(__xludf.DUMMYFUNCTION("""COMPUTED_VALUE"""),"User")</f>
        <v>User</v>
      </c>
      <c r="L5" s="50" t="str">
        <f>IFERROR(__xludf.DUMMYFUNCTION("""COMPUTED_VALUE"""),"Fx Rate")</f>
        <v>Fx Rate</v>
      </c>
      <c r="M5" s="50" t="str">
        <f>IFERROR(__xludf.DUMMYFUNCTION("""COMPUTED_VALUE"""),"FX Conversion Method Operator")</f>
        <v>FX Conversion Method Operator</v>
      </c>
      <c r="N5" s="50" t="str">
        <f>IFERROR(__xludf.DUMMYFUNCTION("""COMPUTED_VALUE"""),"Account Side")</f>
        <v>Account Side</v>
      </c>
      <c r="O5" s="50" t="str">
        <f>IFERROR(__xludf.DUMMYFUNCTION("""COMPUTED_VALUE"""),"TransactionSource")</f>
        <v>TransactionSource</v>
      </c>
      <c r="P5" s="50" t="str">
        <f>IFERROR(__xludf.DUMMYFUNCTION("""COMPUTED_VALUE"""),"Base Currency")</f>
        <v>Base Currency</v>
      </c>
      <c r="Q5" s="50" t="str">
        <f>IFERROR(__xludf.DUMMYFUNCTION("""COMPUTED_VALUE"""),"Description")</f>
        <v>Description</v>
      </c>
      <c r="R5" s="50" t="str">
        <f>IFERROR(__xludf.DUMMYFUNCTION("""COMPUTED_VALUE"""),"DR (Base)")</f>
        <v>DR (Base)</v>
      </c>
      <c r="S5" s="50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2">
        <v>43318.0</v>
      </c>
      <c r="C6" s="55" t="s">
        <v>20</v>
      </c>
      <c r="D6" s="55" t="s">
        <v>18</v>
      </c>
      <c r="E6" s="55" t="s">
        <v>44</v>
      </c>
      <c r="F6" s="55" t="s">
        <v>57</v>
      </c>
      <c r="G6" s="53">
        <v>49980.0</v>
      </c>
      <c r="H6" s="54">
        <v>0.0</v>
      </c>
      <c r="J6" s="6"/>
      <c r="K6" s="6"/>
      <c r="L6" s="6"/>
      <c r="M6" s="6"/>
      <c r="N6" s="55" t="s">
        <v>50</v>
      </c>
      <c r="O6" s="55" t="s">
        <v>58</v>
      </c>
      <c r="Q6" s="55" t="s">
        <v>59</v>
      </c>
      <c r="R6" s="53">
        <v>49980.0</v>
      </c>
      <c r="S6" s="53">
        <v>0.0</v>
      </c>
    </row>
    <row r="7" ht="15.75" customHeight="1">
      <c r="A7" s="6"/>
      <c r="B7" s="52">
        <v>43318.0</v>
      </c>
      <c r="C7" s="55" t="s">
        <v>20</v>
      </c>
      <c r="D7" s="55" t="s">
        <v>18</v>
      </c>
      <c r="E7" s="55" t="s">
        <v>44</v>
      </c>
      <c r="F7" s="55" t="s">
        <v>60</v>
      </c>
      <c r="G7" s="56">
        <v>0.0</v>
      </c>
      <c r="H7" s="53">
        <v>49980.0</v>
      </c>
      <c r="J7" s="6"/>
      <c r="K7" s="6"/>
      <c r="L7" s="6"/>
      <c r="M7" s="6"/>
      <c r="N7" s="55" t="s">
        <v>53</v>
      </c>
      <c r="O7" s="55" t="s">
        <v>58</v>
      </c>
      <c r="Q7" s="55" t="s">
        <v>59</v>
      </c>
      <c r="R7" s="53">
        <v>0.0</v>
      </c>
      <c r="S7" s="53">
        <v>49980.0</v>
      </c>
    </row>
    <row r="8" ht="15.75" customHeight="1">
      <c r="A8" s="6"/>
      <c r="B8" s="52">
        <v>43319.0</v>
      </c>
      <c r="C8" s="55" t="s">
        <v>20</v>
      </c>
      <c r="D8" s="55" t="s">
        <v>18</v>
      </c>
      <c r="E8" s="55" t="s">
        <v>44</v>
      </c>
      <c r="F8" s="55" t="s">
        <v>57</v>
      </c>
      <c r="G8" s="53">
        <v>99980.0</v>
      </c>
      <c r="H8" s="54">
        <v>0.0</v>
      </c>
      <c r="J8" s="6"/>
      <c r="K8" s="6"/>
      <c r="L8" s="6"/>
      <c r="M8" s="6"/>
      <c r="N8" s="55" t="s">
        <v>50</v>
      </c>
      <c r="O8" s="55" t="s">
        <v>58</v>
      </c>
      <c r="Q8" s="55" t="s">
        <v>59</v>
      </c>
      <c r="R8" s="53">
        <v>99980.0</v>
      </c>
      <c r="S8" s="53">
        <v>0.0</v>
      </c>
    </row>
    <row r="9" ht="15.75" customHeight="1">
      <c r="A9" s="6"/>
      <c r="B9" s="52">
        <v>43319.0</v>
      </c>
      <c r="C9" s="55" t="s">
        <v>20</v>
      </c>
      <c r="D9" s="55" t="s">
        <v>18</v>
      </c>
      <c r="E9" s="55" t="s">
        <v>44</v>
      </c>
      <c r="F9" s="55" t="s">
        <v>60</v>
      </c>
      <c r="G9" s="56">
        <v>0.0</v>
      </c>
      <c r="H9" s="53">
        <v>99980.0</v>
      </c>
      <c r="J9" s="6"/>
      <c r="K9" s="6"/>
      <c r="L9" s="6"/>
      <c r="M9" s="6"/>
      <c r="N9" s="55" t="s">
        <v>53</v>
      </c>
      <c r="O9" s="55" t="s">
        <v>58</v>
      </c>
      <c r="Q9" s="55" t="s">
        <v>59</v>
      </c>
      <c r="R9" s="53">
        <v>0.0</v>
      </c>
      <c r="S9" s="53">
        <v>99980.0</v>
      </c>
    </row>
    <row r="10" ht="15.75" customHeight="1">
      <c r="A10" s="6"/>
      <c r="B10" s="52">
        <v>43319.0</v>
      </c>
      <c r="C10" s="55" t="s">
        <v>20</v>
      </c>
      <c r="D10" s="55" t="s">
        <v>18</v>
      </c>
      <c r="E10" s="55" t="s">
        <v>44</v>
      </c>
      <c r="F10" s="55" t="s">
        <v>60</v>
      </c>
      <c r="G10" s="53">
        <v>49980.0</v>
      </c>
      <c r="H10" s="54">
        <v>0.0</v>
      </c>
      <c r="J10" s="6"/>
      <c r="K10" s="6"/>
      <c r="L10" s="6"/>
      <c r="M10" s="6"/>
      <c r="N10" s="55" t="s">
        <v>50</v>
      </c>
      <c r="O10" s="55" t="s">
        <v>58</v>
      </c>
      <c r="Q10" s="55" t="s">
        <v>61</v>
      </c>
      <c r="R10" s="53">
        <v>49980.0</v>
      </c>
      <c r="S10" s="53">
        <v>0.0</v>
      </c>
    </row>
    <row r="11" ht="15.75" customHeight="1">
      <c r="A11" s="6"/>
      <c r="B11" s="52">
        <v>43319.0</v>
      </c>
      <c r="C11" s="55" t="s">
        <v>20</v>
      </c>
      <c r="D11" s="55" t="s">
        <v>18</v>
      </c>
      <c r="E11" s="55" t="s">
        <v>44</v>
      </c>
      <c r="F11" s="55" t="s">
        <v>57</v>
      </c>
      <c r="G11" s="56">
        <v>0.0</v>
      </c>
      <c r="H11" s="53">
        <v>49980.0</v>
      </c>
      <c r="J11" s="6"/>
      <c r="K11" s="6"/>
      <c r="L11" s="6"/>
      <c r="M11" s="6"/>
      <c r="N11" s="55" t="s">
        <v>53</v>
      </c>
      <c r="O11" s="55" t="s">
        <v>58</v>
      </c>
      <c r="Q11" s="55" t="s">
        <v>61</v>
      </c>
      <c r="R11" s="53">
        <v>0.0</v>
      </c>
      <c r="S11" s="53">
        <v>49980.0</v>
      </c>
    </row>
    <row r="12" ht="15.75" customHeight="1">
      <c r="A12" s="6"/>
      <c r="B12" s="52">
        <v>43320.0</v>
      </c>
      <c r="C12" s="55" t="s">
        <v>20</v>
      </c>
      <c r="D12" s="55" t="s">
        <v>39</v>
      </c>
      <c r="E12" s="55" t="s">
        <v>44</v>
      </c>
      <c r="F12" s="55" t="s">
        <v>62</v>
      </c>
      <c r="G12" s="53">
        <v>2600000.0</v>
      </c>
      <c r="H12" s="54">
        <v>0.0</v>
      </c>
      <c r="J12" s="6"/>
      <c r="K12" s="6"/>
      <c r="L12" s="6"/>
      <c r="M12" s="6"/>
      <c r="N12" s="55" t="s">
        <v>50</v>
      </c>
      <c r="O12" s="55" t="s">
        <v>58</v>
      </c>
      <c r="Q12" s="55" t="s">
        <v>59</v>
      </c>
      <c r="R12" s="53">
        <v>2600000.0</v>
      </c>
      <c r="S12" s="53">
        <v>0.0</v>
      </c>
    </row>
    <row r="13" ht="15.75" customHeight="1">
      <c r="A13" s="6"/>
      <c r="B13" s="52">
        <v>43320.0</v>
      </c>
      <c r="C13" s="55" t="s">
        <v>20</v>
      </c>
      <c r="D13" s="55" t="s">
        <v>39</v>
      </c>
      <c r="E13" s="55" t="s">
        <v>44</v>
      </c>
      <c r="F13" s="55" t="s">
        <v>63</v>
      </c>
      <c r="G13" s="56">
        <v>0.0</v>
      </c>
      <c r="H13" s="53">
        <v>2600000.0</v>
      </c>
      <c r="J13" s="6"/>
      <c r="K13" s="6"/>
      <c r="L13" s="6"/>
      <c r="M13" s="6"/>
      <c r="N13" s="55" t="s">
        <v>53</v>
      </c>
      <c r="O13" s="55" t="s">
        <v>58</v>
      </c>
      <c r="Q13" s="55" t="s">
        <v>59</v>
      </c>
      <c r="R13" s="53">
        <v>0.0</v>
      </c>
      <c r="S13" s="53">
        <v>2600000.0</v>
      </c>
    </row>
    <row r="14" ht="15.75" customHeight="1">
      <c r="A14" s="6"/>
      <c r="B14" s="52">
        <v>43320.0</v>
      </c>
      <c r="C14" s="55" t="s">
        <v>20</v>
      </c>
      <c r="D14" s="55" t="s">
        <v>18</v>
      </c>
      <c r="E14" s="55" t="s">
        <v>44</v>
      </c>
      <c r="F14" s="55" t="s">
        <v>55</v>
      </c>
      <c r="G14" s="53">
        <v>374990.0</v>
      </c>
      <c r="H14" s="54">
        <v>0.0</v>
      </c>
      <c r="J14" s="6"/>
      <c r="K14" s="6"/>
      <c r="L14" s="6"/>
      <c r="M14" s="6"/>
      <c r="N14" s="55" t="s">
        <v>50</v>
      </c>
      <c r="O14" s="55" t="s">
        <v>58</v>
      </c>
      <c r="Q14" s="55" t="s">
        <v>64</v>
      </c>
      <c r="R14" s="53">
        <v>374990.0</v>
      </c>
      <c r="S14" s="53">
        <v>0.0</v>
      </c>
    </row>
    <row r="15" ht="15.75" customHeight="1">
      <c r="A15" s="6"/>
      <c r="B15" s="52">
        <v>43320.0</v>
      </c>
      <c r="C15" s="55" t="s">
        <v>20</v>
      </c>
      <c r="D15" s="55" t="s">
        <v>18</v>
      </c>
      <c r="E15" s="55" t="s">
        <v>44</v>
      </c>
      <c r="F15" s="55" t="s">
        <v>65</v>
      </c>
      <c r="G15" s="56">
        <v>0.0</v>
      </c>
      <c r="H15" s="53">
        <v>374990.0</v>
      </c>
      <c r="J15" s="6"/>
      <c r="K15" s="6"/>
      <c r="L15" s="6"/>
      <c r="M15" s="6"/>
      <c r="N15" s="55" t="s">
        <v>53</v>
      </c>
      <c r="O15" s="55" t="s">
        <v>58</v>
      </c>
      <c r="Q15" s="55" t="s">
        <v>64</v>
      </c>
      <c r="R15" s="53">
        <v>0.0</v>
      </c>
      <c r="S15" s="53">
        <v>374990.0</v>
      </c>
    </row>
    <row r="16" ht="15.75" customHeight="1">
      <c r="A16" s="6"/>
      <c r="B16" s="52">
        <v>43320.0</v>
      </c>
      <c r="C16" s="55" t="s">
        <v>20</v>
      </c>
      <c r="D16" s="55" t="s">
        <v>18</v>
      </c>
      <c r="E16" s="55" t="s">
        <v>44</v>
      </c>
      <c r="F16" s="55" t="s">
        <v>60</v>
      </c>
      <c r="G16" s="53">
        <v>25010.0</v>
      </c>
      <c r="H16" s="54">
        <v>0.0</v>
      </c>
      <c r="J16" s="6"/>
      <c r="K16" s="6"/>
      <c r="L16" s="6"/>
      <c r="M16" s="6"/>
      <c r="N16" s="55" t="s">
        <v>50</v>
      </c>
      <c r="O16" s="55" t="s">
        <v>58</v>
      </c>
      <c r="Q16" s="55" t="s">
        <v>59</v>
      </c>
      <c r="R16" s="53">
        <v>25010.0</v>
      </c>
      <c r="S16" s="53">
        <v>0.0</v>
      </c>
    </row>
    <row r="17" ht="15.75" customHeight="1">
      <c r="A17" s="6"/>
      <c r="B17" s="52">
        <v>43320.0</v>
      </c>
      <c r="C17" s="55" t="s">
        <v>20</v>
      </c>
      <c r="D17" s="55" t="s">
        <v>18</v>
      </c>
      <c r="E17" s="55" t="s">
        <v>44</v>
      </c>
      <c r="F17" s="55" t="s">
        <v>57</v>
      </c>
      <c r="G17" s="56">
        <v>0.0</v>
      </c>
      <c r="H17" s="53">
        <v>25010.0</v>
      </c>
      <c r="J17" s="6"/>
      <c r="K17" s="6"/>
      <c r="L17" s="6"/>
      <c r="M17" s="6"/>
      <c r="N17" s="55" t="s">
        <v>53</v>
      </c>
      <c r="O17" s="55" t="s">
        <v>58</v>
      </c>
      <c r="Q17" s="55" t="s">
        <v>59</v>
      </c>
      <c r="R17" s="53">
        <v>0.0</v>
      </c>
      <c r="S17" s="53">
        <v>25010.0</v>
      </c>
    </row>
    <row r="18" ht="15.75" customHeight="1">
      <c r="A18" s="6"/>
      <c r="B18" s="52">
        <v>43320.0</v>
      </c>
      <c r="C18" s="55" t="s">
        <v>20</v>
      </c>
      <c r="D18" s="55" t="s">
        <v>18</v>
      </c>
      <c r="E18" s="55" t="s">
        <v>44</v>
      </c>
      <c r="F18" s="55" t="s">
        <v>60</v>
      </c>
      <c r="G18" s="53">
        <v>99980.0</v>
      </c>
      <c r="H18" s="54">
        <v>0.0</v>
      </c>
      <c r="J18" s="6"/>
      <c r="K18" s="6"/>
      <c r="L18" s="6"/>
      <c r="M18" s="6"/>
      <c r="N18" s="55" t="s">
        <v>50</v>
      </c>
      <c r="O18" s="55" t="s">
        <v>58</v>
      </c>
      <c r="Q18" s="55" t="s">
        <v>61</v>
      </c>
      <c r="R18" s="53">
        <v>99980.0</v>
      </c>
      <c r="S18" s="53">
        <v>0.0</v>
      </c>
    </row>
    <row r="19" ht="15.75" customHeight="1">
      <c r="A19" s="6"/>
      <c r="B19" s="52">
        <v>43320.0</v>
      </c>
      <c r="C19" s="55" t="s">
        <v>20</v>
      </c>
      <c r="D19" s="55" t="s">
        <v>18</v>
      </c>
      <c r="E19" s="55" t="s">
        <v>44</v>
      </c>
      <c r="F19" s="55" t="s">
        <v>57</v>
      </c>
      <c r="G19" s="56">
        <v>0.0</v>
      </c>
      <c r="H19" s="53">
        <v>99980.0</v>
      </c>
      <c r="J19" s="6"/>
      <c r="K19" s="6"/>
      <c r="L19" s="6"/>
      <c r="M19" s="6"/>
      <c r="N19" s="55" t="s">
        <v>53</v>
      </c>
      <c r="O19" s="55" t="s">
        <v>58</v>
      </c>
      <c r="Q19" s="55" t="s">
        <v>61</v>
      </c>
      <c r="R19" s="53">
        <v>0.0</v>
      </c>
      <c r="S19" s="53">
        <v>99980.0</v>
      </c>
    </row>
    <row r="20" ht="15.75" customHeight="1">
      <c r="A20" s="6"/>
      <c r="B20" s="52">
        <v>43321.0</v>
      </c>
      <c r="C20" s="55" t="s">
        <v>20</v>
      </c>
      <c r="D20" s="55" t="s">
        <v>39</v>
      </c>
      <c r="E20" s="55" t="s">
        <v>44</v>
      </c>
      <c r="F20" s="55" t="s">
        <v>62</v>
      </c>
      <c r="G20" s="53">
        <v>4087495.0</v>
      </c>
      <c r="H20" s="54">
        <v>0.0</v>
      </c>
      <c r="J20" s="6"/>
      <c r="K20" s="6"/>
      <c r="L20" s="6"/>
      <c r="M20" s="6"/>
      <c r="N20" s="55" t="s">
        <v>50</v>
      </c>
      <c r="O20" s="55" t="s">
        <v>58</v>
      </c>
      <c r="Q20" s="55" t="s">
        <v>59</v>
      </c>
      <c r="R20" s="53">
        <v>4087495.0</v>
      </c>
      <c r="S20" s="53">
        <v>0.0</v>
      </c>
    </row>
    <row r="21" ht="15.75" customHeight="1">
      <c r="A21" s="6"/>
      <c r="B21" s="52">
        <v>43321.0</v>
      </c>
      <c r="C21" s="55" t="s">
        <v>20</v>
      </c>
      <c r="D21" s="55" t="s">
        <v>39</v>
      </c>
      <c r="E21" s="55" t="s">
        <v>44</v>
      </c>
      <c r="F21" s="55" t="s">
        <v>63</v>
      </c>
      <c r="G21" s="56">
        <v>0.0</v>
      </c>
      <c r="H21" s="53">
        <v>4087495.0</v>
      </c>
      <c r="J21" s="6"/>
      <c r="K21" s="6"/>
      <c r="L21" s="6"/>
      <c r="M21" s="6"/>
      <c r="N21" s="55" t="s">
        <v>53</v>
      </c>
      <c r="O21" s="55" t="s">
        <v>58</v>
      </c>
      <c r="Q21" s="55" t="s">
        <v>59</v>
      </c>
      <c r="R21" s="53">
        <v>0.0</v>
      </c>
      <c r="S21" s="53">
        <v>4087495.0</v>
      </c>
    </row>
    <row r="22" ht="15.75" customHeight="1">
      <c r="A22" s="6"/>
      <c r="B22" s="52">
        <v>43321.0</v>
      </c>
      <c r="C22" s="55" t="s">
        <v>20</v>
      </c>
      <c r="D22" s="55" t="s">
        <v>39</v>
      </c>
      <c r="E22" s="55" t="s">
        <v>44</v>
      </c>
      <c r="F22" s="55" t="s">
        <v>63</v>
      </c>
      <c r="G22" s="53">
        <v>2600000.0</v>
      </c>
      <c r="H22" s="54">
        <v>0.0</v>
      </c>
      <c r="J22" s="6"/>
      <c r="K22" s="6"/>
      <c r="L22" s="6"/>
      <c r="M22" s="6"/>
      <c r="N22" s="55" t="s">
        <v>50</v>
      </c>
      <c r="O22" s="55" t="s">
        <v>58</v>
      </c>
      <c r="Q22" s="55" t="s">
        <v>61</v>
      </c>
      <c r="R22" s="53">
        <v>2600000.0</v>
      </c>
      <c r="S22" s="53">
        <v>0.0</v>
      </c>
    </row>
    <row r="23" ht="15.75" customHeight="1">
      <c r="A23" s="6"/>
      <c r="B23" s="52">
        <v>43321.0</v>
      </c>
      <c r="C23" s="55" t="s">
        <v>20</v>
      </c>
      <c r="D23" s="55" t="s">
        <v>39</v>
      </c>
      <c r="E23" s="55" t="s">
        <v>44</v>
      </c>
      <c r="F23" s="55" t="s">
        <v>62</v>
      </c>
      <c r="G23" s="56">
        <v>0.0</v>
      </c>
      <c r="H23" s="53">
        <v>2600000.0</v>
      </c>
      <c r="J23" s="6"/>
      <c r="K23" s="6"/>
      <c r="L23" s="6"/>
      <c r="M23" s="6"/>
      <c r="N23" s="55" t="s">
        <v>53</v>
      </c>
      <c r="O23" s="55" t="s">
        <v>58</v>
      </c>
      <c r="Q23" s="55" t="s">
        <v>61</v>
      </c>
      <c r="R23" s="53">
        <v>0.0</v>
      </c>
      <c r="S23" s="53">
        <v>2600000.0</v>
      </c>
    </row>
    <row r="24" ht="15.75" customHeight="1">
      <c r="A24" s="6"/>
      <c r="B24" s="52">
        <v>43321.0</v>
      </c>
      <c r="C24" s="55" t="s">
        <v>20</v>
      </c>
      <c r="D24" s="55" t="s">
        <v>18</v>
      </c>
      <c r="E24" s="55" t="s">
        <v>44</v>
      </c>
      <c r="F24" s="55" t="s">
        <v>60</v>
      </c>
      <c r="G24" s="53">
        <v>25005.0</v>
      </c>
      <c r="H24" s="54">
        <v>0.0</v>
      </c>
      <c r="J24" s="6"/>
      <c r="K24" s="6"/>
      <c r="L24" s="6"/>
      <c r="M24" s="6"/>
      <c r="N24" s="55" t="s">
        <v>50</v>
      </c>
      <c r="O24" s="55" t="s">
        <v>58</v>
      </c>
      <c r="Q24" s="55" t="s">
        <v>59</v>
      </c>
      <c r="R24" s="53">
        <v>25005.0</v>
      </c>
      <c r="S24" s="53">
        <v>0.0</v>
      </c>
    </row>
    <row r="25" ht="15.75" customHeight="1">
      <c r="A25" s="6"/>
      <c r="B25" s="52">
        <v>43321.0</v>
      </c>
      <c r="C25" s="55" t="s">
        <v>20</v>
      </c>
      <c r="D25" s="55" t="s">
        <v>18</v>
      </c>
      <c r="E25" s="55" t="s">
        <v>44</v>
      </c>
      <c r="F25" s="55" t="s">
        <v>57</v>
      </c>
      <c r="G25" s="56">
        <v>0.0</v>
      </c>
      <c r="H25" s="53">
        <v>25005.0</v>
      </c>
      <c r="J25" s="6"/>
      <c r="K25" s="6"/>
      <c r="L25" s="6"/>
      <c r="M25" s="6"/>
      <c r="N25" s="55" t="s">
        <v>53</v>
      </c>
      <c r="O25" s="55" t="s">
        <v>58</v>
      </c>
      <c r="Q25" s="55" t="s">
        <v>59</v>
      </c>
      <c r="R25" s="53">
        <v>0.0</v>
      </c>
      <c r="S25" s="53">
        <v>25005.0</v>
      </c>
    </row>
    <row r="26" ht="15.75" customHeight="1">
      <c r="A26" s="6"/>
      <c r="B26" s="52">
        <v>43321.0</v>
      </c>
      <c r="C26" s="55" t="s">
        <v>20</v>
      </c>
      <c r="D26" s="55" t="s">
        <v>18</v>
      </c>
      <c r="E26" s="55" t="s">
        <v>44</v>
      </c>
      <c r="F26" s="55" t="s">
        <v>57</v>
      </c>
      <c r="G26" s="53">
        <v>25010.0</v>
      </c>
      <c r="H26" s="54">
        <v>0.0</v>
      </c>
      <c r="J26" s="6"/>
      <c r="K26" s="6"/>
      <c r="L26" s="6"/>
      <c r="M26" s="6"/>
      <c r="N26" s="55" t="s">
        <v>50</v>
      </c>
      <c r="O26" s="55" t="s">
        <v>58</v>
      </c>
      <c r="Q26" s="55" t="s">
        <v>61</v>
      </c>
      <c r="R26" s="53">
        <v>25010.0</v>
      </c>
      <c r="S26" s="53">
        <v>0.0</v>
      </c>
    </row>
    <row r="27" ht="15.75" customHeight="1">
      <c r="B27" s="52">
        <v>43321.0</v>
      </c>
      <c r="C27" s="55" t="s">
        <v>20</v>
      </c>
      <c r="D27" s="55" t="s">
        <v>18</v>
      </c>
      <c r="E27" s="55" t="s">
        <v>44</v>
      </c>
      <c r="F27" s="55" t="s">
        <v>60</v>
      </c>
      <c r="G27" s="56">
        <v>0.0</v>
      </c>
      <c r="H27" s="53">
        <v>25010.0</v>
      </c>
      <c r="N27" s="55" t="s">
        <v>53</v>
      </c>
      <c r="O27" s="55" t="s">
        <v>58</v>
      </c>
      <c r="Q27" s="55" t="s">
        <v>61</v>
      </c>
      <c r="R27" s="53">
        <v>0.0</v>
      </c>
      <c r="S27" s="53">
        <v>25010.0</v>
      </c>
    </row>
    <row r="28" ht="15.75" customHeight="1">
      <c r="B28" s="52">
        <v>43322.0</v>
      </c>
      <c r="C28" s="55" t="s">
        <v>20</v>
      </c>
      <c r="D28" s="55" t="s">
        <v>39</v>
      </c>
      <c r="E28" s="55" t="s">
        <v>44</v>
      </c>
      <c r="F28" s="55" t="s">
        <v>62</v>
      </c>
      <c r="G28" s="53">
        <v>4087495.0</v>
      </c>
      <c r="H28" s="54">
        <v>0.0</v>
      </c>
      <c r="N28" s="55" t="s">
        <v>50</v>
      </c>
      <c r="O28" s="55" t="s">
        <v>58</v>
      </c>
      <c r="Q28" s="55" t="s">
        <v>59</v>
      </c>
      <c r="R28" s="53">
        <v>4087495.0</v>
      </c>
      <c r="S28" s="53">
        <v>0.0</v>
      </c>
    </row>
    <row r="29" ht="15.75" customHeight="1">
      <c r="B29" s="52">
        <v>43322.0</v>
      </c>
      <c r="C29" s="55" t="s">
        <v>20</v>
      </c>
      <c r="D29" s="55" t="s">
        <v>39</v>
      </c>
      <c r="E29" s="55" t="s">
        <v>44</v>
      </c>
      <c r="F29" s="55" t="s">
        <v>63</v>
      </c>
      <c r="G29" s="56">
        <v>0.0</v>
      </c>
      <c r="H29" s="53">
        <v>4087495.0</v>
      </c>
      <c r="N29" s="55" t="s">
        <v>53</v>
      </c>
      <c r="O29" s="55" t="s">
        <v>58</v>
      </c>
      <c r="Q29" s="55" t="s">
        <v>59</v>
      </c>
      <c r="R29" s="53">
        <v>0.0</v>
      </c>
      <c r="S29" s="53">
        <v>4087495.0</v>
      </c>
    </row>
    <row r="30" ht="15.75" customHeight="1">
      <c r="B30" s="52">
        <v>43322.0</v>
      </c>
      <c r="C30" s="55" t="s">
        <v>20</v>
      </c>
      <c r="D30" s="55" t="s">
        <v>39</v>
      </c>
      <c r="E30" s="55" t="s">
        <v>44</v>
      </c>
      <c r="F30" s="55" t="s">
        <v>63</v>
      </c>
      <c r="G30" s="53">
        <v>4087495.0</v>
      </c>
      <c r="H30" s="54">
        <v>0.0</v>
      </c>
      <c r="N30" s="55" t="s">
        <v>50</v>
      </c>
      <c r="O30" s="55" t="s">
        <v>58</v>
      </c>
      <c r="Q30" s="55" t="s">
        <v>61</v>
      </c>
      <c r="R30" s="53">
        <v>4087495.0</v>
      </c>
      <c r="S30" s="53">
        <v>0.0</v>
      </c>
    </row>
    <row r="31" ht="15.75" customHeight="1">
      <c r="B31" s="52">
        <v>43322.0</v>
      </c>
      <c r="C31" s="55" t="s">
        <v>20</v>
      </c>
      <c r="D31" s="55" t="s">
        <v>39</v>
      </c>
      <c r="E31" s="55" t="s">
        <v>44</v>
      </c>
      <c r="F31" s="55" t="s">
        <v>62</v>
      </c>
      <c r="G31" s="56">
        <v>0.0</v>
      </c>
      <c r="H31" s="53">
        <v>4087495.0</v>
      </c>
      <c r="N31" s="55" t="s">
        <v>53</v>
      </c>
      <c r="O31" s="55" t="s">
        <v>58</v>
      </c>
      <c r="Q31" s="55" t="s">
        <v>61</v>
      </c>
      <c r="R31" s="53">
        <v>0.0</v>
      </c>
      <c r="S31" s="53">
        <v>4087495.0</v>
      </c>
    </row>
    <row r="32" ht="15.75" customHeight="1">
      <c r="B32" s="52">
        <v>43322.0</v>
      </c>
      <c r="C32" s="55" t="s">
        <v>20</v>
      </c>
      <c r="D32" s="55" t="s">
        <v>18</v>
      </c>
      <c r="E32" s="55" t="s">
        <v>44</v>
      </c>
      <c r="F32" s="55" t="s">
        <v>60</v>
      </c>
      <c r="G32" s="53">
        <v>37505.0</v>
      </c>
      <c r="H32" s="54">
        <v>0.0</v>
      </c>
      <c r="N32" s="55" t="s">
        <v>50</v>
      </c>
      <c r="O32" s="55" t="s">
        <v>58</v>
      </c>
      <c r="Q32" s="55" t="s">
        <v>59</v>
      </c>
      <c r="R32" s="53">
        <v>37505.0</v>
      </c>
      <c r="S32" s="53">
        <v>0.0</v>
      </c>
    </row>
    <row r="33" ht="15.75" customHeight="1">
      <c r="B33" s="52">
        <v>43322.0</v>
      </c>
      <c r="C33" s="55" t="s">
        <v>20</v>
      </c>
      <c r="D33" s="55" t="s">
        <v>18</v>
      </c>
      <c r="E33" s="55" t="s">
        <v>44</v>
      </c>
      <c r="F33" s="55" t="s">
        <v>57</v>
      </c>
      <c r="G33" s="56">
        <v>0.0</v>
      </c>
      <c r="H33" s="53">
        <v>37505.0</v>
      </c>
      <c r="N33" s="55" t="s">
        <v>53</v>
      </c>
      <c r="O33" s="55" t="s">
        <v>58</v>
      </c>
      <c r="Q33" s="55" t="s">
        <v>59</v>
      </c>
      <c r="R33" s="53">
        <v>0.0</v>
      </c>
      <c r="S33" s="53">
        <v>37505.0</v>
      </c>
    </row>
    <row r="34" ht="15.75" customHeight="1">
      <c r="B34" s="52">
        <v>43322.0</v>
      </c>
      <c r="C34" s="55" t="s">
        <v>20</v>
      </c>
      <c r="D34" s="55" t="s">
        <v>18</v>
      </c>
      <c r="E34" s="55" t="s">
        <v>44</v>
      </c>
      <c r="F34" s="55" t="s">
        <v>57</v>
      </c>
      <c r="G34" s="53">
        <v>25005.0</v>
      </c>
      <c r="H34" s="54">
        <v>0.0</v>
      </c>
      <c r="N34" s="55" t="s">
        <v>50</v>
      </c>
      <c r="O34" s="55" t="s">
        <v>58</v>
      </c>
      <c r="Q34" s="55" t="s">
        <v>61</v>
      </c>
      <c r="R34" s="53">
        <v>25005.0</v>
      </c>
      <c r="S34" s="53">
        <v>0.0</v>
      </c>
    </row>
    <row r="35" ht="15.75" customHeight="1">
      <c r="B35" s="52">
        <v>43322.0</v>
      </c>
      <c r="C35" s="55" t="s">
        <v>20</v>
      </c>
      <c r="D35" s="55" t="s">
        <v>18</v>
      </c>
      <c r="E35" s="55" t="s">
        <v>44</v>
      </c>
      <c r="F35" s="55" t="s">
        <v>60</v>
      </c>
      <c r="G35" s="56">
        <v>0.0</v>
      </c>
      <c r="H35" s="53">
        <v>25005.0</v>
      </c>
      <c r="N35" s="55" t="s">
        <v>53</v>
      </c>
      <c r="O35" s="55" t="s">
        <v>58</v>
      </c>
      <c r="Q35" s="55" t="s">
        <v>61</v>
      </c>
      <c r="R35" s="53">
        <v>0.0</v>
      </c>
      <c r="S35" s="53">
        <v>25005.0</v>
      </c>
    </row>
    <row r="36" ht="15.75" customHeight="1">
      <c r="B36" s="52">
        <v>43323.0</v>
      </c>
      <c r="C36" s="55" t="s">
        <v>20</v>
      </c>
      <c r="D36" s="55" t="s">
        <v>39</v>
      </c>
      <c r="E36" s="55" t="s">
        <v>44</v>
      </c>
      <c r="F36" s="55" t="s">
        <v>62</v>
      </c>
      <c r="G36" s="53">
        <v>4087495.0</v>
      </c>
      <c r="H36" s="54">
        <v>0.0</v>
      </c>
      <c r="N36" s="55" t="s">
        <v>50</v>
      </c>
      <c r="O36" s="55" t="s">
        <v>58</v>
      </c>
      <c r="Q36" s="55" t="s">
        <v>59</v>
      </c>
      <c r="R36" s="53">
        <v>4087495.0</v>
      </c>
      <c r="S36" s="53">
        <v>0.0</v>
      </c>
    </row>
    <row r="37" ht="15.75" customHeight="1">
      <c r="B37" s="52">
        <v>43323.0</v>
      </c>
      <c r="C37" s="55" t="s">
        <v>20</v>
      </c>
      <c r="D37" s="55" t="s">
        <v>39</v>
      </c>
      <c r="E37" s="55" t="s">
        <v>44</v>
      </c>
      <c r="F37" s="55" t="s">
        <v>63</v>
      </c>
      <c r="G37" s="56">
        <v>0.0</v>
      </c>
      <c r="H37" s="53">
        <v>4087495.0</v>
      </c>
      <c r="N37" s="55" t="s">
        <v>53</v>
      </c>
      <c r="O37" s="55" t="s">
        <v>58</v>
      </c>
      <c r="Q37" s="55" t="s">
        <v>59</v>
      </c>
      <c r="R37" s="53">
        <v>0.0</v>
      </c>
      <c r="S37" s="53">
        <v>4087495.0</v>
      </c>
    </row>
    <row r="38" ht="15.75" customHeight="1">
      <c r="B38" s="52">
        <v>43323.0</v>
      </c>
      <c r="C38" s="55" t="s">
        <v>20</v>
      </c>
      <c r="D38" s="55" t="s">
        <v>39</v>
      </c>
      <c r="E38" s="55" t="s">
        <v>44</v>
      </c>
      <c r="F38" s="55" t="s">
        <v>63</v>
      </c>
      <c r="G38" s="53">
        <v>4087495.0</v>
      </c>
      <c r="H38" s="54">
        <v>0.0</v>
      </c>
      <c r="N38" s="55" t="s">
        <v>50</v>
      </c>
      <c r="O38" s="55" t="s">
        <v>58</v>
      </c>
      <c r="Q38" s="55" t="s">
        <v>61</v>
      </c>
      <c r="R38" s="53">
        <v>4087495.0</v>
      </c>
      <c r="S38" s="53">
        <v>0.0</v>
      </c>
    </row>
    <row r="39" ht="15.75" customHeight="1">
      <c r="B39" s="52">
        <v>43323.0</v>
      </c>
      <c r="C39" s="55" t="s">
        <v>20</v>
      </c>
      <c r="D39" s="55" t="s">
        <v>39</v>
      </c>
      <c r="E39" s="55" t="s">
        <v>44</v>
      </c>
      <c r="F39" s="55" t="s">
        <v>62</v>
      </c>
      <c r="G39" s="56">
        <v>0.0</v>
      </c>
      <c r="H39" s="53">
        <v>4087495.0</v>
      </c>
      <c r="N39" s="55" t="s">
        <v>53</v>
      </c>
      <c r="O39" s="55" t="s">
        <v>58</v>
      </c>
      <c r="Q39" s="55" t="s">
        <v>61</v>
      </c>
      <c r="R39" s="53">
        <v>0.0</v>
      </c>
      <c r="S39" s="53">
        <v>4087495.0</v>
      </c>
    </row>
    <row r="40" ht="15.75" customHeight="1">
      <c r="B40" s="52">
        <v>43323.0</v>
      </c>
      <c r="C40" s="55" t="s">
        <v>20</v>
      </c>
      <c r="D40" s="55" t="s">
        <v>18</v>
      </c>
      <c r="E40" s="55" t="s">
        <v>44</v>
      </c>
      <c r="F40" s="55" t="s">
        <v>60</v>
      </c>
      <c r="G40" s="53">
        <v>37505.0</v>
      </c>
      <c r="H40" s="54">
        <v>0.0</v>
      </c>
      <c r="N40" s="55" t="s">
        <v>50</v>
      </c>
      <c r="O40" s="55" t="s">
        <v>58</v>
      </c>
      <c r="Q40" s="55" t="s">
        <v>59</v>
      </c>
      <c r="R40" s="53">
        <v>37505.0</v>
      </c>
      <c r="S40" s="53">
        <v>0.0</v>
      </c>
    </row>
    <row r="41" ht="15.75" customHeight="1">
      <c r="B41" s="52">
        <v>43323.0</v>
      </c>
      <c r="C41" s="55" t="s">
        <v>20</v>
      </c>
      <c r="D41" s="55" t="s">
        <v>18</v>
      </c>
      <c r="E41" s="55" t="s">
        <v>44</v>
      </c>
      <c r="F41" s="55" t="s">
        <v>57</v>
      </c>
      <c r="G41" s="56">
        <v>0.0</v>
      </c>
      <c r="H41" s="53">
        <v>37505.0</v>
      </c>
      <c r="N41" s="55" t="s">
        <v>53</v>
      </c>
      <c r="O41" s="55" t="s">
        <v>58</v>
      </c>
      <c r="Q41" s="55" t="s">
        <v>59</v>
      </c>
      <c r="R41" s="53">
        <v>0.0</v>
      </c>
      <c r="S41" s="53">
        <v>37505.0</v>
      </c>
    </row>
    <row r="42" ht="15.75" customHeight="1">
      <c r="B42" s="52">
        <v>43323.0</v>
      </c>
      <c r="C42" s="55" t="s">
        <v>20</v>
      </c>
      <c r="D42" s="55" t="s">
        <v>18</v>
      </c>
      <c r="E42" s="55" t="s">
        <v>44</v>
      </c>
      <c r="F42" s="55" t="s">
        <v>57</v>
      </c>
      <c r="G42" s="53">
        <v>37505.0</v>
      </c>
      <c r="H42" s="54">
        <v>0.0</v>
      </c>
      <c r="N42" s="55" t="s">
        <v>50</v>
      </c>
      <c r="O42" s="55" t="s">
        <v>58</v>
      </c>
      <c r="Q42" s="55" t="s">
        <v>61</v>
      </c>
      <c r="R42" s="53">
        <v>37505.0</v>
      </c>
      <c r="S42" s="53">
        <v>0.0</v>
      </c>
    </row>
    <row r="43" ht="15.75" customHeight="1">
      <c r="B43" s="52">
        <v>43323.0</v>
      </c>
      <c r="C43" s="55" t="s">
        <v>20</v>
      </c>
      <c r="D43" s="55" t="s">
        <v>18</v>
      </c>
      <c r="E43" s="55" t="s">
        <v>44</v>
      </c>
      <c r="F43" s="55" t="s">
        <v>60</v>
      </c>
      <c r="G43" s="56">
        <v>0.0</v>
      </c>
      <c r="H43" s="53">
        <v>37505.0</v>
      </c>
      <c r="N43" s="55" t="s">
        <v>53</v>
      </c>
      <c r="O43" s="55" t="s">
        <v>58</v>
      </c>
      <c r="Q43" s="55" t="s">
        <v>61</v>
      </c>
      <c r="R43" s="53">
        <v>0.0</v>
      </c>
      <c r="S43" s="53">
        <v>37505.0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27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IFERROR(__xludf.DUMMYFUNCTION("""COMPUTED_VALUE"""),"Original Side")</f>
        <v>Original Side</v>
      </c>
      <c r="D5" s="26" t="str">
        <f>IFERROR(__xludf.DUMMYFUNCTION("""COMPUTED_VALUE"""),"Symbol")</f>
        <v>Symbol</v>
      </c>
      <c r="E5" s="26" t="str">
        <f>IFERROR(__xludf.DUMMYFUNCTION("""COMPUTED_VALUE"""),"Settlement Qty")</f>
        <v>Settlement Qty</v>
      </c>
      <c r="F5" s="27" t="str">
        <f>IFERROR(__xludf.DUMMYFUNCTION("""COMPUTED_VALUE"""),"Quantity")</f>
        <v>Quantity</v>
      </c>
      <c r="G5" s="26" t="str">
        <f>IFERROR(__xludf.DUMMYFUNCTION("""COMPUTED_VALUE"""),"TotalCommission&amp;Fees")</f>
        <v>TotalCommission&amp;Fees</v>
      </c>
      <c r="H5" s="26" t="str">
        <f>IFERROR(__xludf.DUMMYFUNCTION("""COMPUTED_VALUE"""),"Net Notional")</f>
        <v>Net Notional</v>
      </c>
      <c r="I5" s="26" t="str">
        <f>IFERROR(__xludf.DUMMYFUNCTION("""COMPUTED_VALUE"""),"Average Price")</f>
        <v>Average Price</v>
      </c>
      <c r="J5" s="26" t="str">
        <f>IFERROR(__xludf.DUMMYFUNCTION("""COMPUTED_VALUE"""),"UnderlyingName")</f>
        <v>UnderlyingName</v>
      </c>
      <c r="K5" s="26" t="str">
        <f>IFERROR(__xludf.DUMMYFUNCTION("""COMPUTED_VALUE"""),"UnitCost")</f>
        <v>UnitCost</v>
      </c>
      <c r="L5" s="26" t="str">
        <f>IFERROR(__xludf.DUMMYFUNCTION("""COMPUTED_VALUE"""),"PositionTag")</f>
        <v>PositionTag</v>
      </c>
      <c r="M5" s="26" t="str">
        <f>IFERROR(__xludf.DUMMYFUNCTION("""COMPUTED_VALUE"""),"Strategy")</f>
        <v>Strategy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10">
        <v>62.0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EditTradeUnexpiredUnsettled2!$4:$4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22</v>
      </c>
      <c r="D3" s="8" t="s">
        <v>6</v>
      </c>
      <c r="E3" s="21" t="s">
        <v>67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IFERROR(__xludf.DUMMYFUNCTION("""COMPUTED_VALUE"""),"AccrudInterest")</f>
        <v>AccrudInterest</v>
      </c>
      <c r="C5" s="26" t="str">
        <f>IFERROR(__xludf.DUMMYFUNCTION("""COMPUTED_VALUE"""),"Analyst")</f>
        <v>Analyst</v>
      </c>
      <c r="D5" s="26" t="str">
        <f>IFERROR(__xludf.DUMMYFUNCTION("""COMPUTED_VALUE"""),"Asset Class")</f>
        <v>Asset Class</v>
      </c>
      <c r="E5" s="26" t="str">
        <f>IFERROR(__xludf.DUMMYFUNCTION("""COMPUTED_VALUE"""),"AUECID")</f>
        <v>AUECID</v>
      </c>
      <c r="F5" s="27" t="str">
        <f>IFERROR(__xludf.DUMMYFUNCTION("""COMPUTED_VALUE"""),"AUECModifiedDate")</f>
        <v>AUECModifiedDate</v>
      </c>
      <c r="G5" s="26" t="str">
        <f>IFERROR(__xludf.DUMMYFUNCTION("""COMPUTED_VALUE"""),"Average Price")</f>
        <v>Average Price</v>
      </c>
      <c r="H5" s="26" t="str">
        <f>IFERROR(__xludf.DUMMYFUNCTION("""COMPUTED_VALUE"""),"BloombergSymbol")</f>
        <v>BloombergSymbol</v>
      </c>
      <c r="I5" s="26" t="str">
        <f>IFERROR(__xludf.DUMMYFUNCTION("""COMPUTED_VALUE"""),"CalcBasis")</f>
        <v>CalcBasis</v>
      </c>
      <c r="J5" s="26" t="str">
        <f>IFERROR(__xludf.DUMMYFUNCTION("""COMPUTED_VALUE"""),"CashSettledPrice")</f>
        <v>CashSettledPrice</v>
      </c>
      <c r="K5" s="26" t="str">
        <f>IFERROR(__xludf.DUMMYFUNCTION("""COMPUTED_VALUE"""),"ChangeComment")</f>
        <v>ChangeComment</v>
      </c>
      <c r="L5" s="26" t="str">
        <f>IFERROR(__xludf.DUMMYFUNCTION("""COMPUTED_VALUE"""),"ChangeType")</f>
        <v>ChangeType</v>
      </c>
      <c r="M5" s="26" t="str">
        <f>IFERROR(__xludf.DUMMYFUNCTION("""COMPUTED_VALUE"""),"ChangeBrokerFee")</f>
        <v>ChangeBrokerFee</v>
      </c>
      <c r="N5" s="26" t="str">
        <f>IFERROR(__xludf.DUMMYFUNCTION("""COMPUTED_VALUE"""),"ClearingFee")</f>
        <v>ClearingFee</v>
      </c>
      <c r="O5" s="26" t="str">
        <f>IFERROR(__xludf.DUMMYFUNCTION("""COMPUTED_VALUE"""),"Close Date")</f>
        <v>Close Date</v>
      </c>
      <c r="P5" s="26" t="str">
        <f>IFERROR(__xludf.DUMMYFUNCTION("""COMPUTED_VALUE"""),"ClosedTotalCommissionandFees")</f>
        <v>ClosedTotalCommissionandFees</v>
      </c>
      <c r="Q5" s="26" t="str">
        <f>IFERROR(__xludf.DUMMYFUNCTION("""COMPUTED_VALUE"""),"ClosingAlgo")</f>
        <v>ClosingAlgo</v>
      </c>
      <c r="R5" s="26" t="str">
        <f>IFERROR(__xludf.DUMMYFUNCTION("""COMPUTED_VALUE"""),"ClosingDate")</f>
        <v>ClosingDate</v>
      </c>
      <c r="S5" s="26" t="str">
        <f>IFERROR(__xludf.DUMMYFUNCTION("""COMPUTED_VALUE"""),"ClosingMode")</f>
        <v>ClosingMode</v>
      </c>
      <c r="T5" s="28" t="str">
        <f>IFERROR(__xludf.DUMMYFUNCTION("""COMPUTED_VALUE"""),"ClosingStatus")</f>
        <v>ClosingStatus</v>
      </c>
      <c r="U5" s="28" t="str">
        <f>IFERROR(__xludf.DUMMYFUNCTION("""COMPUTED_VALUE"""),"CommissionAmt")</f>
        <v>CommissionAmt</v>
      </c>
      <c r="V5" s="28" t="str">
        <f>IFERROR(__xludf.DUMMYFUNCTION("""COMPUTED_VALUE"""),"CommissionRate")</f>
        <v>CommissionRate</v>
      </c>
      <c r="W5" s="28" t="str">
        <f>IFERROR(__xludf.DUMMYFUNCTION("""COMPUTED_VALUE"""),"CompanyName")</f>
        <v>CompanyName</v>
      </c>
      <c r="X5" s="28" t="str">
        <f>IFERROR(__xludf.DUMMYFUNCTION("""COMPUTED_VALUE"""),"CompanyuserName")</f>
        <v>CompanyuserName</v>
      </c>
      <c r="Y5" s="28" t="str">
        <f>IFERROR(__xludf.DUMMYFUNCTION("""COMPUTED_VALUE"""),"ContractMultiplier")</f>
        <v>ContractMultiplier</v>
      </c>
      <c r="Z5" s="28" t="str">
        <f>IFERROR(__xludf.DUMMYFUNCTION("""COMPUTED_VALUE"""),"CounterPartyName")</f>
        <v>CounterPartyName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IFERROR(__xludf.DUMMYFUNCTION("""COMPUTED_VALUE"""),"ExternalTransId")</f>
        <v>ExternalTransId</v>
      </c>
      <c r="AS5" s="28" t="str">
        <f>IFERROR(__xludf.DUMMYFUNCTION("""COMPUTED_VALUE"""),"ForexReq")</f>
        <v>ForexReq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IFERROR(__xludf.DUMMYFUNCTION("""COMPUTED_VALUE"""),"IsExcerciseAtZero")</f>
        <v>IsExcerciseAtZero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IFERROR(__xludf.DUMMYFUNCTION("""COMPUTED_VALUE"""),"ISSwap")</f>
        <v>ISSwap</v>
      </c>
      <c r="BF5" s="28" t="str">
        <f>IFERROR(__xludf.DUMMYFUNCTION("""COMPUTED_VALUE"""),"LeadCurrencyID")</f>
        <v>LeadCurrencyID</v>
      </c>
      <c r="BG5" s="28" t="str">
        <f>IFERROR(__xludf.DUMMYFUNCTION("""COMPUTED_VALUE"""),"Level1Name")</f>
        <v>Level1Name</v>
      </c>
      <c r="BH5" s="28" t="str">
        <f>IFERROR(__xludf.DUMMYFUNCTION("""COMPUTED_VALUE"""),"LevelName2")</f>
        <v>LevelName2</v>
      </c>
      <c r="BI5" s="28" t="str">
        <f>IFERROR(__xludf.DUMMYFUNCTION("""COMPUTED_VALUE"""),"LiquidTag")</f>
        <v>LiquidTag</v>
      </c>
      <c r="BJ5" s="28" t="str">
        <f>IFERROR(__xludf.DUMMYFUNCTION("""COMPUTED_VALUE"""),"LongOrShort")</f>
        <v>LongOrShort</v>
      </c>
      <c r="BK5" s="28" t="str">
        <f>IFERROR(__xludf.DUMMYFUNCTION("""COMPUTED_VALUE"""),"LotId")</f>
        <v>LotId</v>
      </c>
      <c r="BL5" s="28" t="str">
        <f>IFERROR(__xludf.DUMMYFUNCTION("""COMPUTED_VALUE"""),"M2MProfitLoss")</f>
        <v>M2MProfitLoss</v>
      </c>
      <c r="BM5" s="28" t="str">
        <f>IFERROR(__xludf.DUMMYFUNCTION("""COMPUTED_VALUE"""),"MarketCap")</f>
        <v>MarketCap</v>
      </c>
      <c r="BN5" s="28" t="str">
        <f>IFERROR(__xludf.DUMMYFUNCTION("""COMPUTED_VALUE"""),"MarkPrice")</f>
        <v>MarkPrice</v>
      </c>
      <c r="BO5" s="28" t="str">
        <f>IFERROR(__xludf.DUMMYFUNCTION("""COMPUTED_VALUE"""),"MasterFund")</f>
        <v>MasterFund</v>
      </c>
      <c r="BP5" s="28" t="str">
        <f>IFERROR(__xludf.DUMMYFUNCTION("""COMPUTED_VALUE"""),"MiscFees")</f>
        <v>MiscFees</v>
      </c>
      <c r="BQ5" s="28" t="str">
        <f>IFERROR(__xludf.DUMMYFUNCTION("""COMPUTED_VALUE"""),"NavLockStatus")</f>
        <v>NavLockStatus</v>
      </c>
      <c r="BR5" s="28" t="str">
        <f>IFERROR(__xludf.DUMMYFUNCTION("""COMPUTED_VALUE"""),"NetNotionalValue")</f>
        <v>NetNotionalValue</v>
      </c>
      <c r="BS5" s="28" t="str">
        <f>IFERROR(__xludf.DUMMYFUNCTION("""COMPUTED_VALUE"""),"NirvanaProcessDate")</f>
        <v>NirvanaProcessDate</v>
      </c>
      <c r="BT5" s="28" t="str">
        <f>IFERROR(__xludf.DUMMYFUNCTION("""COMPUTED_VALUE"""),"OCC Fee")</f>
        <v>OCC Fee</v>
      </c>
      <c r="BU5" s="28" t="str">
        <f>IFERROR(__xludf.DUMMYFUNCTION("""COMPUTED_VALUE"""),"OpenQty")</f>
        <v>OpenQty</v>
      </c>
      <c r="BV5" s="28" t="str">
        <f>IFERROR(__xludf.DUMMYFUNCTION("""COMPUTED_VALUE"""),"OpenTotalCommissionFees")</f>
        <v>OpenTotalCommissionFees</v>
      </c>
      <c r="BW5" s="28" t="str">
        <f>IFERROR(__xludf.DUMMYFUNCTION("""COMPUTED_VALUE"""),"OptionPremiumAdjustment")</f>
        <v>OptionPremiumAdjustment</v>
      </c>
      <c r="BX5" s="28" t="str">
        <f>IFERROR(__xludf.DUMMYFUNCTION("""COMPUTED_VALUE"""),"OrderSideTagValue")</f>
        <v>OrderSideTagValue</v>
      </c>
      <c r="BY5" s="28" t="str">
        <f>IFERROR(__xludf.DUMMYFUNCTION("""COMPUTED_VALUE"""),"orderType")</f>
        <v>orderType</v>
      </c>
      <c r="BZ5" s="28" t="str">
        <f>IFERROR(__xludf.DUMMYFUNCTION("""COMPUTED_VALUE"""),"OrfFee")</f>
        <v>OrfFee</v>
      </c>
      <c r="CA5" s="28" t="str">
        <f>IFERROR(__xludf.DUMMYFUNCTION("""COMPUTED_VALUE"""),"Original Side")</f>
        <v>Original Side</v>
      </c>
      <c r="CB5" s="28" t="str">
        <f>IFERROR(__xludf.DUMMYFUNCTION("""COMPUTED_VALUE"""),"OriginalPurchaseDate")</f>
        <v>OriginalPurchaseDate</v>
      </c>
      <c r="CC5" s="28" t="str">
        <f>IFERROR(__xludf.DUMMYFUNCTION("""COMPUTED_VALUE"""),"OSISymbol")</f>
        <v>OSISymbol</v>
      </c>
      <c r="CD5" s="28" t="str">
        <f>IFERROR(__xludf.DUMMYFUNCTION("""COMPUTED_VALUE"""),"OtherBrokerFees")</f>
        <v>OtherBrokerFees</v>
      </c>
      <c r="CE5" s="28" t="str">
        <f>IFERROR(__xludf.DUMMYFUNCTION("""COMPUTED_VALUE"""),"ParentRowPk")</f>
        <v>ParentRowPk</v>
      </c>
      <c r="CF5" s="28" t="str">
        <f>IFERROR(__xludf.DUMMYFUNCTION("""COMPUTED_VALUE"""),"Percentage")</f>
        <v>Percentage</v>
      </c>
      <c r="CG5" s="28" t="str">
        <f>IFERROR(__xludf.DUMMYFUNCTION("""COMPUTED_VALUE"""),"PositionTag")</f>
        <v>PositionTag</v>
      </c>
      <c r="CH5" s="28" t="str">
        <f>IFERROR(__xludf.DUMMYFUNCTION("""COMPUTED_VALUE"""),"PositionType")</f>
        <v>PositionType</v>
      </c>
      <c r="CI5" s="28" t="str">
        <f>IFERROR(__xludf.DUMMYFUNCTION("""COMPUTED_VALUE"""),"ProcessDate")</f>
        <v>ProcessDate</v>
      </c>
      <c r="CJ5" s="28" t="str">
        <f>IFERROR(__xludf.DUMMYFUNCTION("""COMPUTED_VALUE"""),"ProxySymbol")</f>
        <v>ProxySymbol</v>
      </c>
      <c r="CK5" s="28" t="str">
        <f>IFERROR(__xludf.DUMMYFUNCTION("""COMPUTED_VALUE"""),"Symbol")</f>
        <v>Symbol</v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0" customHeight="1">
      <c r="A6" s="10"/>
      <c r="B6" s="10"/>
      <c r="C6" s="6"/>
      <c r="D6" s="10"/>
      <c r="E6" s="32"/>
      <c r="F6" s="6"/>
      <c r="G6" s="6"/>
      <c r="H6" s="6"/>
      <c r="I6" s="6"/>
      <c r="J6" s="6"/>
      <c r="K6" s="6"/>
      <c r="L6" s="6"/>
      <c r="M6" s="6"/>
      <c r="N6" s="6"/>
      <c r="O6" s="30">
        <v>43322.0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Expire!$4:$4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32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43"/>
      <c r="B6" s="44" t="s">
        <v>20</v>
      </c>
      <c r="C6" s="35"/>
      <c r="D6" s="44"/>
      <c r="E6" s="35"/>
      <c r="F6" s="35"/>
      <c r="G6" s="35"/>
      <c r="H6" s="35"/>
      <c r="I6" s="35"/>
      <c r="J6" s="35"/>
      <c r="K6" s="35"/>
      <c r="L6" s="33">
        <v>15.0</v>
      </c>
      <c r="M6" s="35"/>
      <c r="N6" s="35"/>
      <c r="O6" s="35"/>
      <c r="P6" s="35"/>
      <c r="Q6" s="35"/>
      <c r="R6" s="35"/>
      <c r="S6" s="35" t="s">
        <v>35</v>
      </c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8">
        <v>749980.0</v>
      </c>
      <c r="AV6" s="37"/>
      <c r="AW6" s="37"/>
      <c r="AX6" s="38">
        <v>0.0</v>
      </c>
      <c r="AY6" s="37"/>
      <c r="AZ6" s="37"/>
      <c r="BA6" s="37"/>
      <c r="BB6" s="37"/>
      <c r="BC6" s="37"/>
      <c r="BD6" s="37"/>
      <c r="BE6" s="37"/>
      <c r="BF6" s="38">
        <v>750000.0</v>
      </c>
      <c r="BG6" s="37"/>
      <c r="BH6" s="37"/>
      <c r="BI6" s="37"/>
      <c r="BJ6" s="38">
        <v>500.0</v>
      </c>
      <c r="BK6" s="37"/>
      <c r="BL6" s="37"/>
      <c r="BM6" s="37"/>
      <c r="BN6" s="37"/>
      <c r="BO6" s="37" t="s">
        <v>19</v>
      </c>
      <c r="BP6" s="37"/>
      <c r="BQ6" s="37"/>
      <c r="BR6" s="37"/>
      <c r="BS6" s="37"/>
      <c r="BT6" s="59" t="s">
        <v>18</v>
      </c>
      <c r="BU6" s="37"/>
      <c r="BV6" s="37"/>
      <c r="BW6" s="38">
        <v>20.0</v>
      </c>
      <c r="BX6" s="37"/>
      <c r="BY6" s="37"/>
      <c r="BZ6" s="37"/>
      <c r="CA6" s="37"/>
      <c r="CB6" s="37"/>
      <c r="CC6" s="37"/>
      <c r="CD6" s="37"/>
      <c r="CE6" s="60">
        <v>43318.0</v>
      </c>
      <c r="CF6" s="37"/>
      <c r="CG6" s="37"/>
      <c r="CH6" s="37"/>
      <c r="CI6" s="46" t="s">
        <v>36</v>
      </c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7" t="s">
        <v>20</v>
      </c>
      <c r="C7" s="37"/>
      <c r="D7" s="37"/>
      <c r="E7" s="37"/>
      <c r="F7" s="37"/>
      <c r="G7" s="37"/>
      <c r="H7" s="37"/>
      <c r="I7" s="37"/>
      <c r="J7" s="37"/>
      <c r="K7" s="37"/>
      <c r="L7" s="41">
        <v>104.0</v>
      </c>
      <c r="M7" s="37"/>
      <c r="N7" s="37"/>
      <c r="O7" s="37"/>
      <c r="P7" s="37"/>
      <c r="Q7" s="37"/>
      <c r="R7" s="37"/>
      <c r="S7" s="37" t="s">
        <v>37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8">
        <v>2600000.0</v>
      </c>
      <c r="AV7" s="37"/>
      <c r="AW7" s="37"/>
      <c r="AX7" s="38">
        <v>0.0</v>
      </c>
      <c r="AY7" s="37"/>
      <c r="AZ7" s="37"/>
      <c r="BA7" s="37"/>
      <c r="BB7" s="37"/>
      <c r="BC7" s="37"/>
      <c r="BD7" s="37"/>
      <c r="BE7" s="37"/>
      <c r="BF7" s="38">
        <v>2600000.0</v>
      </c>
      <c r="BG7" s="37"/>
      <c r="BH7" s="37"/>
      <c r="BI7" s="37"/>
      <c r="BJ7" s="38">
        <v>25000.0</v>
      </c>
      <c r="BK7" s="37"/>
      <c r="BL7" s="37"/>
      <c r="BM7" s="37"/>
      <c r="BN7" s="37"/>
      <c r="BO7" s="37" t="s">
        <v>38</v>
      </c>
      <c r="BP7" s="37"/>
      <c r="BQ7" s="37"/>
      <c r="BR7" s="37"/>
      <c r="BS7" s="37"/>
      <c r="BT7" s="37" t="s">
        <v>39</v>
      </c>
      <c r="BU7" s="37"/>
      <c r="BV7" s="37"/>
      <c r="BW7" s="38">
        <v>0.0</v>
      </c>
      <c r="BX7" s="37"/>
      <c r="BY7" s="37"/>
      <c r="BZ7" s="37"/>
      <c r="CA7" s="37"/>
      <c r="CB7" s="37"/>
      <c r="CC7" s="37"/>
      <c r="CD7" s="37"/>
      <c r="CE7" s="60">
        <v>43320.0</v>
      </c>
      <c r="CF7" s="37"/>
      <c r="CG7" s="37"/>
      <c r="CH7" s="37"/>
      <c r="CI7" s="46" t="s">
        <v>40</v>
      </c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7" t="s">
        <v>20</v>
      </c>
      <c r="C8" s="37"/>
      <c r="D8" s="37"/>
      <c r="E8" s="37"/>
      <c r="F8" s="37"/>
      <c r="G8" s="37"/>
      <c r="H8" s="37"/>
      <c r="I8" s="37"/>
      <c r="J8" s="37"/>
      <c r="K8" s="37"/>
      <c r="L8" s="41">
        <v>0.0</v>
      </c>
      <c r="M8" s="37"/>
      <c r="N8" s="37"/>
      <c r="O8" s="37"/>
      <c r="P8" s="37"/>
      <c r="Q8" s="37"/>
      <c r="R8" s="37"/>
      <c r="S8" s="37" t="s">
        <v>41</v>
      </c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8">
        <v>0.0</v>
      </c>
      <c r="AV8" s="37"/>
      <c r="AW8" s="37"/>
      <c r="AX8" s="38">
        <v>0.0</v>
      </c>
      <c r="AY8" s="37"/>
      <c r="AZ8" s="37"/>
      <c r="BA8" s="37"/>
      <c r="BB8" s="37"/>
      <c r="BC8" s="37"/>
      <c r="BD8" s="37"/>
      <c r="BE8" s="37"/>
      <c r="BF8" s="38">
        <v>0.0</v>
      </c>
      <c r="BG8" s="37"/>
      <c r="BH8" s="37"/>
      <c r="BI8" s="37"/>
      <c r="BJ8" s="38">
        <v>250.0</v>
      </c>
      <c r="BK8" s="37"/>
      <c r="BL8" s="37"/>
      <c r="BM8" s="37"/>
      <c r="BN8" s="37"/>
      <c r="BO8" s="37" t="s">
        <v>42</v>
      </c>
      <c r="BP8" s="37"/>
      <c r="BQ8" s="37"/>
      <c r="BR8" s="37"/>
      <c r="BS8" s="37"/>
      <c r="BT8" s="59" t="s">
        <v>18</v>
      </c>
      <c r="BU8" s="37"/>
      <c r="BV8" s="37"/>
      <c r="BW8" s="38">
        <v>0.0</v>
      </c>
      <c r="BX8" s="37"/>
      <c r="BY8" s="37"/>
      <c r="BZ8" s="37"/>
      <c r="CA8" s="37"/>
      <c r="CB8" s="37"/>
      <c r="CC8" s="37"/>
      <c r="CD8" s="37"/>
      <c r="CE8" s="60">
        <v>43320.0</v>
      </c>
      <c r="CF8" s="37"/>
      <c r="CG8" s="37"/>
      <c r="CH8" s="37"/>
      <c r="CI8" s="46" t="s">
        <v>40</v>
      </c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7"/>
      <c r="B9" s="37" t="s">
        <v>20</v>
      </c>
      <c r="C9" s="37"/>
      <c r="D9" s="37"/>
      <c r="E9" s="37"/>
      <c r="F9" s="37"/>
      <c r="G9" s="37"/>
      <c r="H9" s="37"/>
      <c r="I9" s="37"/>
      <c r="J9" s="37"/>
      <c r="K9" s="37"/>
      <c r="L9" s="41">
        <v>104.0</v>
      </c>
      <c r="M9" s="37"/>
      <c r="N9" s="37"/>
      <c r="O9" s="37"/>
      <c r="P9" s="37"/>
      <c r="Q9" s="37"/>
      <c r="R9" s="37"/>
      <c r="S9" s="37" t="s">
        <v>37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8">
        <v>1487495.0</v>
      </c>
      <c r="AV9" s="37"/>
      <c r="AW9" s="37"/>
      <c r="AX9" s="38">
        <v>-187495.0</v>
      </c>
      <c r="AY9" s="37"/>
      <c r="AZ9" s="37"/>
      <c r="BA9" s="37"/>
      <c r="BB9" s="37"/>
      <c r="BC9" s="37"/>
      <c r="BD9" s="37"/>
      <c r="BE9" s="37"/>
      <c r="BF9" s="38">
        <v>1300000.0</v>
      </c>
      <c r="BG9" s="37"/>
      <c r="BH9" s="37"/>
      <c r="BI9" s="37"/>
      <c r="BJ9" s="38">
        <v>12500.0</v>
      </c>
      <c r="BK9" s="37"/>
      <c r="BL9" s="37"/>
      <c r="BM9" s="37"/>
      <c r="BN9" s="37"/>
      <c r="BO9" s="37" t="s">
        <v>38</v>
      </c>
      <c r="BP9" s="37"/>
      <c r="BQ9" s="37"/>
      <c r="BR9" s="37"/>
      <c r="BS9" s="37"/>
      <c r="BT9" s="37" t="s">
        <v>39</v>
      </c>
      <c r="BU9" s="37"/>
      <c r="BV9" s="37"/>
      <c r="BW9" s="38">
        <v>-187495.0</v>
      </c>
      <c r="BX9" s="37"/>
      <c r="BY9" s="37"/>
      <c r="BZ9" s="37"/>
      <c r="CA9" s="37"/>
      <c r="CB9" s="37"/>
      <c r="CC9" s="37"/>
      <c r="CD9" s="37"/>
      <c r="CE9" s="60">
        <v>43321.0</v>
      </c>
      <c r="CF9" s="37"/>
      <c r="CG9" s="37"/>
      <c r="CH9" s="37"/>
      <c r="CI9" s="46" t="s">
        <v>40</v>
      </c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37"/>
      <c r="B10" s="37" t="s">
        <v>20</v>
      </c>
      <c r="C10" s="37"/>
      <c r="D10" s="37"/>
      <c r="E10" s="37"/>
      <c r="F10" s="37"/>
      <c r="G10" s="37"/>
      <c r="H10" s="37"/>
      <c r="I10" s="37"/>
      <c r="J10" s="37"/>
      <c r="K10" s="37"/>
      <c r="L10" s="41">
        <v>0.0</v>
      </c>
      <c r="M10" s="37"/>
      <c r="N10" s="37"/>
      <c r="O10" s="37"/>
      <c r="P10" s="37"/>
      <c r="Q10" s="37"/>
      <c r="R10" s="37"/>
      <c r="S10" s="37" t="s">
        <v>41</v>
      </c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8">
        <v>187495.0</v>
      </c>
      <c r="AV10" s="37"/>
      <c r="AW10" s="37"/>
      <c r="AX10" s="38">
        <v>187495.0</v>
      </c>
      <c r="AY10" s="37"/>
      <c r="AZ10" s="37"/>
      <c r="BA10" s="37"/>
      <c r="BB10" s="37"/>
      <c r="BC10" s="37"/>
      <c r="BD10" s="37"/>
      <c r="BE10" s="37"/>
      <c r="BF10" s="38">
        <v>0.0</v>
      </c>
      <c r="BG10" s="37"/>
      <c r="BH10" s="37"/>
      <c r="BI10" s="37"/>
      <c r="BJ10" s="38">
        <v>125.0</v>
      </c>
      <c r="BK10" s="37"/>
      <c r="BL10" s="37"/>
      <c r="BM10" s="37"/>
      <c r="BN10" s="37"/>
      <c r="BO10" s="37" t="s">
        <v>42</v>
      </c>
      <c r="BP10" s="37"/>
      <c r="BQ10" s="37"/>
      <c r="BR10" s="37"/>
      <c r="BS10" s="37"/>
      <c r="BT10" s="59" t="s">
        <v>18</v>
      </c>
      <c r="BU10" s="37"/>
      <c r="BV10" s="37"/>
      <c r="BW10" s="38">
        <v>187495.0</v>
      </c>
      <c r="BX10" s="37"/>
      <c r="BY10" s="37"/>
      <c r="BZ10" s="37"/>
      <c r="CA10" s="37"/>
      <c r="CB10" s="37"/>
      <c r="CC10" s="37"/>
      <c r="CD10" s="37"/>
      <c r="CE10" s="60">
        <v>43321.0</v>
      </c>
      <c r="CF10" s="37"/>
      <c r="CG10" s="37"/>
      <c r="CH10" s="37"/>
      <c r="CI10" s="46" t="s">
        <v>40</v>
      </c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6"/>
      <c r="B11" s="37" t="s">
        <v>20</v>
      </c>
      <c r="C11" s="6"/>
      <c r="D11" s="6"/>
      <c r="E11" s="6"/>
      <c r="F11" s="6"/>
      <c r="G11" s="6"/>
      <c r="H11" s="6"/>
      <c r="I11" s="6"/>
      <c r="J11" s="6"/>
      <c r="K11" s="6"/>
      <c r="L11" s="10">
        <v>0.0</v>
      </c>
      <c r="M11" s="6"/>
      <c r="N11" s="6"/>
      <c r="O11" s="6"/>
      <c r="S11" s="37" t="s">
        <v>41</v>
      </c>
      <c r="AU11" s="39">
        <v>0.0</v>
      </c>
      <c r="AX11" s="39">
        <v>0.0</v>
      </c>
      <c r="BF11" s="39">
        <v>0.0</v>
      </c>
      <c r="BJ11" s="39">
        <v>62.0</v>
      </c>
      <c r="BO11" s="37" t="s">
        <v>42</v>
      </c>
      <c r="BT11" s="59" t="s">
        <v>18</v>
      </c>
      <c r="BW11" s="39">
        <v>0.0</v>
      </c>
      <c r="CE11" s="60">
        <v>43322.0</v>
      </c>
      <c r="CI11" s="39" t="s">
        <v>67</v>
      </c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48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0" t="str">
        <f>IFERROR(__xludf.DUMMYFUNCTION("""COMPUTED_VALUE"""),"Date")</f>
        <v>Date</v>
      </c>
      <c r="C5" s="50" t="str">
        <f>IFERROR(__xludf.DUMMYFUNCTION("""COMPUTED_VALUE"""),"Modify Date")</f>
        <v>Modify Date</v>
      </c>
      <c r="D5" s="50" t="str">
        <f>IFERROR(__xludf.DUMMYFUNCTION("""COMPUTED_VALUE"""),"Entry Date")</f>
        <v>Entry Date</v>
      </c>
      <c r="E5" s="50" t="str">
        <f>IFERROR(__xludf.DUMMYFUNCTION("""COMPUTED_VALUE"""),"DR")</f>
        <v>DR</v>
      </c>
      <c r="F5" s="51" t="str">
        <f>IFERROR(__xludf.DUMMYFUNCTION("""COMPUTED_VALUE"""),"CR")</f>
        <v>CR</v>
      </c>
      <c r="G5" s="50" t="str">
        <f>IFERROR(__xludf.DUMMYFUNCTION("""COMPUTED_VALUE"""),"Fx Rate")</f>
        <v>Fx Rate</v>
      </c>
      <c r="H5" s="50" t="str">
        <f>IFERROR(__xludf.DUMMYFUNCTION("""COMPUTED_VALUE"""),"FX Conversion Method Operator")</f>
        <v>FX Conversion Method Operator</v>
      </c>
      <c r="I5" s="50" t="str">
        <f>IFERROR(__xludf.DUMMYFUNCTION("""COMPUTED_VALUE"""),"Account Side")</f>
        <v>Account Side</v>
      </c>
      <c r="J5" s="50" t="str">
        <f>IFERROR(__xludf.DUMMYFUNCTION("""COMPUTED_VALUE"""),"TransactionSource")</f>
        <v>TransactionSource</v>
      </c>
      <c r="K5" s="50" t="str">
        <f>IFERROR(__xludf.DUMMYFUNCTION("""COMPUTED_VALUE"""),"Currency")</f>
        <v>Currency</v>
      </c>
      <c r="L5" s="50" t="str">
        <f>IFERROR(__xludf.DUMMYFUNCTION("""COMPUTED_VALUE"""),"Base Currency")</f>
        <v>Base Currency</v>
      </c>
      <c r="M5" s="50" t="str">
        <f>IFERROR(__xludf.DUMMYFUNCTION("""COMPUTED_VALUE"""),"Symbol")</f>
        <v>Symbol</v>
      </c>
      <c r="N5" s="50" t="str">
        <f>IFERROR(__xludf.DUMMYFUNCTION("""COMPUTED_VALUE"""),"Description")</f>
        <v>Description</v>
      </c>
      <c r="O5" s="50" t="str">
        <f>IFERROR(__xludf.DUMMYFUNCTION("""COMPUTED_VALUE"""),"DR (Base)")</f>
        <v>DR (Base)</v>
      </c>
      <c r="P5" s="50" t="str">
        <f>IFERROR(__xludf.DUMMYFUNCTION("""COMPUTED_VALUE"""),"CR (Base)")</f>
        <v>CR (Base)</v>
      </c>
      <c r="Q5" s="50" t="str">
        <f>IFERROR(__xludf.DUMMYFUNCTION("""COMPUTED_VALUE"""),"Cash Sub-Account")</f>
        <v>Cash Sub-Account</v>
      </c>
      <c r="R5" s="50" t="str">
        <f>IFERROR(__xludf.DUMMYFUNCTION("""COMPUTED_VALUE"""),"Account")</f>
        <v>Account</v>
      </c>
      <c r="S5" s="50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2">
        <v>43320.0</v>
      </c>
      <c r="C6" s="6"/>
      <c r="D6" s="10"/>
      <c r="E6" s="53">
        <v>2600000.0</v>
      </c>
      <c r="F6" s="54">
        <v>0.0</v>
      </c>
      <c r="G6" s="6"/>
      <c r="H6" s="6"/>
      <c r="I6" s="6"/>
      <c r="J6" s="55" t="s">
        <v>51</v>
      </c>
      <c r="K6" s="55" t="s">
        <v>44</v>
      </c>
      <c r="L6" s="6"/>
      <c r="M6" s="55" t="s">
        <v>39</v>
      </c>
      <c r="N6" s="6"/>
      <c r="O6" s="53">
        <v>2600000.0</v>
      </c>
      <c r="P6" s="53">
        <v>0.0</v>
      </c>
      <c r="Q6" s="55" t="s">
        <v>52</v>
      </c>
      <c r="R6" s="39" t="s">
        <v>20</v>
      </c>
    </row>
    <row r="7" ht="15.75" customHeight="1">
      <c r="A7" s="6"/>
      <c r="B7" s="52">
        <v>43320.0</v>
      </c>
      <c r="C7" s="6"/>
      <c r="D7" s="6"/>
      <c r="E7" s="56">
        <v>0.0</v>
      </c>
      <c r="F7" s="53">
        <v>2600000.0</v>
      </c>
      <c r="G7" s="6"/>
      <c r="H7" s="6"/>
      <c r="I7" s="6"/>
      <c r="J7" s="55" t="s">
        <v>51</v>
      </c>
      <c r="K7" s="55" t="s">
        <v>44</v>
      </c>
      <c r="L7" s="6"/>
      <c r="M7" s="55" t="s">
        <v>39</v>
      </c>
      <c r="N7" s="6"/>
      <c r="O7" s="53">
        <v>0.0</v>
      </c>
      <c r="P7" s="53">
        <v>2600000.0</v>
      </c>
      <c r="Q7" s="55" t="s">
        <v>54</v>
      </c>
      <c r="R7" s="39" t="s">
        <v>20</v>
      </c>
    </row>
    <row r="8" ht="15.75" customHeight="1">
      <c r="A8" s="6"/>
      <c r="B8" s="57">
        <v>43318.0</v>
      </c>
      <c r="C8" s="6"/>
      <c r="D8" s="6"/>
      <c r="E8" s="53">
        <v>20.0</v>
      </c>
      <c r="F8" s="54">
        <v>0.0</v>
      </c>
      <c r="G8" s="6"/>
      <c r="H8" s="6"/>
      <c r="I8" s="6"/>
      <c r="J8" s="55" t="s">
        <v>51</v>
      </c>
      <c r="K8" s="55" t="s">
        <v>44</v>
      </c>
      <c r="L8" s="6"/>
      <c r="M8" s="55" t="s">
        <v>18</v>
      </c>
      <c r="N8" s="6"/>
      <c r="O8" s="53">
        <v>20.0</v>
      </c>
      <c r="P8" s="53">
        <v>0.0</v>
      </c>
      <c r="Q8" s="55" t="s">
        <v>55</v>
      </c>
      <c r="R8" s="39" t="s">
        <v>20</v>
      </c>
    </row>
    <row r="9" ht="15.75" customHeight="1">
      <c r="A9" s="6"/>
      <c r="B9" s="57">
        <v>43318.0</v>
      </c>
      <c r="C9" s="6"/>
      <c r="D9" s="6"/>
      <c r="E9" s="56">
        <v>0.0</v>
      </c>
      <c r="F9" s="53">
        <v>20.0</v>
      </c>
      <c r="G9" s="6"/>
      <c r="H9" s="6"/>
      <c r="I9" s="6"/>
      <c r="J9" s="55" t="s">
        <v>51</v>
      </c>
      <c r="K9" s="55" t="s">
        <v>44</v>
      </c>
      <c r="L9" s="6"/>
      <c r="M9" s="55" t="s">
        <v>18</v>
      </c>
      <c r="N9" s="6"/>
      <c r="O9" s="53">
        <v>0.0</v>
      </c>
      <c r="P9" s="53">
        <v>20.0</v>
      </c>
      <c r="Q9" s="55" t="s">
        <v>52</v>
      </c>
      <c r="R9" s="39" t="s">
        <v>20</v>
      </c>
    </row>
    <row r="10" ht="15.75" customHeight="1">
      <c r="A10" s="6"/>
      <c r="B10" s="57">
        <v>43318.0</v>
      </c>
      <c r="C10" s="6"/>
      <c r="D10" s="6"/>
      <c r="E10" s="53">
        <v>750000.0</v>
      </c>
      <c r="F10" s="54">
        <v>0.0</v>
      </c>
      <c r="G10" s="6"/>
      <c r="H10" s="6"/>
      <c r="I10" s="6"/>
      <c r="J10" s="55" t="s">
        <v>51</v>
      </c>
      <c r="K10" s="55" t="s">
        <v>44</v>
      </c>
      <c r="L10" s="6"/>
      <c r="M10" s="55" t="s">
        <v>18</v>
      </c>
      <c r="N10" s="6"/>
      <c r="O10" s="53">
        <v>750000.0</v>
      </c>
      <c r="P10" s="53">
        <v>0.0</v>
      </c>
      <c r="Q10" s="55" t="s">
        <v>52</v>
      </c>
      <c r="R10" s="39" t="s">
        <v>20</v>
      </c>
    </row>
    <row r="11" ht="15.75" customHeight="1">
      <c r="A11" s="6"/>
      <c r="B11" s="57">
        <v>43318.0</v>
      </c>
      <c r="C11" s="6"/>
      <c r="D11" s="6"/>
      <c r="E11" s="56">
        <v>0.0</v>
      </c>
      <c r="F11" s="53">
        <v>750000.0</v>
      </c>
      <c r="G11" s="6"/>
      <c r="H11" s="6"/>
      <c r="I11" s="6"/>
      <c r="J11" s="55" t="s">
        <v>51</v>
      </c>
      <c r="K11" s="55" t="s">
        <v>44</v>
      </c>
      <c r="L11" s="6"/>
      <c r="M11" s="55" t="s">
        <v>18</v>
      </c>
      <c r="N11" s="6"/>
      <c r="O11" s="53">
        <v>0.0</v>
      </c>
      <c r="P11" s="53">
        <v>750000.0</v>
      </c>
      <c r="Q11" s="55" t="s">
        <v>55</v>
      </c>
      <c r="R11" s="39" t="s">
        <v>20</v>
      </c>
    </row>
    <row r="12" ht="15.75" customHeight="1">
      <c r="A12" s="6"/>
      <c r="B12" s="52">
        <v>43321.0</v>
      </c>
      <c r="C12" s="6"/>
      <c r="D12" s="6"/>
      <c r="E12" s="53">
        <v>1487495.0</v>
      </c>
      <c r="F12" s="54">
        <v>0.0</v>
      </c>
      <c r="G12" s="6"/>
      <c r="H12" s="6"/>
      <c r="I12" s="6"/>
      <c r="J12" s="55" t="s">
        <v>51</v>
      </c>
      <c r="K12" s="55" t="s">
        <v>44</v>
      </c>
      <c r="L12" s="6"/>
      <c r="M12" s="55" t="s">
        <v>39</v>
      </c>
      <c r="N12" s="6"/>
      <c r="O12" s="53">
        <v>1487495.0</v>
      </c>
      <c r="P12" s="53">
        <v>0.0</v>
      </c>
      <c r="Q12" s="55" t="s">
        <v>52</v>
      </c>
      <c r="R12" s="39" t="s">
        <v>20</v>
      </c>
    </row>
    <row r="13" ht="15.75" customHeight="1">
      <c r="A13" s="6"/>
      <c r="B13" s="52">
        <v>43321.0</v>
      </c>
      <c r="C13" s="6"/>
      <c r="D13" s="6"/>
      <c r="E13" s="56">
        <v>0.0</v>
      </c>
      <c r="F13" s="53">
        <v>1487495.0</v>
      </c>
      <c r="G13" s="6"/>
      <c r="H13" s="6"/>
      <c r="I13" s="6"/>
      <c r="J13" s="55" t="s">
        <v>51</v>
      </c>
      <c r="K13" s="55" t="s">
        <v>44</v>
      </c>
      <c r="L13" s="6"/>
      <c r="M13" s="55" t="s">
        <v>39</v>
      </c>
      <c r="N13" s="6"/>
      <c r="O13" s="53">
        <v>0.0</v>
      </c>
      <c r="P13" s="53">
        <v>1487495.0</v>
      </c>
      <c r="Q13" s="55" t="s">
        <v>54</v>
      </c>
      <c r="R13" s="39" t="s">
        <v>20</v>
      </c>
    </row>
    <row r="14" ht="15.75" customHeight="1">
      <c r="A14" s="6"/>
      <c r="B14" s="52">
        <v>43321.0</v>
      </c>
      <c r="C14" s="6"/>
      <c r="D14" s="6"/>
      <c r="E14" s="53">
        <v>187495.0</v>
      </c>
      <c r="F14" s="54">
        <v>0.0</v>
      </c>
      <c r="G14" s="6"/>
      <c r="H14" s="6"/>
      <c r="I14" s="6"/>
      <c r="J14" s="55" t="s">
        <v>51</v>
      </c>
      <c r="K14" s="55" t="s">
        <v>44</v>
      </c>
      <c r="L14" s="6"/>
      <c r="M14" s="55" t="s">
        <v>18</v>
      </c>
      <c r="N14" s="6"/>
      <c r="O14" s="53">
        <v>187495.0</v>
      </c>
      <c r="P14" s="53">
        <v>0.0</v>
      </c>
      <c r="Q14" s="55" t="s">
        <v>68</v>
      </c>
      <c r="R14" s="39" t="s">
        <v>20</v>
      </c>
    </row>
    <row r="15" ht="15.75" customHeight="1">
      <c r="A15" s="6"/>
      <c r="B15" s="52">
        <v>43321.0</v>
      </c>
      <c r="C15" s="6"/>
      <c r="D15" s="6"/>
      <c r="E15" s="56">
        <v>0.0</v>
      </c>
      <c r="F15" s="53">
        <v>187495.0</v>
      </c>
      <c r="G15" s="6"/>
      <c r="H15" s="6"/>
      <c r="I15" s="6"/>
      <c r="J15" s="55" t="s">
        <v>51</v>
      </c>
      <c r="K15" s="55" t="s">
        <v>44</v>
      </c>
      <c r="L15" s="6"/>
      <c r="M15" s="55" t="s">
        <v>18</v>
      </c>
      <c r="N15" s="6"/>
      <c r="O15" s="53">
        <v>0.0</v>
      </c>
      <c r="P15" s="53">
        <v>187495.0</v>
      </c>
      <c r="Q15" s="55" t="s">
        <v>52</v>
      </c>
      <c r="R15" s="39" t="s">
        <v>20</v>
      </c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33</v>
      </c>
      <c r="D3" s="8" t="s">
        <v>6</v>
      </c>
      <c r="E3" s="21" t="s">
        <v>56</v>
      </c>
      <c r="F3" s="8" t="s">
        <v>16</v>
      </c>
      <c r="G3" s="12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50" t="str">
        <f>IFERROR(__xludf.DUMMYFUNCTION("""COMPUTED_VALUE"""),"Date")</f>
        <v>Date</v>
      </c>
      <c r="C5" s="50" t="str">
        <f>IFERROR(__xludf.DUMMYFUNCTION("""COMPUTED_VALUE"""),"Account")</f>
        <v>Account</v>
      </c>
      <c r="D5" s="50" t="str">
        <f>IFERROR(__xludf.DUMMYFUNCTION("""COMPUTED_VALUE"""),"Symbol")</f>
        <v>Symbol</v>
      </c>
      <c r="E5" s="50" t="str">
        <f>IFERROR(__xludf.DUMMYFUNCTION("""COMPUTED_VALUE"""),"Currency")</f>
        <v>Currency</v>
      </c>
      <c r="F5" s="51" t="str">
        <f>IFERROR(__xludf.DUMMYFUNCTION("""COMPUTED_VALUE"""),"Cash Sub-Account")</f>
        <v>Cash Sub-Account</v>
      </c>
      <c r="G5" s="50" t="str">
        <f>IFERROR(__xludf.DUMMYFUNCTION("""COMPUTED_VALUE"""),"DR")</f>
        <v>DR</v>
      </c>
      <c r="H5" s="50" t="str">
        <f>IFERROR(__xludf.DUMMYFUNCTION("""COMPUTED_VALUE"""),"CR")</f>
        <v>CR</v>
      </c>
      <c r="I5" s="50" t="str">
        <f>IFERROR(__xludf.DUMMYFUNCTION("""COMPUTED_VALUE"""),"Modify Date")</f>
        <v>Modify Date</v>
      </c>
      <c r="J5" s="50" t="str">
        <f>IFERROR(__xludf.DUMMYFUNCTION("""COMPUTED_VALUE"""),"Entry Date")</f>
        <v>Entry Date</v>
      </c>
      <c r="K5" s="50" t="str">
        <f>IFERROR(__xludf.DUMMYFUNCTION("""COMPUTED_VALUE"""),"User")</f>
        <v>User</v>
      </c>
      <c r="L5" s="50" t="str">
        <f>IFERROR(__xludf.DUMMYFUNCTION("""COMPUTED_VALUE"""),"Fx Rate")</f>
        <v>Fx Rate</v>
      </c>
      <c r="M5" s="50" t="str">
        <f>IFERROR(__xludf.DUMMYFUNCTION("""COMPUTED_VALUE"""),"FX Conversion Method Operator")</f>
        <v>FX Conversion Method Operator</v>
      </c>
      <c r="N5" s="50" t="str">
        <f>IFERROR(__xludf.DUMMYFUNCTION("""COMPUTED_VALUE"""),"Account Side")</f>
        <v>Account Side</v>
      </c>
      <c r="O5" s="50" t="str">
        <f>IFERROR(__xludf.DUMMYFUNCTION("""COMPUTED_VALUE"""),"TransactionSource")</f>
        <v>TransactionSource</v>
      </c>
      <c r="P5" s="50" t="str">
        <f>IFERROR(__xludf.DUMMYFUNCTION("""COMPUTED_VALUE"""),"Base Currency")</f>
        <v>Base Currency</v>
      </c>
      <c r="Q5" s="50" t="str">
        <f>IFERROR(__xludf.DUMMYFUNCTION("""COMPUTED_VALUE"""),"Description")</f>
        <v>Description</v>
      </c>
      <c r="R5" s="50" t="str">
        <f>IFERROR(__xludf.DUMMYFUNCTION("""COMPUTED_VALUE"""),"DR (Base)")</f>
        <v>DR (Base)</v>
      </c>
      <c r="S5" s="50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52">
        <v>43318.0</v>
      </c>
      <c r="C6" s="55" t="s">
        <v>20</v>
      </c>
      <c r="D6" s="55" t="s">
        <v>18</v>
      </c>
      <c r="E6" s="55" t="s">
        <v>44</v>
      </c>
      <c r="F6" s="55" t="s">
        <v>57</v>
      </c>
      <c r="G6" s="53">
        <v>49980.0</v>
      </c>
      <c r="H6" s="54">
        <v>0.0</v>
      </c>
      <c r="I6" s="6"/>
      <c r="J6" s="6"/>
      <c r="K6" s="6"/>
      <c r="L6" s="6"/>
      <c r="M6" s="6"/>
      <c r="N6" s="55" t="s">
        <v>50</v>
      </c>
      <c r="O6" s="55" t="s">
        <v>58</v>
      </c>
      <c r="Q6" s="55" t="s">
        <v>59</v>
      </c>
      <c r="R6" s="53">
        <v>49980.0</v>
      </c>
      <c r="S6" s="53">
        <v>0.0</v>
      </c>
    </row>
    <row r="7" ht="15.75" customHeight="1">
      <c r="A7" s="6"/>
      <c r="B7" s="52">
        <v>43318.0</v>
      </c>
      <c r="C7" s="55" t="s">
        <v>20</v>
      </c>
      <c r="D7" s="55" t="s">
        <v>18</v>
      </c>
      <c r="E7" s="55" t="s">
        <v>44</v>
      </c>
      <c r="F7" s="55" t="s">
        <v>60</v>
      </c>
      <c r="G7" s="56">
        <v>0.0</v>
      </c>
      <c r="H7" s="53">
        <v>49980.0</v>
      </c>
      <c r="I7" s="6"/>
      <c r="J7" s="6"/>
      <c r="K7" s="6"/>
      <c r="L7" s="6"/>
      <c r="M7" s="6"/>
      <c r="N7" s="55" t="s">
        <v>53</v>
      </c>
      <c r="O7" s="55" t="s">
        <v>58</v>
      </c>
      <c r="Q7" s="55" t="s">
        <v>59</v>
      </c>
      <c r="R7" s="53">
        <v>0.0</v>
      </c>
      <c r="S7" s="53">
        <v>49980.0</v>
      </c>
    </row>
    <row r="8" ht="15.75" customHeight="1">
      <c r="A8" s="6"/>
      <c r="B8" s="52">
        <v>43319.0</v>
      </c>
      <c r="C8" s="55" t="s">
        <v>20</v>
      </c>
      <c r="D8" s="55" t="s">
        <v>18</v>
      </c>
      <c r="E8" s="55" t="s">
        <v>44</v>
      </c>
      <c r="F8" s="55" t="s">
        <v>57</v>
      </c>
      <c r="G8" s="53">
        <v>99980.0</v>
      </c>
      <c r="H8" s="54">
        <v>0.0</v>
      </c>
      <c r="I8" s="6"/>
      <c r="J8" s="6"/>
      <c r="K8" s="6"/>
      <c r="L8" s="6"/>
      <c r="M8" s="6"/>
      <c r="N8" s="55" t="s">
        <v>50</v>
      </c>
      <c r="O8" s="55" t="s">
        <v>58</v>
      </c>
      <c r="Q8" s="55" t="s">
        <v>59</v>
      </c>
      <c r="R8" s="53">
        <v>99980.0</v>
      </c>
      <c r="S8" s="53">
        <v>0.0</v>
      </c>
    </row>
    <row r="9" ht="15.75" customHeight="1">
      <c r="A9" s="6"/>
      <c r="B9" s="52">
        <v>43319.0</v>
      </c>
      <c r="C9" s="55" t="s">
        <v>20</v>
      </c>
      <c r="D9" s="55" t="s">
        <v>18</v>
      </c>
      <c r="E9" s="55" t="s">
        <v>44</v>
      </c>
      <c r="F9" s="55" t="s">
        <v>60</v>
      </c>
      <c r="G9" s="56">
        <v>0.0</v>
      </c>
      <c r="H9" s="53">
        <v>99980.0</v>
      </c>
      <c r="I9" s="6"/>
      <c r="J9" s="6"/>
      <c r="K9" s="6"/>
      <c r="L9" s="6"/>
      <c r="M9" s="6"/>
      <c r="N9" s="55" t="s">
        <v>53</v>
      </c>
      <c r="O9" s="55" t="s">
        <v>58</v>
      </c>
      <c r="Q9" s="55" t="s">
        <v>59</v>
      </c>
      <c r="R9" s="53">
        <v>0.0</v>
      </c>
      <c r="S9" s="53">
        <v>99980.0</v>
      </c>
    </row>
    <row r="10" ht="15.75" customHeight="1">
      <c r="A10" s="6"/>
      <c r="B10" s="52">
        <v>43319.0</v>
      </c>
      <c r="C10" s="55" t="s">
        <v>20</v>
      </c>
      <c r="D10" s="55" t="s">
        <v>18</v>
      </c>
      <c r="E10" s="55" t="s">
        <v>44</v>
      </c>
      <c r="F10" s="55" t="s">
        <v>60</v>
      </c>
      <c r="G10" s="53">
        <v>49980.0</v>
      </c>
      <c r="H10" s="54">
        <v>0.0</v>
      </c>
      <c r="I10" s="6"/>
      <c r="J10" s="6"/>
      <c r="K10" s="6"/>
      <c r="L10" s="6"/>
      <c r="M10" s="6"/>
      <c r="N10" s="55" t="s">
        <v>50</v>
      </c>
      <c r="O10" s="55" t="s">
        <v>58</v>
      </c>
      <c r="Q10" s="55" t="s">
        <v>61</v>
      </c>
      <c r="R10" s="53">
        <v>49980.0</v>
      </c>
      <c r="S10" s="53">
        <v>0.0</v>
      </c>
    </row>
    <row r="11" ht="15.75" customHeight="1">
      <c r="A11" s="6"/>
      <c r="B11" s="52">
        <v>43319.0</v>
      </c>
      <c r="C11" s="55" t="s">
        <v>20</v>
      </c>
      <c r="D11" s="55" t="s">
        <v>18</v>
      </c>
      <c r="E11" s="55" t="s">
        <v>44</v>
      </c>
      <c r="F11" s="55" t="s">
        <v>57</v>
      </c>
      <c r="G11" s="56">
        <v>0.0</v>
      </c>
      <c r="H11" s="53">
        <v>49980.0</v>
      </c>
      <c r="I11" s="6"/>
      <c r="J11" s="6"/>
      <c r="K11" s="6"/>
      <c r="L11" s="6"/>
      <c r="M11" s="6"/>
      <c r="N11" s="55" t="s">
        <v>53</v>
      </c>
      <c r="O11" s="55" t="s">
        <v>58</v>
      </c>
      <c r="Q11" s="55" t="s">
        <v>61</v>
      </c>
      <c r="R11" s="53">
        <v>0.0</v>
      </c>
      <c r="S11" s="53">
        <v>49980.0</v>
      </c>
    </row>
    <row r="12" ht="15.75" customHeight="1">
      <c r="A12" s="6"/>
      <c r="B12" s="52">
        <v>43320.0</v>
      </c>
      <c r="C12" s="55" t="s">
        <v>20</v>
      </c>
      <c r="D12" s="55" t="s">
        <v>39</v>
      </c>
      <c r="E12" s="55" t="s">
        <v>44</v>
      </c>
      <c r="F12" s="55" t="s">
        <v>62</v>
      </c>
      <c r="G12" s="53">
        <v>2600000.0</v>
      </c>
      <c r="H12" s="54">
        <v>0.0</v>
      </c>
      <c r="I12" s="6"/>
      <c r="J12" s="6"/>
      <c r="K12" s="6"/>
      <c r="L12" s="6"/>
      <c r="M12" s="6"/>
      <c r="N12" s="55" t="s">
        <v>50</v>
      </c>
      <c r="O12" s="55" t="s">
        <v>58</v>
      </c>
      <c r="Q12" s="55" t="s">
        <v>59</v>
      </c>
      <c r="R12" s="53">
        <v>2600000.0</v>
      </c>
      <c r="S12" s="53">
        <v>0.0</v>
      </c>
    </row>
    <row r="13" ht="15.75" customHeight="1">
      <c r="A13" s="6"/>
      <c r="B13" s="52">
        <v>43320.0</v>
      </c>
      <c r="C13" s="55" t="s">
        <v>20</v>
      </c>
      <c r="D13" s="55" t="s">
        <v>39</v>
      </c>
      <c r="E13" s="55" t="s">
        <v>44</v>
      </c>
      <c r="F13" s="55" t="s">
        <v>63</v>
      </c>
      <c r="G13" s="56">
        <v>0.0</v>
      </c>
      <c r="H13" s="53">
        <v>2600000.0</v>
      </c>
      <c r="I13" s="6"/>
      <c r="J13" s="6"/>
      <c r="K13" s="6"/>
      <c r="L13" s="6"/>
      <c r="M13" s="6"/>
      <c r="N13" s="55" t="s">
        <v>53</v>
      </c>
      <c r="O13" s="55" t="s">
        <v>58</v>
      </c>
      <c r="Q13" s="55" t="s">
        <v>59</v>
      </c>
      <c r="R13" s="53">
        <v>0.0</v>
      </c>
      <c r="S13" s="53">
        <v>2600000.0</v>
      </c>
    </row>
    <row r="14" ht="15.75" customHeight="1">
      <c r="A14" s="6"/>
      <c r="B14" s="52">
        <v>43320.0</v>
      </c>
      <c r="C14" s="55" t="s">
        <v>20</v>
      </c>
      <c r="D14" s="55" t="s">
        <v>18</v>
      </c>
      <c r="E14" s="55" t="s">
        <v>44</v>
      </c>
      <c r="F14" s="55" t="s">
        <v>55</v>
      </c>
      <c r="G14" s="53">
        <v>374990.0</v>
      </c>
      <c r="H14" s="54">
        <v>0.0</v>
      </c>
      <c r="I14" s="6"/>
      <c r="J14" s="6"/>
      <c r="K14" s="6"/>
      <c r="L14" s="6"/>
      <c r="M14" s="6"/>
      <c r="N14" s="55" t="s">
        <v>50</v>
      </c>
      <c r="O14" s="55" t="s">
        <v>58</v>
      </c>
      <c r="Q14" s="55" t="s">
        <v>64</v>
      </c>
      <c r="R14" s="53">
        <v>374990.0</v>
      </c>
      <c r="S14" s="53">
        <v>0.0</v>
      </c>
    </row>
    <row r="15" ht="15.75" customHeight="1">
      <c r="A15" s="6"/>
      <c r="B15" s="52">
        <v>43320.0</v>
      </c>
      <c r="C15" s="55" t="s">
        <v>20</v>
      </c>
      <c r="D15" s="55" t="s">
        <v>18</v>
      </c>
      <c r="E15" s="55" t="s">
        <v>44</v>
      </c>
      <c r="F15" s="55" t="s">
        <v>65</v>
      </c>
      <c r="G15" s="56">
        <v>0.0</v>
      </c>
      <c r="H15" s="53">
        <v>374990.0</v>
      </c>
      <c r="I15" s="6"/>
      <c r="J15" s="6"/>
      <c r="K15" s="6"/>
      <c r="L15" s="6"/>
      <c r="M15" s="6"/>
      <c r="N15" s="55" t="s">
        <v>53</v>
      </c>
      <c r="O15" s="55" t="s">
        <v>58</v>
      </c>
      <c r="Q15" s="55" t="s">
        <v>64</v>
      </c>
      <c r="R15" s="53">
        <v>0.0</v>
      </c>
      <c r="S15" s="53">
        <v>374990.0</v>
      </c>
    </row>
    <row r="16" ht="15.75" customHeight="1">
      <c r="A16" s="6"/>
      <c r="B16" s="52">
        <v>43320.0</v>
      </c>
      <c r="C16" s="55" t="s">
        <v>20</v>
      </c>
      <c r="D16" s="55" t="s">
        <v>18</v>
      </c>
      <c r="E16" s="55" t="s">
        <v>44</v>
      </c>
      <c r="F16" s="55" t="s">
        <v>60</v>
      </c>
      <c r="G16" s="53">
        <v>25010.0</v>
      </c>
      <c r="H16" s="54">
        <v>0.0</v>
      </c>
      <c r="I16" s="6"/>
      <c r="J16" s="6"/>
      <c r="K16" s="6"/>
      <c r="L16" s="6"/>
      <c r="M16" s="6"/>
      <c r="N16" s="55" t="s">
        <v>50</v>
      </c>
      <c r="O16" s="55" t="s">
        <v>58</v>
      </c>
      <c r="Q16" s="55" t="s">
        <v>59</v>
      </c>
      <c r="R16" s="53">
        <v>25010.0</v>
      </c>
      <c r="S16" s="53">
        <v>0.0</v>
      </c>
    </row>
    <row r="17" ht="15.75" customHeight="1">
      <c r="A17" s="6"/>
      <c r="B17" s="52">
        <v>43320.0</v>
      </c>
      <c r="C17" s="55" t="s">
        <v>20</v>
      </c>
      <c r="D17" s="55" t="s">
        <v>18</v>
      </c>
      <c r="E17" s="55" t="s">
        <v>44</v>
      </c>
      <c r="F17" s="55" t="s">
        <v>57</v>
      </c>
      <c r="G17" s="56">
        <v>0.0</v>
      </c>
      <c r="H17" s="53">
        <v>25010.0</v>
      </c>
      <c r="I17" s="6"/>
      <c r="J17" s="6"/>
      <c r="K17" s="6"/>
      <c r="L17" s="6"/>
      <c r="M17" s="6"/>
      <c r="N17" s="55" t="s">
        <v>53</v>
      </c>
      <c r="O17" s="55" t="s">
        <v>58</v>
      </c>
      <c r="Q17" s="55" t="s">
        <v>59</v>
      </c>
      <c r="R17" s="53">
        <v>0.0</v>
      </c>
      <c r="S17" s="53">
        <v>25010.0</v>
      </c>
    </row>
    <row r="18" ht="15.75" customHeight="1">
      <c r="A18" s="6"/>
      <c r="B18" s="52">
        <v>43320.0</v>
      </c>
      <c r="C18" s="55" t="s">
        <v>20</v>
      </c>
      <c r="D18" s="55" t="s">
        <v>18</v>
      </c>
      <c r="E18" s="55" t="s">
        <v>44</v>
      </c>
      <c r="F18" s="55" t="s">
        <v>60</v>
      </c>
      <c r="G18" s="53">
        <v>99980.0</v>
      </c>
      <c r="H18" s="54">
        <v>0.0</v>
      </c>
      <c r="I18" s="6"/>
      <c r="J18" s="6"/>
      <c r="K18" s="6"/>
      <c r="L18" s="6"/>
      <c r="M18" s="6"/>
      <c r="N18" s="55" t="s">
        <v>50</v>
      </c>
      <c r="O18" s="55" t="s">
        <v>58</v>
      </c>
      <c r="Q18" s="55" t="s">
        <v>61</v>
      </c>
      <c r="R18" s="53">
        <v>99980.0</v>
      </c>
      <c r="S18" s="53">
        <v>0.0</v>
      </c>
    </row>
    <row r="19" ht="15.75" customHeight="1">
      <c r="A19" s="6"/>
      <c r="B19" s="52">
        <v>43320.0</v>
      </c>
      <c r="C19" s="55" t="s">
        <v>20</v>
      </c>
      <c r="D19" s="55" t="s">
        <v>18</v>
      </c>
      <c r="E19" s="55" t="s">
        <v>44</v>
      </c>
      <c r="F19" s="55" t="s">
        <v>57</v>
      </c>
      <c r="G19" s="56">
        <v>0.0</v>
      </c>
      <c r="H19" s="53">
        <v>99980.0</v>
      </c>
      <c r="I19" s="6"/>
      <c r="J19" s="6"/>
      <c r="K19" s="6"/>
      <c r="L19" s="6"/>
      <c r="M19" s="6"/>
      <c r="N19" s="55" t="s">
        <v>53</v>
      </c>
      <c r="O19" s="55" t="s">
        <v>58</v>
      </c>
      <c r="Q19" s="55" t="s">
        <v>61</v>
      </c>
      <c r="R19" s="53">
        <v>0.0</v>
      </c>
      <c r="S19" s="53">
        <v>99980.0</v>
      </c>
    </row>
    <row r="20" ht="15.75" customHeight="1">
      <c r="A20" s="6"/>
      <c r="B20" s="52">
        <v>43321.0</v>
      </c>
      <c r="C20" s="55" t="s">
        <v>20</v>
      </c>
      <c r="D20" s="55" t="s">
        <v>39</v>
      </c>
      <c r="E20" s="55" t="s">
        <v>44</v>
      </c>
      <c r="F20" s="55" t="s">
        <v>62</v>
      </c>
      <c r="G20" s="53">
        <v>4087495.0</v>
      </c>
      <c r="H20" s="54">
        <v>0.0</v>
      </c>
      <c r="I20" s="6"/>
      <c r="J20" s="6"/>
      <c r="K20" s="6"/>
      <c r="L20" s="6"/>
      <c r="M20" s="6"/>
      <c r="N20" s="55" t="s">
        <v>50</v>
      </c>
      <c r="O20" s="55" t="s">
        <v>58</v>
      </c>
      <c r="Q20" s="55" t="s">
        <v>59</v>
      </c>
      <c r="R20" s="53">
        <v>4087495.0</v>
      </c>
      <c r="S20" s="53">
        <v>0.0</v>
      </c>
    </row>
    <row r="21" ht="15.75" customHeight="1">
      <c r="A21" s="6"/>
      <c r="B21" s="52">
        <v>43321.0</v>
      </c>
      <c r="C21" s="55" t="s">
        <v>20</v>
      </c>
      <c r="D21" s="55" t="s">
        <v>39</v>
      </c>
      <c r="E21" s="55" t="s">
        <v>44</v>
      </c>
      <c r="F21" s="55" t="s">
        <v>63</v>
      </c>
      <c r="G21" s="56">
        <v>0.0</v>
      </c>
      <c r="H21" s="53">
        <v>4087495.0</v>
      </c>
      <c r="I21" s="6"/>
      <c r="J21" s="6"/>
      <c r="K21" s="6"/>
      <c r="L21" s="6"/>
      <c r="M21" s="6"/>
      <c r="N21" s="55" t="s">
        <v>53</v>
      </c>
      <c r="O21" s="55" t="s">
        <v>58</v>
      </c>
      <c r="Q21" s="55" t="s">
        <v>59</v>
      </c>
      <c r="R21" s="53">
        <v>0.0</v>
      </c>
      <c r="S21" s="53">
        <v>4087495.0</v>
      </c>
    </row>
    <row r="22" ht="15.75" customHeight="1">
      <c r="A22" s="6"/>
      <c r="B22" s="52">
        <v>43321.0</v>
      </c>
      <c r="C22" s="55" t="s">
        <v>20</v>
      </c>
      <c r="D22" s="55" t="s">
        <v>39</v>
      </c>
      <c r="E22" s="55" t="s">
        <v>44</v>
      </c>
      <c r="F22" s="55" t="s">
        <v>63</v>
      </c>
      <c r="G22" s="53">
        <v>2600000.0</v>
      </c>
      <c r="H22" s="54">
        <v>0.0</v>
      </c>
      <c r="I22" s="6"/>
      <c r="J22" s="6"/>
      <c r="K22" s="6"/>
      <c r="L22" s="6"/>
      <c r="M22" s="6"/>
      <c r="N22" s="55" t="s">
        <v>50</v>
      </c>
      <c r="O22" s="55" t="s">
        <v>58</v>
      </c>
      <c r="Q22" s="55" t="s">
        <v>61</v>
      </c>
      <c r="R22" s="53">
        <v>2600000.0</v>
      </c>
      <c r="S22" s="53">
        <v>0.0</v>
      </c>
    </row>
    <row r="23" ht="15.75" customHeight="1">
      <c r="A23" s="6"/>
      <c r="B23" s="52">
        <v>43321.0</v>
      </c>
      <c r="C23" s="55" t="s">
        <v>20</v>
      </c>
      <c r="D23" s="55" t="s">
        <v>39</v>
      </c>
      <c r="E23" s="55" t="s">
        <v>44</v>
      </c>
      <c r="F23" s="55" t="s">
        <v>62</v>
      </c>
      <c r="G23" s="56">
        <v>0.0</v>
      </c>
      <c r="H23" s="53">
        <v>2600000.0</v>
      </c>
      <c r="I23" s="6"/>
      <c r="J23" s="6"/>
      <c r="K23" s="6"/>
      <c r="L23" s="6"/>
      <c r="M23" s="6"/>
      <c r="N23" s="55" t="s">
        <v>53</v>
      </c>
      <c r="O23" s="55" t="s">
        <v>58</v>
      </c>
      <c r="Q23" s="55" t="s">
        <v>61</v>
      </c>
      <c r="R23" s="53">
        <v>0.0</v>
      </c>
      <c r="S23" s="53">
        <v>2600000.0</v>
      </c>
    </row>
    <row r="24" ht="15.75" customHeight="1">
      <c r="A24" s="6"/>
      <c r="B24" s="52">
        <v>43321.0</v>
      </c>
      <c r="C24" s="55" t="s">
        <v>20</v>
      </c>
      <c r="D24" s="55" t="s">
        <v>18</v>
      </c>
      <c r="E24" s="55" t="s">
        <v>44</v>
      </c>
      <c r="F24" s="55" t="s">
        <v>60</v>
      </c>
      <c r="G24" s="53">
        <v>25005.0</v>
      </c>
      <c r="H24" s="54">
        <v>0.0</v>
      </c>
      <c r="I24" s="6"/>
      <c r="J24" s="6"/>
      <c r="K24" s="6"/>
      <c r="L24" s="6"/>
      <c r="M24" s="6"/>
      <c r="N24" s="55" t="s">
        <v>50</v>
      </c>
      <c r="O24" s="55" t="s">
        <v>58</v>
      </c>
      <c r="Q24" s="55" t="s">
        <v>59</v>
      </c>
      <c r="R24" s="53">
        <v>25005.0</v>
      </c>
      <c r="S24" s="53">
        <v>0.0</v>
      </c>
    </row>
    <row r="25" ht="15.75" customHeight="1">
      <c r="A25" s="6"/>
      <c r="B25" s="52">
        <v>43321.0</v>
      </c>
      <c r="C25" s="55" t="s">
        <v>20</v>
      </c>
      <c r="D25" s="55" t="s">
        <v>18</v>
      </c>
      <c r="E25" s="55" t="s">
        <v>44</v>
      </c>
      <c r="F25" s="55" t="s">
        <v>57</v>
      </c>
      <c r="G25" s="56">
        <v>0.0</v>
      </c>
      <c r="H25" s="53">
        <v>25005.0</v>
      </c>
      <c r="I25" s="6"/>
      <c r="J25" s="6"/>
      <c r="K25" s="6"/>
      <c r="L25" s="6"/>
      <c r="M25" s="6"/>
      <c r="N25" s="55" t="s">
        <v>53</v>
      </c>
      <c r="O25" s="55" t="s">
        <v>58</v>
      </c>
      <c r="Q25" s="55" t="s">
        <v>59</v>
      </c>
      <c r="R25" s="53">
        <v>0.0</v>
      </c>
      <c r="S25" s="53">
        <v>25005.0</v>
      </c>
    </row>
    <row r="26" ht="15.75" customHeight="1">
      <c r="A26" s="6"/>
      <c r="B26" s="52">
        <v>43321.0</v>
      </c>
      <c r="C26" s="55" t="s">
        <v>20</v>
      </c>
      <c r="D26" s="55" t="s">
        <v>18</v>
      </c>
      <c r="E26" s="55" t="s">
        <v>44</v>
      </c>
      <c r="F26" s="55" t="s">
        <v>57</v>
      </c>
      <c r="G26" s="53">
        <v>25010.0</v>
      </c>
      <c r="H26" s="54">
        <v>0.0</v>
      </c>
      <c r="I26" s="6"/>
      <c r="J26" s="6"/>
      <c r="K26" s="6"/>
      <c r="L26" s="6"/>
      <c r="M26" s="6"/>
      <c r="N26" s="55" t="s">
        <v>50</v>
      </c>
      <c r="O26" s="55" t="s">
        <v>58</v>
      </c>
      <c r="Q26" s="55" t="s">
        <v>61</v>
      </c>
      <c r="R26" s="53">
        <v>25010.0</v>
      </c>
      <c r="S26" s="53">
        <v>0.0</v>
      </c>
    </row>
    <row r="27" ht="15.75" customHeight="1">
      <c r="B27" s="52">
        <v>43321.0</v>
      </c>
      <c r="C27" s="55" t="s">
        <v>20</v>
      </c>
      <c r="D27" s="55" t="s">
        <v>18</v>
      </c>
      <c r="E27" s="55" t="s">
        <v>44</v>
      </c>
      <c r="F27" s="55" t="s">
        <v>60</v>
      </c>
      <c r="G27" s="56">
        <v>0.0</v>
      </c>
      <c r="H27" s="53">
        <v>25010.0</v>
      </c>
      <c r="N27" s="55" t="s">
        <v>53</v>
      </c>
      <c r="O27" s="55" t="s">
        <v>58</v>
      </c>
      <c r="Q27" s="55" t="s">
        <v>61</v>
      </c>
      <c r="R27" s="53">
        <v>0.0</v>
      </c>
      <c r="S27" s="53">
        <v>25010.0</v>
      </c>
    </row>
    <row r="28" ht="15.75" customHeight="1">
      <c r="B28" s="52">
        <v>43322.0</v>
      </c>
      <c r="C28" s="55" t="s">
        <v>20</v>
      </c>
      <c r="D28" s="55" t="s">
        <v>39</v>
      </c>
      <c r="E28" s="55" t="s">
        <v>44</v>
      </c>
      <c r="F28" s="55" t="s">
        <v>62</v>
      </c>
      <c r="G28" s="53">
        <v>4087495.0</v>
      </c>
      <c r="H28" s="54">
        <v>0.0</v>
      </c>
      <c r="N28" s="55" t="s">
        <v>50</v>
      </c>
      <c r="O28" s="55" t="s">
        <v>58</v>
      </c>
      <c r="Q28" s="55" t="s">
        <v>59</v>
      </c>
      <c r="R28" s="53">
        <v>4087495.0</v>
      </c>
      <c r="S28" s="53">
        <v>0.0</v>
      </c>
    </row>
    <row r="29" ht="15.75" customHeight="1">
      <c r="B29" s="52">
        <v>43322.0</v>
      </c>
      <c r="C29" s="55" t="s">
        <v>20</v>
      </c>
      <c r="D29" s="55" t="s">
        <v>39</v>
      </c>
      <c r="E29" s="55" t="s">
        <v>44</v>
      </c>
      <c r="F29" s="55" t="s">
        <v>63</v>
      </c>
      <c r="G29" s="56">
        <v>0.0</v>
      </c>
      <c r="H29" s="53">
        <v>4087495.0</v>
      </c>
      <c r="N29" s="55" t="s">
        <v>53</v>
      </c>
      <c r="O29" s="55" t="s">
        <v>58</v>
      </c>
      <c r="Q29" s="55" t="s">
        <v>59</v>
      </c>
      <c r="R29" s="53">
        <v>0.0</v>
      </c>
      <c r="S29" s="53">
        <v>4087495.0</v>
      </c>
    </row>
    <row r="30" ht="15.75" customHeight="1">
      <c r="B30" s="52">
        <v>43322.0</v>
      </c>
      <c r="C30" s="55" t="s">
        <v>20</v>
      </c>
      <c r="D30" s="55" t="s">
        <v>39</v>
      </c>
      <c r="E30" s="55" t="s">
        <v>44</v>
      </c>
      <c r="F30" s="55" t="s">
        <v>63</v>
      </c>
      <c r="G30" s="53">
        <v>4087495.0</v>
      </c>
      <c r="H30" s="54">
        <v>0.0</v>
      </c>
      <c r="N30" s="55" t="s">
        <v>50</v>
      </c>
      <c r="O30" s="55" t="s">
        <v>58</v>
      </c>
      <c r="Q30" s="55" t="s">
        <v>61</v>
      </c>
      <c r="R30" s="53">
        <v>4087495.0</v>
      </c>
      <c r="S30" s="53">
        <v>0.0</v>
      </c>
    </row>
    <row r="31" ht="15.75" customHeight="1">
      <c r="B31" s="52">
        <v>43322.0</v>
      </c>
      <c r="C31" s="55" t="s">
        <v>20</v>
      </c>
      <c r="D31" s="55" t="s">
        <v>39</v>
      </c>
      <c r="E31" s="55" t="s">
        <v>44</v>
      </c>
      <c r="F31" s="55" t="s">
        <v>62</v>
      </c>
      <c r="G31" s="56">
        <v>0.0</v>
      </c>
      <c r="H31" s="53">
        <v>4087495.0</v>
      </c>
      <c r="N31" s="55" t="s">
        <v>53</v>
      </c>
      <c r="O31" s="55" t="s">
        <v>58</v>
      </c>
      <c r="Q31" s="55" t="s">
        <v>61</v>
      </c>
      <c r="R31" s="53">
        <v>0.0</v>
      </c>
      <c r="S31" s="53">
        <v>4087495.0</v>
      </c>
    </row>
    <row r="32" ht="15.75" customHeight="1">
      <c r="B32" s="52">
        <v>43322.0</v>
      </c>
      <c r="C32" s="55" t="s">
        <v>20</v>
      </c>
      <c r="D32" s="55" t="s">
        <v>18</v>
      </c>
      <c r="E32" s="55" t="s">
        <v>44</v>
      </c>
      <c r="F32" s="55" t="s">
        <v>55</v>
      </c>
      <c r="G32" s="53">
        <v>92997.52</v>
      </c>
      <c r="H32" s="54">
        <v>0.0</v>
      </c>
      <c r="N32" s="55" t="s">
        <v>50</v>
      </c>
      <c r="O32" s="55" t="s">
        <v>58</v>
      </c>
      <c r="Q32" s="55" t="s">
        <v>64</v>
      </c>
      <c r="R32" s="53">
        <v>92997.52</v>
      </c>
      <c r="S32" s="53">
        <v>0.0</v>
      </c>
    </row>
    <row r="33" ht="15.75" customHeight="1">
      <c r="B33" s="52">
        <v>43322.0</v>
      </c>
      <c r="C33" s="55" t="s">
        <v>20</v>
      </c>
      <c r="D33" s="55" t="s">
        <v>18</v>
      </c>
      <c r="E33" s="55" t="s">
        <v>44</v>
      </c>
      <c r="F33" s="55" t="s">
        <v>65</v>
      </c>
      <c r="G33" s="56">
        <v>0.0</v>
      </c>
      <c r="H33" s="53">
        <v>92997.52</v>
      </c>
      <c r="N33" s="55" t="s">
        <v>53</v>
      </c>
      <c r="O33" s="55" t="s">
        <v>58</v>
      </c>
      <c r="Q33" s="55" t="s">
        <v>64</v>
      </c>
      <c r="R33" s="53">
        <v>0.0</v>
      </c>
      <c r="S33" s="53">
        <v>92997.52</v>
      </c>
    </row>
    <row r="34" ht="15.75" customHeight="1">
      <c r="B34" s="52">
        <v>43322.0</v>
      </c>
      <c r="C34" s="55" t="s">
        <v>20</v>
      </c>
      <c r="D34" s="55" t="s">
        <v>18</v>
      </c>
      <c r="E34" s="55" t="s">
        <v>44</v>
      </c>
      <c r="F34" s="55" t="s">
        <v>60</v>
      </c>
      <c r="G34" s="53">
        <v>18902.52</v>
      </c>
      <c r="H34" s="54">
        <v>0.0</v>
      </c>
      <c r="N34" s="55" t="s">
        <v>50</v>
      </c>
      <c r="O34" s="55" t="s">
        <v>58</v>
      </c>
      <c r="Q34" s="55" t="s">
        <v>59</v>
      </c>
      <c r="R34" s="53">
        <v>18902.52</v>
      </c>
      <c r="S34" s="53">
        <v>0.0</v>
      </c>
    </row>
    <row r="35" ht="15.75" customHeight="1">
      <c r="B35" s="52">
        <v>43322.0</v>
      </c>
      <c r="C35" s="55" t="s">
        <v>20</v>
      </c>
      <c r="D35" s="55" t="s">
        <v>18</v>
      </c>
      <c r="E35" s="55" t="s">
        <v>44</v>
      </c>
      <c r="F35" s="55" t="s">
        <v>57</v>
      </c>
      <c r="G35" s="56">
        <v>0.0</v>
      </c>
      <c r="H35" s="53">
        <v>18902.52</v>
      </c>
      <c r="N35" s="55" t="s">
        <v>53</v>
      </c>
      <c r="O35" s="55" t="s">
        <v>58</v>
      </c>
      <c r="Q35" s="55" t="s">
        <v>59</v>
      </c>
      <c r="R35" s="53">
        <v>0.0</v>
      </c>
      <c r="S35" s="53">
        <v>18902.52</v>
      </c>
    </row>
    <row r="36" ht="15.75" customHeight="1">
      <c r="B36" s="52">
        <v>43322.0</v>
      </c>
      <c r="C36" s="55" t="s">
        <v>20</v>
      </c>
      <c r="D36" s="55" t="s">
        <v>18</v>
      </c>
      <c r="E36" s="55" t="s">
        <v>44</v>
      </c>
      <c r="F36" s="55" t="s">
        <v>57</v>
      </c>
      <c r="G36" s="53">
        <v>25005.0</v>
      </c>
      <c r="H36" s="54">
        <v>0.0</v>
      </c>
      <c r="N36" s="55" t="s">
        <v>50</v>
      </c>
      <c r="O36" s="55" t="s">
        <v>58</v>
      </c>
      <c r="Q36" s="55" t="s">
        <v>61</v>
      </c>
      <c r="R36" s="53">
        <v>25005.0</v>
      </c>
      <c r="S36" s="53">
        <v>0.0</v>
      </c>
    </row>
    <row r="37" ht="15.75" customHeight="1">
      <c r="B37" s="52">
        <v>43322.0</v>
      </c>
      <c r="C37" s="55" t="s">
        <v>20</v>
      </c>
      <c r="D37" s="55" t="s">
        <v>18</v>
      </c>
      <c r="E37" s="55" t="s">
        <v>44</v>
      </c>
      <c r="F37" s="55" t="s">
        <v>60</v>
      </c>
      <c r="G37" s="56">
        <v>0.0</v>
      </c>
      <c r="H37" s="53">
        <v>25005.0</v>
      </c>
      <c r="N37" s="55" t="s">
        <v>53</v>
      </c>
      <c r="O37" s="55" t="s">
        <v>58</v>
      </c>
      <c r="Q37" s="55" t="s">
        <v>61</v>
      </c>
      <c r="R37" s="53">
        <v>0.0</v>
      </c>
      <c r="S37" s="53">
        <v>25005.0</v>
      </c>
    </row>
    <row r="38" ht="15.75" customHeight="1">
      <c r="B38" s="52">
        <v>43323.0</v>
      </c>
      <c r="C38" s="55" t="s">
        <v>20</v>
      </c>
      <c r="D38" s="55" t="s">
        <v>39</v>
      </c>
      <c r="E38" s="55" t="s">
        <v>44</v>
      </c>
      <c r="F38" s="55" t="s">
        <v>62</v>
      </c>
      <c r="G38" s="53">
        <v>4087495.0</v>
      </c>
      <c r="H38" s="54">
        <v>0.0</v>
      </c>
      <c r="N38" s="55" t="s">
        <v>50</v>
      </c>
      <c r="O38" s="55" t="s">
        <v>58</v>
      </c>
      <c r="Q38" s="55" t="s">
        <v>59</v>
      </c>
      <c r="R38" s="53">
        <v>4087495.0</v>
      </c>
      <c r="S38" s="53">
        <v>0.0</v>
      </c>
    </row>
    <row r="39" ht="15.75" customHeight="1">
      <c r="B39" s="52">
        <v>43323.0</v>
      </c>
      <c r="C39" s="55" t="s">
        <v>20</v>
      </c>
      <c r="D39" s="55" t="s">
        <v>39</v>
      </c>
      <c r="E39" s="55" t="s">
        <v>44</v>
      </c>
      <c r="F39" s="55" t="s">
        <v>63</v>
      </c>
      <c r="G39" s="56">
        <v>0.0</v>
      </c>
      <c r="H39" s="53">
        <v>4087495.0</v>
      </c>
      <c r="N39" s="55" t="s">
        <v>53</v>
      </c>
      <c r="O39" s="55" t="s">
        <v>58</v>
      </c>
      <c r="Q39" s="55" t="s">
        <v>59</v>
      </c>
      <c r="R39" s="53">
        <v>0.0</v>
      </c>
      <c r="S39" s="53">
        <v>4087495.0</v>
      </c>
    </row>
    <row r="40" ht="15.75" customHeight="1">
      <c r="B40" s="52">
        <v>43323.0</v>
      </c>
      <c r="C40" s="55" t="s">
        <v>20</v>
      </c>
      <c r="D40" s="55" t="s">
        <v>39</v>
      </c>
      <c r="E40" s="55" t="s">
        <v>44</v>
      </c>
      <c r="F40" s="55" t="s">
        <v>63</v>
      </c>
      <c r="G40" s="53">
        <v>4087495.0</v>
      </c>
      <c r="H40" s="54">
        <v>0.0</v>
      </c>
      <c r="N40" s="55" t="s">
        <v>50</v>
      </c>
      <c r="O40" s="55" t="s">
        <v>58</v>
      </c>
      <c r="Q40" s="55" t="s">
        <v>61</v>
      </c>
      <c r="R40" s="53">
        <v>4087495.0</v>
      </c>
      <c r="S40" s="53">
        <v>0.0</v>
      </c>
    </row>
    <row r="41" ht="15.75" customHeight="1">
      <c r="B41" s="52">
        <v>43323.0</v>
      </c>
      <c r="C41" s="55" t="s">
        <v>20</v>
      </c>
      <c r="D41" s="55" t="s">
        <v>39</v>
      </c>
      <c r="E41" s="55" t="s">
        <v>44</v>
      </c>
      <c r="F41" s="55" t="s">
        <v>62</v>
      </c>
      <c r="G41" s="56">
        <v>0.0</v>
      </c>
      <c r="H41" s="53">
        <v>4087495.0</v>
      </c>
      <c r="N41" s="55" t="s">
        <v>53</v>
      </c>
      <c r="O41" s="55" t="s">
        <v>58</v>
      </c>
      <c r="Q41" s="55" t="s">
        <v>61</v>
      </c>
      <c r="R41" s="53">
        <v>0.0</v>
      </c>
      <c r="S41" s="53">
        <v>4087495.0</v>
      </c>
    </row>
    <row r="42" ht="15.75" customHeight="1">
      <c r="B42" s="52">
        <v>43323.0</v>
      </c>
      <c r="C42" s="55" t="s">
        <v>20</v>
      </c>
      <c r="D42" s="55" t="s">
        <v>18</v>
      </c>
      <c r="E42" s="55" t="s">
        <v>44</v>
      </c>
      <c r="F42" s="55" t="s">
        <v>60</v>
      </c>
      <c r="G42" s="53">
        <v>18902.52</v>
      </c>
      <c r="H42" s="54">
        <v>0.0</v>
      </c>
      <c r="N42" s="55" t="s">
        <v>50</v>
      </c>
      <c r="O42" s="55" t="s">
        <v>58</v>
      </c>
      <c r="Q42" s="55" t="s">
        <v>59</v>
      </c>
      <c r="R42" s="53">
        <v>18902.52</v>
      </c>
      <c r="S42" s="53">
        <v>0.0</v>
      </c>
    </row>
    <row r="43" ht="15.75" customHeight="1">
      <c r="B43" s="52">
        <v>43323.0</v>
      </c>
      <c r="C43" s="55" t="s">
        <v>20</v>
      </c>
      <c r="D43" s="55" t="s">
        <v>18</v>
      </c>
      <c r="E43" s="55" t="s">
        <v>44</v>
      </c>
      <c r="F43" s="55" t="s">
        <v>57</v>
      </c>
      <c r="G43" s="56">
        <v>0.0</v>
      </c>
      <c r="H43" s="53">
        <v>18902.52</v>
      </c>
      <c r="N43" s="55" t="s">
        <v>53</v>
      </c>
      <c r="O43" s="55" t="s">
        <v>58</v>
      </c>
      <c r="Q43" s="55" t="s">
        <v>59</v>
      </c>
      <c r="R43" s="53">
        <v>0.0</v>
      </c>
      <c r="S43" s="53">
        <v>18902.52</v>
      </c>
    </row>
    <row r="44" ht="15.75" customHeight="1">
      <c r="B44" s="52">
        <v>43323.0</v>
      </c>
      <c r="C44" s="55" t="s">
        <v>20</v>
      </c>
      <c r="D44" s="55" t="s">
        <v>18</v>
      </c>
      <c r="E44" s="55" t="s">
        <v>44</v>
      </c>
      <c r="F44" s="55" t="s">
        <v>57</v>
      </c>
      <c r="G44" s="53">
        <v>18902.52</v>
      </c>
      <c r="H44" s="54">
        <v>0.0</v>
      </c>
      <c r="N44" s="55" t="s">
        <v>50</v>
      </c>
      <c r="O44" s="55" t="s">
        <v>58</v>
      </c>
      <c r="Q44" s="55" t="s">
        <v>61</v>
      </c>
      <c r="R44" s="53">
        <v>18902.52</v>
      </c>
      <c r="S44" s="53">
        <v>0.0</v>
      </c>
    </row>
    <row r="45" ht="15.75" customHeight="1">
      <c r="B45" s="52">
        <v>43323.0</v>
      </c>
      <c r="C45" s="55" t="s">
        <v>20</v>
      </c>
      <c r="D45" s="55" t="s">
        <v>18</v>
      </c>
      <c r="E45" s="55" t="s">
        <v>44</v>
      </c>
      <c r="F45" s="55" t="s">
        <v>60</v>
      </c>
      <c r="G45" s="56">
        <v>0.0</v>
      </c>
      <c r="H45" s="53">
        <v>18902.52</v>
      </c>
      <c r="N45" s="55" t="s">
        <v>53</v>
      </c>
      <c r="O45" s="55" t="s">
        <v>58</v>
      </c>
      <c r="Q45" s="55" t="s">
        <v>61</v>
      </c>
      <c r="R45" s="53">
        <v>0.0</v>
      </c>
      <c r="S45" s="53">
        <v>18902.52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