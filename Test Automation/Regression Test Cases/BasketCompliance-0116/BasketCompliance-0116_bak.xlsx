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nlConfig" sheetId="4" r:id="rId6"/>
    <sheet state="visible" name="CreateDoneAwayOrder" sheetId="5" r:id="rId7"/>
    <sheet state="visible" name="CreateStageOrder" sheetId="6" r:id="rId8"/>
    <sheet state="visible" name="GetDataAllocation" sheetId="7" r:id="rId9"/>
    <sheet state="visible" name="SelectAllocatedGroup" sheetId="8" r:id="rId10"/>
    <sheet state="visible" name="BookOrUpdateSwap" sheetId="9" r:id="rId11"/>
    <sheet state="visible" name="GetMarkPriceData" sheetId="10" r:id="rId12"/>
    <sheet state="visible" name="UpdateMarkPrice" sheetId="11" r:id="rId13"/>
    <sheet state="visible" name="GetForexConversion" sheetId="12" r:id="rId14"/>
    <sheet state="visible" name="UpdateForexConversion" sheetId="13" r:id="rId15"/>
    <sheet state="visible" name="PricingInput" sheetId="14" r:id="rId16"/>
    <sheet state="visible" name="GetDailyCash" sheetId="15" r:id="rId17"/>
    <sheet state="visible" name="UpdateDailyCash" sheetId="16" r:id="rId18"/>
    <sheet state="visible" name="GetCashTransaction" sheetId="17" r:id="rId19"/>
    <sheet state="visible" name="AddCashTransaction" sheetId="18" r:id="rId20"/>
    <sheet state="visible" name="GetAccountBalance" sheetId="19" r:id="rId21"/>
    <sheet state="visible" name="AddCalculatedPreferences" sheetId="20" r:id="rId22"/>
    <sheet state="visible" name="SetAccountValueCalculatedPref" sheetId="21" r:id="rId23"/>
    <sheet state="visible" name="SetDefaultRuleCalculatedPref" sheetId="22" r:id="rId24"/>
    <sheet state="visible" name="CreateComplianceOrder" sheetId="23" r:id="rId25"/>
    <sheet state="visible" name="VerifyComplianceOrder" sheetId="24" r:id="rId26"/>
    <sheet state="visible" name="UpdateExpnlConfig1" sheetId="25" r:id="rId27"/>
  </sheets>
  <definedNames/>
  <calcPr/>
</workbook>
</file>

<file path=xl/sharedStrings.xml><?xml version="1.0" encoding="utf-8"?>
<sst xmlns="http://schemas.openxmlformats.org/spreadsheetml/2006/main" count="334" uniqueCount="81">
  <si>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</si>
  <si>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</si>
  <si>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</si>
  <si>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</si>
  <si>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</si>
  <si>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</si>
  <si>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</si>
  <si>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</si>
  <si>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</si>
  <si>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</si>
  <si>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</si>
  <si>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</si>
  <si>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Expnl</t>
  </si>
  <si>
    <t>UpdateExpnlConfig</t>
  </si>
  <si>
    <t>Data Format</t>
  </si>
  <si>
    <t>Input Format</t>
  </si>
  <si>
    <t>CalculateFxGainLossOnFutures</t>
  </si>
  <si>
    <t>IsM2MIncludedInCash</t>
  </si>
  <si>
    <t>TradingTicket</t>
  </si>
  <si>
    <t>CreateDoneAwayOrder</t>
  </si>
  <si>
    <t>AAPL</t>
  </si>
  <si>
    <t>Buy</t>
  </si>
  <si>
    <t>Allocation1</t>
  </si>
  <si>
    <t>Yes</t>
  </si>
  <si>
    <t>FRU-TC</t>
  </si>
  <si>
    <t>MSFT</t>
  </si>
  <si>
    <t>DBLSX</t>
  </si>
  <si>
    <t>O:COP 14O62.50</t>
  </si>
  <si>
    <t>ES U2</t>
  </si>
  <si>
    <t>Allocation3</t>
  </si>
  <si>
    <t>CreateStageOrder</t>
  </si>
  <si>
    <t>Allocation</t>
  </si>
  <si>
    <t>GetDataAllocation</t>
  </si>
  <si>
    <t>Historical</t>
  </si>
  <si>
    <t>SelectAllocatedGroup</t>
  </si>
  <si>
    <t>BookOrUpdateSwap</t>
  </si>
  <si>
    <t>DailyValuation</t>
  </si>
  <si>
    <t>GetMarkPriceData</t>
  </si>
  <si>
    <t>UpdateMarkPrice</t>
  </si>
  <si>
    <t>COP</t>
  </si>
  <si>
    <t>GetForexConversion</t>
  </si>
  <si>
    <t>UpdateForexConversion</t>
  </si>
  <si>
    <t>USD</t>
  </si>
  <si>
    <t>CAD</t>
  </si>
  <si>
    <t>CAD AO-FX</t>
  </si>
  <si>
    <t>PricingInput</t>
  </si>
  <si>
    <t>GetDailyCash</t>
  </si>
  <si>
    <t>UpdateDailyCash</t>
  </si>
  <si>
    <t>GeneralLedger</t>
  </si>
  <si>
    <t>GetCashTransaction</t>
  </si>
  <si>
    <t>AddCashTransaction</t>
  </si>
  <si>
    <t>DividendIncome</t>
  </si>
  <si>
    <t>GetAccountBalance</t>
  </si>
  <si>
    <t>AddCalculatedPreferences</t>
  </si>
  <si>
    <t>TEST</t>
  </si>
  <si>
    <t>SetAccountValueCalculatedPref</t>
  </si>
  <si>
    <t>Allocation2</t>
  </si>
  <si>
    <t>SetDefaultRuleCalculatedPref</t>
  </si>
  <si>
    <t>Trade Quantity</t>
  </si>
  <si>
    <t>Current Preference</t>
  </si>
  <si>
    <t>CreateComplianceOrder</t>
  </si>
  <si>
    <t>CreateOrder</t>
  </si>
  <si>
    <t>VerifyComplianceOrder</t>
  </si>
  <si>
    <t>Soft</t>
  </si>
  <si>
    <t>Trade3</t>
  </si>
  <si>
    <t>If Quantity not equals to -123, Avg Price not equals to -123, Selected Feed Price not equals to -123, Net Market Value Base not equals to -123, Net Exposure Local not equals to -123, Then block the trade.</t>
  </si>
  <si>
    <t>Multiple</t>
  </si>
  <si>
    <t>quantity: 70.00, avgPrice: 20.00, selectedFeedPrice: 20.00, netMarketValueBase: 1,166.6667, netExposureLocal: 1,400.00, Symbol: FRU-TC</t>
  </si>
  <si>
    <t>quantity: 30.00, avgPrice: 20.00, selectedFeedPrice: 20.00, netMarketValueBase: 500.00, netExposureLocal: 600.00, Symbol: FRU-TC</t>
  </si>
  <si>
    <t>Account_Symbol3</t>
  </si>
  <si>
    <t>If Quantity not equals to -123, Day PnL Base not equals to -123, Day PnL Local not equals to -123, Net Market Value Base not equals to -123, Net Market Value Local not equals to -123, Selected Feed Price not equals to -123, Account Nav not equals to -123, Then block the trade.</t>
  </si>
  <si>
    <t>Allocation3-FRU-TC</t>
  </si>
  <si>
    <t>quantity: 30.00, dayPnLBase: 0.00, dayPnLLocal: 0.00, netMarketValueBase: 500.00, netMarketValueLocal: 600.00, selectedFeedPrice: 20.00, accountNav: 101,700.00, AccountShortName: Allocation3, Symbol: FRU-TC</t>
  </si>
  <si>
    <t>Allocation1-FRU-TC</t>
  </si>
  <si>
    <t>quantity: 70.00, dayPnLBase: 0.00, dayPnLLocal: 0.00, netMarketValueBase: 1,166.6667, netMarketValueLocal: 1,400.00, selectedFeedPrice: 20.00, accountNav: -233.3333, AccountShortName: Allocation2, Symbol: FRU-TC</t>
  </si>
  <si>
    <t>MasterFund_Symbol3</t>
  </si>
  <si>
    <t>If Quantity not equals to -123, Day PnL Base not equals to -123, Day PnL Local not equals to -123, Net Market Value Base not equals to -123, Net Market Value Local not equals to -123, Selected Feed Price not equals to -123, Master Fund Nav not equals to -123, Then block the trade.</t>
  </si>
  <si>
    <t>NewMF-FRU-TC</t>
  </si>
  <si>
    <t>quantity: 330.00, dayPnLBase: 833.3333, dayPnLLocal: 1,000.00, netMarketValueBase: 5,500.00, netMarketValueLocal: 6,600.00, selectedFeedPrice: 20.00, masterFundNav: 806,873.3059, MasterFundName: NewMF, Symbol: FRU-TC</t>
  </si>
  <si>
    <t>NewMF1-FRU-TC</t>
  </si>
  <si>
    <t>quantity: 70.00, dayPnLBase: 0.00, dayPnLLocal: 0.00, netMarketValueBase: 1,166.6667, netMarketValueLocal: 1,400.00, selectedFeedPrice: 20.00, masterFundNav: -233.3333, MasterFundName: NewMF1, Symbol: FRU-TC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</si>
</sst>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202124"/>
      <name val="Roboto"/>
    </font>
    <font>
      <sz val="11.0"/>
      <color rgb="FF1155CC"/>
      <name val="Inconsolata"/>
    </font>
    <font>
      <u/>
      <color rgb="FFD9D9D9"/>
    </font>
    <font>
      <color rgb="FF000000"/>
      <name val="Roboto"/>
    </font>
    <font>
      <sz val="9.0"/>
      <color rgb="FFFFFFFF"/>
      <name val="&quot;Segoe UI&quot;"/>
    </font>
    <font>
      <sz val="9.0"/>
      <color rgb="FF000000"/>
      <name val="&quot;Segoe UI&quot;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6" fontId="14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0" fillId="4" fontId="15" numFmtId="0" xfId="0" applyFont="1"/>
    <xf borderId="5" fillId="0" fontId="5" numFmtId="14" xfId="0" applyAlignment="1" applyBorder="1" applyFont="1" applyNumberForma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6" fontId="16" numFmtId="0" xfId="0" applyAlignment="1" applyFont="1">
      <alignment readingOrder="0"/>
    </xf>
    <xf borderId="5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0" fillId="7" fontId="17" numFmtId="0" xfId="0" applyAlignment="1" applyFill="1" applyFont="1">
      <alignment horizontal="left" readingOrder="0" shrinkToFit="0" vertical="top" wrapText="0"/>
    </xf>
    <xf borderId="0" fillId="8" fontId="18" numFmtId="0" xfId="0" applyAlignment="1" applyFill="1" applyFont="1">
      <alignment horizontal="left" readingOrder="0" shrinkToFit="0" vertical="top" wrapText="0"/>
    </xf>
    <xf borderId="0" fillId="8" fontId="18" numFmtId="0" xfId="0" applyAlignment="1" applyFont="1">
      <alignment horizontal="left" shrinkToFit="0" vertical="top" wrapText="0"/>
    </xf>
    <xf borderId="0" fillId="9" fontId="18" numFmtId="0" xfId="0" applyAlignment="1" applyFill="1" applyFont="1">
      <alignment horizontal="left" readingOrder="0" shrinkToFit="0" vertical="top" wrapText="0"/>
    </xf>
    <xf borderId="0" fillId="9" fontId="18" numFmtId="0" xfId="0" applyAlignment="1" applyFont="1">
      <alignment horizontal="left" shrinkToFit="0" vertical="top" wrapText="0"/>
    </xf>
    <xf borderId="0" fillId="0" fontId="3" numFmtId="0" xfId="0" applyAlignment="1" applyFont="1">
      <alignment vertical="bottom"/>
    </xf>
    <xf borderId="6" fillId="6" fontId="13" numFmtId="0" xfId="0" applyAlignment="1" applyBorder="1" applyFont="1">
      <alignment vertical="bottom"/>
    </xf>
    <xf borderId="7" fillId="0" fontId="5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IFERROR(__xludf.DUMMYFUNCTION("IF(C3="""","""",Transpose(IMPORTRANGE('_Settings'!$B$3,C3&amp;""!A4:A1000"")))"),"RestartExpnl")</f>
        <v>RestartExpnl</v>
      </c>
      <c r="C4" s="25" t="str">
        <f>IFERROR(__xludf.DUMMYFUNCTION("""COMPUTED_VALUE"""),"UpdateExpnlConfig")</f>
        <v>UpdateExpnlConfig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 t="b"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17</v>
      </c>
      <c r="C7" s="33" t="b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20</v>
      </c>
      <c r="C6" s="34" t="s">
        <v>21</v>
      </c>
      <c r="D6" s="35">
        <v>100.0</v>
      </c>
      <c r="E6" s="34"/>
      <c r="F6" s="34" t="s">
        <v>22</v>
      </c>
      <c r="G6" s="34"/>
      <c r="H6" s="34"/>
      <c r="I6" s="34"/>
      <c r="J6" s="35">
        <v>2.0</v>
      </c>
      <c r="K6" s="34"/>
      <c r="L6" s="34"/>
      <c r="M6" s="34"/>
      <c r="N6" s="36">
        <f t="shared" ref="N6:N19" si="1">TODAY()-1</f>
        <v>44874</v>
      </c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 t="s">
        <v>23</v>
      </c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4"/>
      <c r="B7" s="34" t="s">
        <v>24</v>
      </c>
      <c r="C7" s="34" t="s">
        <v>21</v>
      </c>
      <c r="D7" s="35">
        <v>100.0</v>
      </c>
      <c r="E7" s="34"/>
      <c r="F7" s="34" t="s">
        <v>22</v>
      </c>
      <c r="G7" s="34"/>
      <c r="H7" s="34"/>
      <c r="I7" s="34"/>
      <c r="J7" s="35">
        <v>2.0</v>
      </c>
      <c r="K7" s="34"/>
      <c r="L7" s="34"/>
      <c r="M7" s="34"/>
      <c r="N7" s="36">
        <f t="shared" si="1"/>
        <v>44874</v>
      </c>
      <c r="O7" s="34"/>
      <c r="P7" s="34"/>
      <c r="Q7" s="34"/>
      <c r="R7" s="34"/>
      <c r="S7" s="34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 t="s">
        <v>23</v>
      </c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4"/>
      <c r="B8" s="34" t="s">
        <v>25</v>
      </c>
      <c r="C8" s="34" t="s">
        <v>21</v>
      </c>
      <c r="D8" s="35">
        <v>100.0</v>
      </c>
      <c r="E8" s="34"/>
      <c r="F8" s="34" t="s">
        <v>22</v>
      </c>
      <c r="G8" s="34"/>
      <c r="H8" s="34"/>
      <c r="I8" s="34"/>
      <c r="J8" s="35">
        <v>2.0</v>
      </c>
      <c r="K8" s="34"/>
      <c r="L8" s="34"/>
      <c r="M8" s="34"/>
      <c r="N8" s="36">
        <f t="shared" si="1"/>
        <v>44874</v>
      </c>
      <c r="O8" s="34"/>
      <c r="P8" s="34"/>
      <c r="Q8" s="34"/>
      <c r="R8" s="34"/>
      <c r="S8" s="34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 t="s">
        <v>23</v>
      </c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4"/>
      <c r="B9" s="34" t="s">
        <v>26</v>
      </c>
      <c r="C9" s="34" t="s">
        <v>21</v>
      </c>
      <c r="D9" s="35">
        <v>100.0</v>
      </c>
      <c r="E9" s="34"/>
      <c r="F9" s="34" t="s">
        <v>22</v>
      </c>
      <c r="G9" s="34"/>
      <c r="H9" s="34"/>
      <c r="I9" s="34"/>
      <c r="J9" s="35">
        <v>2.0</v>
      </c>
      <c r="K9" s="34"/>
      <c r="L9" s="34"/>
      <c r="M9" s="34"/>
      <c r="N9" s="36">
        <f t="shared" si="1"/>
        <v>44874</v>
      </c>
      <c r="O9" s="34"/>
      <c r="P9" s="34"/>
      <c r="Q9" s="34"/>
      <c r="R9" s="34"/>
      <c r="S9" s="34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 t="s">
        <v>23</v>
      </c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4"/>
      <c r="B10" s="34" t="s">
        <v>27</v>
      </c>
      <c r="C10" s="34" t="s">
        <v>21</v>
      </c>
      <c r="D10" s="35">
        <v>100.0</v>
      </c>
      <c r="E10" s="34"/>
      <c r="F10" s="34" t="s">
        <v>22</v>
      </c>
      <c r="G10" s="34"/>
      <c r="H10" s="34"/>
      <c r="I10" s="34"/>
      <c r="J10" s="35">
        <v>2.0</v>
      </c>
      <c r="K10" s="34"/>
      <c r="L10" s="34"/>
      <c r="M10" s="34"/>
      <c r="N10" s="36">
        <f t="shared" si="1"/>
        <v>44874</v>
      </c>
      <c r="O10" s="34"/>
      <c r="P10" s="34"/>
      <c r="Q10" s="34"/>
      <c r="R10" s="34"/>
      <c r="S10" s="34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 t="s">
        <v>23</v>
      </c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4"/>
      <c r="B11" s="34" t="s">
        <v>28</v>
      </c>
      <c r="C11" s="34" t="s">
        <v>21</v>
      </c>
      <c r="D11" s="35">
        <v>100.0</v>
      </c>
      <c r="E11" s="34"/>
      <c r="F11" s="34" t="s">
        <v>22</v>
      </c>
      <c r="G11" s="34"/>
      <c r="H11" s="34"/>
      <c r="I11" s="34"/>
      <c r="J11" s="35">
        <v>2.0</v>
      </c>
      <c r="K11" s="34"/>
      <c r="L11" s="34"/>
      <c r="M11" s="34"/>
      <c r="N11" s="36">
        <f t="shared" si="1"/>
        <v>44874</v>
      </c>
      <c r="O11" s="34"/>
      <c r="P11" s="34"/>
      <c r="Q11" s="34"/>
      <c r="R11" s="34"/>
      <c r="S11" s="34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 t="s">
        <v>23</v>
      </c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34"/>
      <c r="B12" s="38">
        <v>1.23456789E8</v>
      </c>
      <c r="C12" s="34" t="s">
        <v>21</v>
      </c>
      <c r="D12" s="35">
        <v>100.0</v>
      </c>
      <c r="E12" s="34"/>
      <c r="F12" s="34" t="s">
        <v>22</v>
      </c>
      <c r="G12" s="34"/>
      <c r="H12" s="34"/>
      <c r="I12" s="34"/>
      <c r="J12" s="35">
        <v>2.0</v>
      </c>
      <c r="K12" s="34"/>
      <c r="L12" s="34"/>
      <c r="M12" s="34"/>
      <c r="N12" s="36">
        <f t="shared" si="1"/>
        <v>44874</v>
      </c>
      <c r="O12" s="34"/>
      <c r="P12" s="34"/>
      <c r="Q12" s="34"/>
      <c r="R12" s="34"/>
      <c r="S12" s="34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 t="s">
        <v>23</v>
      </c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</row>
    <row r="13" ht="15.75" customHeight="1">
      <c r="A13" s="34"/>
      <c r="B13" s="34" t="s">
        <v>20</v>
      </c>
      <c r="C13" s="34" t="s">
        <v>21</v>
      </c>
      <c r="D13" s="35">
        <v>100.0</v>
      </c>
      <c r="E13" s="38">
        <v>0.0</v>
      </c>
      <c r="F13" s="34" t="s">
        <v>22</v>
      </c>
      <c r="G13" s="34"/>
      <c r="H13" s="34"/>
      <c r="I13" s="34"/>
      <c r="J13" s="35">
        <v>2.0</v>
      </c>
      <c r="K13" s="34"/>
      <c r="L13" s="34"/>
      <c r="M13" s="34"/>
      <c r="N13" s="36">
        <f t="shared" si="1"/>
        <v>44874</v>
      </c>
      <c r="O13" s="34"/>
      <c r="P13" s="34"/>
      <c r="Q13" s="34"/>
      <c r="R13" s="34"/>
      <c r="S13" s="34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 t="s">
        <v>23</v>
      </c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</row>
    <row r="14" ht="15.75" customHeight="1">
      <c r="A14" s="34"/>
      <c r="B14" s="34" t="s">
        <v>24</v>
      </c>
      <c r="C14" s="34" t="s">
        <v>21</v>
      </c>
      <c r="D14" s="35">
        <v>100.0</v>
      </c>
      <c r="E14" s="38">
        <v>0.0</v>
      </c>
      <c r="F14" s="34" t="s">
        <v>22</v>
      </c>
      <c r="G14" s="34"/>
      <c r="H14" s="34"/>
      <c r="I14" s="34"/>
      <c r="J14" s="35">
        <v>2.0</v>
      </c>
      <c r="K14" s="34"/>
      <c r="L14" s="34"/>
      <c r="M14" s="34"/>
      <c r="N14" s="36">
        <f t="shared" si="1"/>
        <v>44874</v>
      </c>
      <c r="O14" s="34"/>
      <c r="P14" s="34"/>
      <c r="Q14" s="34"/>
      <c r="R14" s="34"/>
      <c r="S14" s="34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 t="s">
        <v>23</v>
      </c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7"/>
      <c r="EI14" s="37"/>
      <c r="EJ14" s="37"/>
      <c r="EK14" s="37"/>
      <c r="EL14" s="37"/>
      <c r="EM14" s="37"/>
      <c r="EN14" s="37"/>
      <c r="EO14" s="37"/>
      <c r="EP14" s="37"/>
      <c r="EQ14" s="37"/>
      <c r="ER14" s="37"/>
      <c r="ES14" s="37"/>
      <c r="ET14" s="37"/>
      <c r="EU14" s="37"/>
      <c r="EV14" s="37"/>
      <c r="EW14" s="37"/>
      <c r="EX14" s="37"/>
    </row>
    <row r="15" ht="15.75" customHeight="1">
      <c r="A15" s="34"/>
      <c r="B15" s="34" t="s">
        <v>25</v>
      </c>
      <c r="C15" s="34" t="s">
        <v>21</v>
      </c>
      <c r="D15" s="35">
        <v>100.0</v>
      </c>
      <c r="E15" s="38">
        <v>0.0</v>
      </c>
      <c r="F15" s="34" t="s">
        <v>22</v>
      </c>
      <c r="G15" s="34"/>
      <c r="H15" s="34"/>
      <c r="I15" s="34"/>
      <c r="J15" s="35">
        <v>2.0</v>
      </c>
      <c r="K15" s="34"/>
      <c r="L15" s="34"/>
      <c r="M15" s="34"/>
      <c r="N15" s="36">
        <f t="shared" si="1"/>
        <v>44874</v>
      </c>
      <c r="O15" s="34"/>
      <c r="P15" s="34"/>
      <c r="Q15" s="34"/>
      <c r="R15" s="34"/>
      <c r="S15" s="34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 t="s">
        <v>23</v>
      </c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7"/>
      <c r="EI15" s="37"/>
      <c r="EJ15" s="37"/>
      <c r="EK15" s="37"/>
      <c r="EL15" s="37"/>
      <c r="EM15" s="37"/>
      <c r="EN15" s="37"/>
      <c r="EO15" s="37"/>
      <c r="EP15" s="37"/>
      <c r="EQ15" s="37"/>
      <c r="ER15" s="37"/>
      <c r="ES15" s="37"/>
      <c r="ET15" s="37"/>
      <c r="EU15" s="37"/>
      <c r="EV15" s="37"/>
      <c r="EW15" s="37"/>
      <c r="EX15" s="37"/>
    </row>
    <row r="16" ht="15.75" customHeight="1">
      <c r="A16" s="34"/>
      <c r="B16" s="34" t="s">
        <v>26</v>
      </c>
      <c r="C16" s="34" t="s">
        <v>21</v>
      </c>
      <c r="D16" s="35">
        <v>100.0</v>
      </c>
      <c r="E16" s="38">
        <v>0.0</v>
      </c>
      <c r="F16" s="34" t="s">
        <v>22</v>
      </c>
      <c r="G16" s="34"/>
      <c r="H16" s="34"/>
      <c r="I16" s="34"/>
      <c r="J16" s="35">
        <v>2.0</v>
      </c>
      <c r="K16" s="34"/>
      <c r="L16" s="34"/>
      <c r="M16" s="34"/>
      <c r="N16" s="36">
        <f t="shared" si="1"/>
        <v>44874</v>
      </c>
      <c r="O16" s="34"/>
      <c r="P16" s="34"/>
      <c r="Q16" s="34"/>
      <c r="R16" s="34"/>
      <c r="S16" s="34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 t="s">
        <v>23</v>
      </c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  <c r="DA16" s="37"/>
      <c r="DB16" s="37"/>
      <c r="DC16" s="37"/>
      <c r="DD16" s="37"/>
      <c r="DE16" s="37"/>
      <c r="DF16" s="37"/>
      <c r="DG16" s="37"/>
      <c r="DH16" s="37"/>
      <c r="DI16" s="37"/>
      <c r="DJ16" s="37"/>
      <c r="DK16" s="37"/>
      <c r="DL16" s="37"/>
      <c r="DM16" s="37"/>
      <c r="DN16" s="37"/>
      <c r="DO16" s="37"/>
      <c r="DP16" s="37"/>
      <c r="DQ16" s="37"/>
      <c r="DR16" s="37"/>
      <c r="DS16" s="37"/>
      <c r="DT16" s="37"/>
      <c r="DU16" s="37"/>
      <c r="DV16" s="37"/>
      <c r="DW16" s="37"/>
      <c r="DX16" s="37"/>
      <c r="DY16" s="37"/>
      <c r="DZ16" s="37"/>
      <c r="EA16" s="37"/>
      <c r="EB16" s="37"/>
      <c r="EC16" s="37"/>
      <c r="ED16" s="37"/>
      <c r="EE16" s="37"/>
      <c r="EF16" s="37"/>
      <c r="EG16" s="37"/>
      <c r="EH16" s="37"/>
      <c r="EI16" s="37"/>
      <c r="EJ16" s="37"/>
      <c r="EK16" s="37"/>
      <c r="EL16" s="37"/>
      <c r="EM16" s="37"/>
      <c r="EN16" s="37"/>
      <c r="EO16" s="37"/>
      <c r="EP16" s="37"/>
      <c r="EQ16" s="37"/>
      <c r="ER16" s="37"/>
      <c r="ES16" s="37"/>
      <c r="ET16" s="37"/>
      <c r="EU16" s="37"/>
      <c r="EV16" s="37"/>
      <c r="EW16" s="37"/>
      <c r="EX16" s="37"/>
    </row>
    <row r="17" ht="15.75" customHeight="1">
      <c r="A17" s="34"/>
      <c r="B17" s="34" t="s">
        <v>27</v>
      </c>
      <c r="C17" s="34" t="s">
        <v>21</v>
      </c>
      <c r="D17" s="35">
        <v>100.0</v>
      </c>
      <c r="E17" s="38">
        <v>0.0</v>
      </c>
      <c r="F17" s="34" t="s">
        <v>22</v>
      </c>
      <c r="G17" s="34"/>
      <c r="H17" s="34"/>
      <c r="I17" s="34"/>
      <c r="J17" s="35">
        <v>2.0</v>
      </c>
      <c r="K17" s="34"/>
      <c r="L17" s="34"/>
      <c r="M17" s="34"/>
      <c r="N17" s="36">
        <f t="shared" si="1"/>
        <v>44874</v>
      </c>
      <c r="O17" s="34"/>
      <c r="P17" s="34"/>
      <c r="Q17" s="34"/>
      <c r="R17" s="34"/>
      <c r="S17" s="34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 t="s">
        <v>23</v>
      </c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</row>
    <row r="18" ht="15.75" customHeight="1">
      <c r="A18" s="34"/>
      <c r="B18" s="34" t="s">
        <v>28</v>
      </c>
      <c r="C18" s="34" t="s">
        <v>21</v>
      </c>
      <c r="D18" s="35">
        <v>100.0</v>
      </c>
      <c r="E18" s="38">
        <v>0.0</v>
      </c>
      <c r="F18" s="34" t="s">
        <v>22</v>
      </c>
      <c r="G18" s="34"/>
      <c r="H18" s="34"/>
      <c r="I18" s="34"/>
      <c r="J18" s="35">
        <v>2.0</v>
      </c>
      <c r="K18" s="34"/>
      <c r="L18" s="34"/>
      <c r="M18" s="34"/>
      <c r="N18" s="36">
        <f t="shared" si="1"/>
        <v>44874</v>
      </c>
      <c r="O18" s="34"/>
      <c r="P18" s="34"/>
      <c r="Q18" s="34"/>
      <c r="R18" s="34"/>
      <c r="S18" s="34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 t="s">
        <v>23</v>
      </c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  <c r="CU18" s="37"/>
      <c r="CV18" s="37"/>
      <c r="CW18" s="37"/>
      <c r="CX18" s="37"/>
      <c r="CY18" s="37"/>
      <c r="CZ18" s="37"/>
      <c r="DA18" s="37"/>
      <c r="DB18" s="37"/>
      <c r="DC18" s="37"/>
      <c r="DD18" s="37"/>
      <c r="DE18" s="37"/>
      <c r="DF18" s="37"/>
      <c r="DG18" s="37"/>
      <c r="DH18" s="37"/>
      <c r="DI18" s="37"/>
      <c r="DJ18" s="37"/>
      <c r="DK18" s="37"/>
      <c r="DL18" s="37"/>
      <c r="DM18" s="37"/>
      <c r="DN18" s="37"/>
      <c r="DO18" s="37"/>
      <c r="DP18" s="37"/>
      <c r="DQ18" s="37"/>
      <c r="DR18" s="37"/>
      <c r="DS18" s="37"/>
      <c r="DT18" s="37"/>
      <c r="DU18" s="37"/>
      <c r="DV18" s="37"/>
      <c r="DW18" s="37"/>
      <c r="DX18" s="37"/>
      <c r="DY18" s="37"/>
      <c r="DZ18" s="37"/>
      <c r="EA18" s="37"/>
      <c r="EB18" s="37"/>
      <c r="EC18" s="37"/>
      <c r="ED18" s="37"/>
      <c r="EE18" s="37"/>
      <c r="EF18" s="37"/>
      <c r="EG18" s="37"/>
      <c r="EH18" s="37"/>
      <c r="EI18" s="37"/>
      <c r="EJ18" s="37"/>
      <c r="EK18" s="37"/>
      <c r="EL18" s="37"/>
      <c r="EM18" s="37"/>
      <c r="EN18" s="37"/>
      <c r="EO18" s="37"/>
      <c r="EP18" s="37"/>
      <c r="EQ18" s="37"/>
      <c r="ER18" s="37"/>
      <c r="ES18" s="37"/>
      <c r="ET18" s="37"/>
      <c r="EU18" s="37"/>
      <c r="EV18" s="37"/>
      <c r="EW18" s="37"/>
      <c r="EX18" s="37"/>
    </row>
    <row r="19" ht="15.75" customHeight="1">
      <c r="A19" s="34"/>
      <c r="B19" s="38">
        <v>1.23456789E8</v>
      </c>
      <c r="C19" s="34" t="s">
        <v>21</v>
      </c>
      <c r="D19" s="35">
        <v>100.0</v>
      </c>
      <c r="E19" s="38">
        <v>0.0</v>
      </c>
      <c r="F19" s="34" t="s">
        <v>22</v>
      </c>
      <c r="G19" s="34"/>
      <c r="H19" s="34"/>
      <c r="I19" s="34"/>
      <c r="J19" s="35">
        <v>2.0</v>
      </c>
      <c r="K19" s="34"/>
      <c r="L19" s="34"/>
      <c r="M19" s="34"/>
      <c r="N19" s="36">
        <f t="shared" si="1"/>
        <v>44874</v>
      </c>
      <c r="O19" s="34"/>
      <c r="P19" s="34"/>
      <c r="Q19" s="34"/>
      <c r="R19" s="34"/>
      <c r="S19" s="34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 t="s">
        <v>23</v>
      </c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37"/>
      <c r="DD19" s="37"/>
      <c r="DE19" s="37"/>
      <c r="DF19" s="37"/>
      <c r="DG19" s="37"/>
      <c r="DH19" s="37"/>
      <c r="DI19" s="37"/>
      <c r="DJ19" s="37"/>
      <c r="DK19" s="37"/>
      <c r="DL19" s="37"/>
      <c r="DM19" s="37"/>
      <c r="DN19" s="37"/>
      <c r="DO19" s="37"/>
      <c r="DP19" s="37"/>
      <c r="DQ19" s="37"/>
      <c r="DR19" s="37"/>
      <c r="DS19" s="37"/>
      <c r="DT19" s="37"/>
      <c r="DU19" s="37"/>
      <c r="DV19" s="37"/>
      <c r="DW19" s="37"/>
      <c r="DX19" s="37"/>
      <c r="DY19" s="37"/>
      <c r="DZ19" s="37"/>
      <c r="EA19" s="37"/>
      <c r="EB19" s="37"/>
      <c r="EC19" s="37"/>
      <c r="ED19" s="37"/>
      <c r="EE19" s="37"/>
      <c r="EF19" s="37"/>
      <c r="EG19" s="37"/>
      <c r="EH19" s="37"/>
      <c r="EI19" s="37"/>
      <c r="EJ19" s="37"/>
      <c r="EK19" s="37"/>
      <c r="EL19" s="37"/>
      <c r="EM19" s="37"/>
      <c r="EN19" s="37"/>
      <c r="EO19" s="37"/>
      <c r="EP19" s="37"/>
      <c r="EQ19" s="37"/>
      <c r="ER19" s="37"/>
      <c r="ES19" s="37"/>
      <c r="ET19" s="37"/>
      <c r="EU19" s="37"/>
      <c r="EV19" s="37"/>
      <c r="EW19" s="37"/>
      <c r="EX19" s="37"/>
    </row>
    <row r="20" ht="15.75" customHeight="1">
      <c r="A20" s="34"/>
      <c r="B20" s="39" t="s">
        <v>20</v>
      </c>
      <c r="C20" s="39" t="s">
        <v>21</v>
      </c>
      <c r="D20" s="35">
        <v>100.0</v>
      </c>
      <c r="E20" s="34"/>
      <c r="F20" s="39" t="s">
        <v>29</v>
      </c>
      <c r="G20" s="34"/>
      <c r="H20" s="34"/>
      <c r="I20" s="34"/>
      <c r="J20" s="35">
        <v>2.0</v>
      </c>
      <c r="K20" s="34"/>
      <c r="L20" s="34"/>
      <c r="M20" s="34"/>
      <c r="N20" s="34"/>
      <c r="O20" s="34"/>
      <c r="P20" s="34"/>
      <c r="Q20" s="34"/>
      <c r="R20" s="34"/>
      <c r="S20" s="34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 t="s">
        <v>23</v>
      </c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7"/>
      <c r="DB20" s="37"/>
      <c r="DC20" s="37"/>
      <c r="DD20" s="37"/>
      <c r="DE20" s="37"/>
      <c r="DF20" s="37"/>
      <c r="DG20" s="37"/>
      <c r="DH20" s="37"/>
      <c r="DI20" s="37"/>
      <c r="DJ20" s="37"/>
      <c r="DK20" s="37"/>
      <c r="DL20" s="37"/>
      <c r="DM20" s="37"/>
      <c r="DN20" s="37"/>
      <c r="DO20" s="37"/>
      <c r="DP20" s="37"/>
      <c r="DQ20" s="37"/>
      <c r="DR20" s="37"/>
      <c r="DS20" s="37"/>
      <c r="DT20" s="37"/>
      <c r="DU20" s="37"/>
      <c r="DV20" s="37"/>
      <c r="DW20" s="37"/>
      <c r="DX20" s="37"/>
      <c r="DY20" s="37"/>
      <c r="DZ20" s="37"/>
      <c r="EA20" s="37"/>
      <c r="EB20" s="37"/>
      <c r="EC20" s="37"/>
      <c r="ED20" s="37"/>
      <c r="EE20" s="37"/>
      <c r="EF20" s="37"/>
      <c r="EG20" s="37"/>
      <c r="EH20" s="37"/>
      <c r="EI20" s="37"/>
      <c r="EJ20" s="37"/>
      <c r="EK20" s="37"/>
      <c r="EL20" s="37"/>
      <c r="EM20" s="37"/>
      <c r="EN20" s="37"/>
      <c r="EO20" s="37"/>
      <c r="EP20" s="37"/>
      <c r="EQ20" s="37"/>
      <c r="ER20" s="37"/>
      <c r="ES20" s="37"/>
      <c r="ET20" s="37"/>
      <c r="EU20" s="37"/>
      <c r="EV20" s="37"/>
      <c r="EW20" s="37"/>
      <c r="EX20" s="37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20</v>
      </c>
      <c r="C6" s="34" t="s">
        <v>21</v>
      </c>
      <c r="D6" s="35">
        <v>100.0</v>
      </c>
      <c r="E6" s="34"/>
      <c r="F6" s="34" t="s">
        <v>22</v>
      </c>
      <c r="G6" s="34"/>
      <c r="H6" s="34"/>
      <c r="I6" s="34"/>
      <c r="J6" s="35">
        <v>2.0</v>
      </c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4"/>
      <c r="B7" s="34" t="s">
        <v>24</v>
      </c>
      <c r="C7" s="34" t="s">
        <v>21</v>
      </c>
      <c r="D7" s="35">
        <v>100.0</v>
      </c>
      <c r="E7" s="34"/>
      <c r="F7" s="34" t="s">
        <v>22</v>
      </c>
      <c r="G7" s="34"/>
      <c r="H7" s="34"/>
      <c r="I7" s="34"/>
      <c r="J7" s="35">
        <v>2.0</v>
      </c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4"/>
      <c r="B8" s="34" t="s">
        <v>25</v>
      </c>
      <c r="C8" s="34" t="s">
        <v>21</v>
      </c>
      <c r="D8" s="35">
        <v>100.0</v>
      </c>
      <c r="E8" s="34"/>
      <c r="F8" s="34" t="s">
        <v>22</v>
      </c>
      <c r="G8" s="34"/>
      <c r="H8" s="34"/>
      <c r="I8" s="34"/>
      <c r="J8" s="35">
        <v>2.0</v>
      </c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4"/>
      <c r="B9" s="34" t="s">
        <v>26</v>
      </c>
      <c r="C9" s="34" t="s">
        <v>21</v>
      </c>
      <c r="D9" s="35">
        <v>100.0</v>
      </c>
      <c r="E9" s="34"/>
      <c r="F9" s="34" t="s">
        <v>22</v>
      </c>
      <c r="G9" s="34"/>
      <c r="H9" s="34"/>
      <c r="I9" s="34"/>
      <c r="J9" s="35">
        <v>2.0</v>
      </c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4"/>
      <c r="B10" s="34" t="s">
        <v>27</v>
      </c>
      <c r="C10" s="34" t="s">
        <v>21</v>
      </c>
      <c r="D10" s="35">
        <v>100.0</v>
      </c>
      <c r="E10" s="34"/>
      <c r="F10" s="34" t="s">
        <v>22</v>
      </c>
      <c r="G10" s="34"/>
      <c r="H10" s="34"/>
      <c r="I10" s="34"/>
      <c r="J10" s="35">
        <v>2.0</v>
      </c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4"/>
      <c r="B11" s="34" t="s">
        <v>28</v>
      </c>
      <c r="C11" s="34" t="s">
        <v>21</v>
      </c>
      <c r="D11" s="35">
        <v>100.0</v>
      </c>
      <c r="E11" s="34"/>
      <c r="F11" s="34" t="s">
        <v>22</v>
      </c>
      <c r="G11" s="34"/>
      <c r="H11" s="34"/>
      <c r="I11" s="34"/>
      <c r="J11" s="35">
        <v>2.0</v>
      </c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34"/>
      <c r="B12" s="38">
        <v>1.23456789E8</v>
      </c>
      <c r="C12" s="34" t="s">
        <v>21</v>
      </c>
      <c r="D12" s="35">
        <v>100.0</v>
      </c>
      <c r="E12" s="34"/>
      <c r="F12" s="34" t="s">
        <v>22</v>
      </c>
      <c r="G12" s="34"/>
      <c r="H12" s="34"/>
      <c r="I12" s="34"/>
      <c r="J12" s="35">
        <v>2.0</v>
      </c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0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4" t="s">
        <v>33</v>
      </c>
      <c r="C6" s="41">
        <f>today()-1</f>
        <v>44874</v>
      </c>
      <c r="D6" s="41">
        <f>today()</f>
        <v>44875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0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9" t="s">
        <v>25</v>
      </c>
      <c r="C6" s="35">
        <v>100.0</v>
      </c>
      <c r="D6" s="34"/>
      <c r="E6" s="34" t="s">
        <v>22</v>
      </c>
      <c r="F6" s="34" t="s">
        <v>21</v>
      </c>
      <c r="G6" s="34"/>
      <c r="H6" s="35">
        <v>2.0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0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>
        <v>5.0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2">
        <f t="shared" ref="B6:C6" si="1">today()-1</f>
        <v>44874</v>
      </c>
      <c r="C6" s="41">
        <f t="shared" si="1"/>
        <v>44874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20</v>
      </c>
      <c r="C6" s="35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24</v>
      </c>
      <c r="C7" s="4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25</v>
      </c>
      <c r="C8" s="43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26</v>
      </c>
      <c r="C9" s="43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27</v>
      </c>
      <c r="C10" s="43">
        <v>10.0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28</v>
      </c>
      <c r="C11" s="43">
        <v>10.0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>
        <v>1.23456789E8</v>
      </c>
      <c r="C12" s="43">
        <v>10.0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4" t="s">
        <v>39</v>
      </c>
      <c r="C13" s="43">
        <v>10.0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7"/>
      <c r="C14" s="37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2">
        <f t="shared" ref="B6:C6" si="1">today()-1</f>
        <v>44874</v>
      </c>
      <c r="C6" s="41">
        <f t="shared" si="1"/>
        <v>44874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9" t="s">
        <v>42</v>
      </c>
      <c r="C6" s="39" t="s">
        <v>43</v>
      </c>
      <c r="D6" s="34" t="s">
        <v>44</v>
      </c>
      <c r="E6" s="35">
        <v>1.2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7" t="s">
        <v>20</v>
      </c>
      <c r="C6" s="35">
        <v>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24</v>
      </c>
      <c r="C7" s="43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25</v>
      </c>
      <c r="C8" s="43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26</v>
      </c>
      <c r="C9" s="43">
        <v>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27</v>
      </c>
      <c r="C10" s="43">
        <v>20.0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28</v>
      </c>
      <c r="C11" s="43">
        <v>20.0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>
        <v>1.23456789E8</v>
      </c>
      <c r="C12" s="43">
        <v>20.0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4" t="s">
        <v>39</v>
      </c>
      <c r="C13" s="43">
        <v>20.0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2">
        <f t="shared" ref="B6:C6" si="1">today()-1</f>
        <v>44874</v>
      </c>
      <c r="C6" s="41">
        <f t="shared" si="1"/>
        <v>44874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4" t="s">
        <v>22</v>
      </c>
      <c r="C6" s="39" t="s">
        <v>42</v>
      </c>
      <c r="D6" s="35">
        <v>100000.0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4" t="s">
        <v>29</v>
      </c>
      <c r="C7" s="44" t="s">
        <v>42</v>
      </c>
      <c r="D7" s="43">
        <v>100000.0</v>
      </c>
      <c r="E7" s="37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IFERROR(__xludf.DUMMYFUNCTION("""COMPUTED_VALUE"""),"Date Type")</f>
        <v>Date Type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 t="str">
        <f>IFERROR(__xludf.DUMMYFUNCTION("""COMPUTED_VALUE"""),"Symbol")</f>
        <v>Symbol</v>
      </c>
      <c r="G5" s="28" t="str">
        <f>IFERROR(__xludf.DUMMYFUNCTION("""COMPUTED_VALUE"""),"Contains")</f>
        <v>Contains</v>
      </c>
      <c r="H5" s="28" t="str">
        <f>IFERROR(__xludf.DUMMYFUNCTION("""COMPUTED_VALUE"""),"Exact")</f>
        <v>Exact</v>
      </c>
      <c r="I5" s="28" t="str">
        <f>IFERROR(__xludf.DUMMYFUNCTION("""COMPUTED_VALUE"""),"Starts With")</f>
        <v>Starts With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4" t="s">
        <v>22</v>
      </c>
      <c r="C6" s="34"/>
      <c r="D6" s="41">
        <f>today()-3</f>
        <v>44872</v>
      </c>
      <c r="E6" s="41">
        <f>today()</f>
        <v>44875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IFERROR(__xludf.DUMMYFUNCTION("""COMPUTED_VALUE"""),"CashTransactionId")</f>
        <v>CashTransactionId</v>
      </c>
      <c r="C5" s="28" t="str">
        <f>IFERROR(__xludf.DUMMYFUNCTION("""COMPUTED_VALUE"""),"Activity Type")</f>
        <v>Activity Type</v>
      </c>
      <c r="D5" s="28" t="str">
        <f>IFERROR(__xludf.DUMMYFUNCTION("""COMPUTED_VALUE"""),"Symbol")</f>
        <v>Symbol</v>
      </c>
      <c r="E5" s="28" t="str">
        <f>IFERROR(__xludf.DUMMYFUNCTION("""COMPUTED_VALUE"""),"Strategy")</f>
        <v>Strategy</v>
      </c>
      <c r="F5" s="29" t="str">
        <f>IFERROR(__xludf.DUMMYFUNCTION("""COMPUTED_VALUE"""),"Account")</f>
        <v>Account</v>
      </c>
      <c r="G5" s="28" t="str">
        <f>IFERROR(__xludf.DUMMYFUNCTION("""COMPUTED_VALUE"""),"Currency")</f>
        <v>Currency</v>
      </c>
      <c r="H5" s="28" t="str">
        <f>IFERROR(__xludf.DUMMYFUNCTION("""COMPUTED_VALUE"""),"Amount")</f>
        <v>Amount</v>
      </c>
      <c r="I5" s="28" t="str">
        <f>IFERROR(__xludf.DUMMYFUNCTION("""COMPUTED_VALUE"""),"Ex Date")</f>
        <v>Ex Date</v>
      </c>
      <c r="J5" s="28" t="str">
        <f>IFERROR(__xludf.DUMMYFUNCTION("""COMPUTED_VALUE"""),"Payout Date")</f>
        <v>Payout Date</v>
      </c>
      <c r="K5" s="28" t="str">
        <f>IFERROR(__xludf.DUMMYFUNCTION("""COMPUTED_VALUE"""),"Record Date")</f>
        <v>Record Date</v>
      </c>
      <c r="L5" s="28" t="str">
        <f>IFERROR(__xludf.DUMMYFUNCTION("""COMPUTED_VALUE"""),"Declaration Date")</f>
        <v>Declaration Date</v>
      </c>
      <c r="M5" s="28" t="str">
        <f>IFERROR(__xludf.DUMMYFUNCTION("""COMPUTED_VALUE"""),"Description")</f>
        <v>Description</v>
      </c>
      <c r="N5" s="28" t="str">
        <f>IFERROR(__xludf.DUMMYFUNCTION("""COMPUTED_VALUE"""),"Other Currency")</f>
        <v>Other Currency</v>
      </c>
      <c r="O5" s="28" t="str">
        <f>IFERROR(__xludf.DUMMYFUNCTION("""COMPUTED_VALUE"""),"FXRate")</f>
        <v>FXRate</v>
      </c>
      <c r="P5" s="28" t="str">
        <f>IFERROR(__xludf.DUMMYFUNCTION("""COMPUTED_VALUE"""),"FXConversionMethodOperator")</f>
        <v>FXConversionMethodOperator</v>
      </c>
      <c r="Q5" s="28" t="str">
        <f>IFERROR(__xludf.DUMMYFUNCTION("""COMPUTED_VALUE"""),"Transaction Source")</f>
        <v>Transaction Source</v>
      </c>
      <c r="R5" s="28" t="str">
        <f>IFERROR(__xludf.DUMMYFUNCTION("""COMPUTED_VALUE"""),"Entry Date")</f>
        <v>Entry Date</v>
      </c>
      <c r="S5" s="28" t="str">
        <f>IFERROR(__xludf.DUMMYFUNCTION("""COMPUTED_VALUE"""),"Modify Date")</f>
        <v>Modify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4" t="s">
        <v>51</v>
      </c>
      <c r="D6" s="34" t="s">
        <v>20</v>
      </c>
      <c r="E6" s="34"/>
      <c r="F6" s="34" t="s">
        <v>22</v>
      </c>
      <c r="G6" s="34" t="s">
        <v>42</v>
      </c>
      <c r="H6" s="38">
        <v>100000.0</v>
      </c>
      <c r="I6" s="45">
        <f>today()-2</f>
        <v>44873</v>
      </c>
      <c r="J6" s="45">
        <f>today()+8</f>
        <v>44883</v>
      </c>
      <c r="K6" s="45"/>
      <c r="L6" s="45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IFERROR(__xludf.DUMMYFUNCTION("""COMPUTED_VALUE"""),"Balances as on date")</f>
        <v>Balances as on date</v>
      </c>
      <c r="E5" s="28" t="str">
        <f>IFERROR(__xludf.DUMMYFUNCTION("""COMPUTED_VALUE"""),"IsRunRevalOnGetAccountBalances")</f>
        <v>IsRunRevalOnGetAccountBalances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4"/>
      <c r="C6" s="34" t="s">
        <v>22</v>
      </c>
      <c r="D6" s="41">
        <f>today()</f>
        <v>44875</v>
      </c>
      <c r="E6" s="32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0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54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hyperlinks>
    <hyperlink r:id="rId1" ref="DT4"/>
  </hyperlin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0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54</v>
      </c>
      <c r="C6" s="34" t="s">
        <v>56</v>
      </c>
      <c r="D6" s="46">
        <v>70.0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54</v>
      </c>
      <c r="C7" s="37" t="s">
        <v>29</v>
      </c>
      <c r="D7" s="47">
        <v>30.0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0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58</v>
      </c>
      <c r="C6" s="34"/>
      <c r="D6" s="48" t="s">
        <v>59</v>
      </c>
      <c r="E6" s="34"/>
      <c r="F6" s="34"/>
      <c r="G6" s="49" t="b">
        <v>0</v>
      </c>
      <c r="H6" s="13" t="s">
        <v>54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hyperlinks>
    <hyperlink r:id="rId1" ref="DT4"/>
  </hyperlin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9" t="s">
        <v>24</v>
      </c>
      <c r="C6" s="39" t="s">
        <v>21</v>
      </c>
      <c r="D6" s="35">
        <v>100.0</v>
      </c>
      <c r="E6" s="34"/>
      <c r="F6" s="50" t="s">
        <v>54</v>
      </c>
      <c r="G6" s="34"/>
      <c r="H6" s="34"/>
      <c r="I6" s="34"/>
      <c r="J6" s="35">
        <v>20.0</v>
      </c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 t="s">
        <v>61</v>
      </c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1" t="s">
        <v>63</v>
      </c>
      <c r="C6" s="52" t="s">
        <v>64</v>
      </c>
      <c r="D6" s="13" t="s">
        <v>65</v>
      </c>
      <c r="E6" s="52" t="s">
        <v>24</v>
      </c>
      <c r="F6" s="52" t="s">
        <v>66</v>
      </c>
      <c r="G6" s="52" t="s">
        <v>66</v>
      </c>
      <c r="H6" s="13" t="s">
        <v>67</v>
      </c>
      <c r="I6" s="53"/>
      <c r="J6" s="8"/>
      <c r="K6" s="13" t="s">
        <v>23</v>
      </c>
      <c r="L6" s="8"/>
      <c r="M6" s="13" t="s">
        <v>61</v>
      </c>
      <c r="N6" s="8"/>
      <c r="O6" s="8"/>
    </row>
    <row r="7" ht="15.75" customHeight="1">
      <c r="A7" s="8"/>
      <c r="B7" s="51" t="s">
        <v>63</v>
      </c>
      <c r="C7" s="54" t="s">
        <v>64</v>
      </c>
      <c r="D7" s="13" t="s">
        <v>65</v>
      </c>
      <c r="E7" s="54" t="s">
        <v>24</v>
      </c>
      <c r="F7" s="54" t="s">
        <v>66</v>
      </c>
      <c r="G7" s="54" t="s">
        <v>66</v>
      </c>
      <c r="H7" s="13" t="s">
        <v>68</v>
      </c>
      <c r="I7" s="55"/>
      <c r="J7" s="8"/>
      <c r="K7" s="8"/>
      <c r="L7" s="8"/>
      <c r="M7" s="8"/>
      <c r="N7" s="8"/>
      <c r="O7" s="8"/>
    </row>
    <row r="8" ht="15.75" customHeight="1">
      <c r="A8" s="8"/>
      <c r="B8" s="51" t="s">
        <v>63</v>
      </c>
      <c r="C8" s="52" t="s">
        <v>69</v>
      </c>
      <c r="D8" s="13" t="s">
        <v>70</v>
      </c>
      <c r="E8" s="52" t="s">
        <v>71</v>
      </c>
      <c r="F8" s="52" t="s">
        <v>66</v>
      </c>
      <c r="G8" s="52" t="s">
        <v>66</v>
      </c>
      <c r="H8" s="13" t="s">
        <v>72</v>
      </c>
      <c r="I8" s="53"/>
      <c r="J8" s="8"/>
      <c r="K8" s="8"/>
      <c r="L8" s="8"/>
      <c r="M8" s="8"/>
      <c r="N8" s="8"/>
      <c r="O8" s="8"/>
    </row>
    <row r="9" ht="15.75" customHeight="1">
      <c r="A9" s="8"/>
      <c r="B9" s="51" t="s">
        <v>63</v>
      </c>
      <c r="C9" s="54" t="s">
        <v>69</v>
      </c>
      <c r="D9" s="13" t="s">
        <v>70</v>
      </c>
      <c r="E9" s="54" t="s">
        <v>73</v>
      </c>
      <c r="F9" s="54" t="s">
        <v>66</v>
      </c>
      <c r="G9" s="54" t="s">
        <v>66</v>
      </c>
      <c r="H9" s="13" t="s">
        <v>74</v>
      </c>
      <c r="I9" s="55"/>
      <c r="J9" s="8"/>
      <c r="K9" s="8"/>
      <c r="L9" s="8"/>
      <c r="M9" s="8"/>
      <c r="N9" s="8"/>
      <c r="O9" s="8"/>
    </row>
    <row r="10" ht="15.75" customHeight="1">
      <c r="A10" s="8"/>
      <c r="B10" s="51" t="s">
        <v>63</v>
      </c>
      <c r="C10" s="52" t="s">
        <v>75</v>
      </c>
      <c r="D10" s="13" t="s">
        <v>76</v>
      </c>
      <c r="E10" s="52" t="s">
        <v>77</v>
      </c>
      <c r="F10" s="52" t="s">
        <v>66</v>
      </c>
      <c r="G10" s="52" t="s">
        <v>66</v>
      </c>
      <c r="H10" s="13" t="s">
        <v>78</v>
      </c>
      <c r="I10" s="53"/>
      <c r="J10" s="8"/>
      <c r="K10" s="8"/>
      <c r="L10" s="8"/>
      <c r="M10" s="8"/>
      <c r="N10" s="8"/>
      <c r="O10" s="8"/>
    </row>
    <row r="11" ht="15.75" customHeight="1">
      <c r="A11" s="8"/>
      <c r="B11" s="51" t="s">
        <v>63</v>
      </c>
      <c r="C11" s="9" t="s">
        <v>75</v>
      </c>
      <c r="D11" s="9" t="s">
        <v>76</v>
      </c>
      <c r="E11" s="9" t="s">
        <v>79</v>
      </c>
      <c r="F11" s="9" t="s">
        <v>66</v>
      </c>
      <c r="G11" s="9" t="s">
        <v>66</v>
      </c>
      <c r="H11" s="9" t="s">
        <v>80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IFERROR(__xludf.DUMMYFUNCTION("IF(C3="""","""",Transpose(IMPORTRANGE('_Settings'!$B$3,C3&amp;""!A4:A1000"")))"),"RestartExpnl")</f>
        <v>RestartExpnl</v>
      </c>
      <c r="C4" s="25" t="str">
        <f>IFERROR(__xludf.DUMMYFUNCTION("""COMPUTED_VALUE"""),"UpdateExpnlConfig")</f>
        <v>UpdateExpnlConfig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6"/>
      <c r="B6" s="57" t="s">
        <v>16</v>
      </c>
      <c r="C6" s="58" t="b">
        <v>1</v>
      </c>
      <c r="D6" s="56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1" t="s">
        <v>17</v>
      </c>
      <c r="C7" s="59" t="b">
        <v>1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UpdateExpnlConfig1!$4:$4</formula1>
    </dataValidation>
  </dataValidations>
  <drawing r:id="rId1"/>
</worksheet>
</file>