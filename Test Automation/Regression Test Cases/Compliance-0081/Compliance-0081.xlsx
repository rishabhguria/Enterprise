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CheckPortfolioManagement" sheetId="7" r:id="rId9"/>
    <sheet state="visible" name="VerifyOrder" sheetId="8" r:id="rId10"/>
    <sheet state="visible" name="CreateReplaceOrder" sheetId="9" r:id="rId11"/>
    <sheet state="visible" name="EditOrder" sheetId="10" r:id="rId12"/>
    <sheet state="visible" name="VerifyRowCalculationBaseWindow" sheetId="11" r:id="rId13"/>
    <sheet state="visible" name="VerifyRowCalculationBaseWindow1" sheetId="12" r:id="rId14"/>
    <sheet state="visible" name="AddFillsSubOrder" sheetId="13" r:id="rId15"/>
    <sheet state="visible" name="EditAddFillsDetails" sheetId="14" r:id="rId16"/>
    <sheet state="visible" name="VerifyRowCalculationBaseWindow2" sheetId="15" r:id="rId17"/>
    <sheet state="visible" name="VerifyOrder1" sheetId="16" r:id="rId18"/>
    <sheet state="visible" name="VerifySubOrder" sheetId="17" r:id="rId19"/>
  </sheets>
  <definedNames/>
  <calcPr/>
</workbook>
</file>

<file path=xl/sharedStrings.xml><?xml version="1.0" encoding="utf-8"?>
<sst xmlns="http://schemas.openxmlformats.org/spreadsheetml/2006/main" count="290" uniqueCount="68">
  <si>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</si>
  <si>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</si>
  <si>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</si>
  <si>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</si>
  <si>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</si>
  <si>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</si>
  <si>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</si>
  <si>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</si>
  <si>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</si>
  <si>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</si>
  <si>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</si>
  <si>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</si>
  <si>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</si>
  <si>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</si>
  <si>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</si>
  <si>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</si>
  <si>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</si>
  <si>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</si>
  <si>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</si>
  <si>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</si>
  <si>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 xml:space="preserve">Yes </t>
  </si>
  <si>
    <t>Allocation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</si>
  <si>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</si>
  <si>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</si>
  <si>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</si>
  <si>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</si>
  <si>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</si>
  <si>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</si>
  <si>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</si>
  <si>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</si>
  <si>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</si>
  <si>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</si>
  <si>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</si>
  <si>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</si>
  <si>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</si>
  <si>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</si>
  <si>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</si>
  <si>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</si>
  <si>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</si>
  <si>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</si>
  <si>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</si>
  <si>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</si>
  <si>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PortfolioManagement</t>
  </si>
  <si>
    <t>CheckPortfolioManagement</t>
  </si>
  <si>
    <t>NewMF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</si>
  <si>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</si>
  <si>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</si>
  <si>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</si>
  <si>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</si>
  <si>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</si>
  <si>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</si>
  <si>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</si>
  <si>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</si>
  <si>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</si>
  <si>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APPLE</t>
  </si>
  <si>
    <t>Yes</t>
  </si>
  <si>
    <t>Blotter</t>
  </si>
  <si>
    <t>VerifyOrder</t>
  </si>
  <si>
    <t>Filled</t>
  </si>
  <si>
    <t>CreateReplaceOrder</t>
  </si>
  <si>
    <t>EditOrder</t>
  </si>
  <si>
    <t>Compliance</t>
  </si>
  <si>
    <t>VerifyRowCalculationBaseWindow</t>
  </si>
  <si>
    <t>Post</t>
  </si>
  <si>
    <t>AddFillsSubOrder</t>
  </si>
  <si>
    <t>EditAddFillsDetails</t>
  </si>
  <si>
    <t>Replaced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</si>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</sst>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Verdana"/>
    </font>
    <font>
      <sz val="9.0"/>
      <color rgb="FF000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F6F6F8"/>
        <bgColor rgb="FFF6F6F8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6" fontId="15" numFmtId="0" xfId="0" applyAlignment="1" applyFill="1" applyFont="1">
      <alignment horizontal="right" readingOrder="0" shrinkToFit="0" vertical="top" wrapText="0"/>
    </xf>
    <xf borderId="0" fillId="6" fontId="16" numFmtId="0" xfId="0" applyAlignment="1" applyFont="1">
      <alignment horizontal="right" readingOrder="0" shrinkToFit="0" vertical="top" wrapText="0"/>
    </xf>
    <xf borderId="0" fillId="6" fontId="17" numFmtId="0" xfId="0" applyAlignment="1" applyFont="1">
      <alignment horizontal="right" readingOrder="0" shrinkToFit="0" vertical="top" wrapText="0"/>
    </xf>
    <xf borderId="0" fillId="6" fontId="18" numFmtId="0" xfId="0" applyAlignment="1" applyFont="1">
      <alignment horizontal="right" readingOrder="0" shrinkToFit="0" vertical="top" wrapText="0"/>
    </xf>
    <xf borderId="0" fillId="6" fontId="15" numFmtId="165" xfId="0" applyAlignment="1" applyFont="1" applyNumberFormat="1">
      <alignment horizontal="right" readingOrder="0" shrinkToFit="0" vertical="top" wrapText="0"/>
    </xf>
    <xf borderId="0" fillId="6" fontId="15" numFmtId="0" xfId="0" applyAlignment="1" applyFont="1">
      <alignment horizontal="right" shrinkToFit="0" vertical="top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7" fontId="18" numFmtId="0" xfId="0" applyAlignment="1" applyFill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8"/>
      <c r="J6" s="13">
        <v>1.0</v>
      </c>
      <c r="K6" s="8"/>
      <c r="L6" s="8"/>
      <c r="M6" s="8"/>
      <c r="N6" s="31">
        <f>today()</f>
        <v>45855</v>
      </c>
      <c r="O6" s="8"/>
      <c r="AQ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18</v>
      </c>
      <c r="C6" s="33"/>
      <c r="D6" s="34"/>
      <c r="E6" s="35">
        <v>1000.0</v>
      </c>
      <c r="F6" s="33" t="s">
        <v>25</v>
      </c>
      <c r="G6" s="33" t="s">
        <v>26</v>
      </c>
      <c r="H6" s="34">
        <v>4.0</v>
      </c>
      <c r="I6" s="34">
        <v>5.0</v>
      </c>
      <c r="J6" s="34">
        <v>1.0</v>
      </c>
      <c r="K6" s="34">
        <v>1.0</v>
      </c>
      <c r="L6" s="34">
        <v>1.0</v>
      </c>
      <c r="M6" s="33" t="s">
        <v>27</v>
      </c>
      <c r="N6" s="33"/>
      <c r="O6" s="33" t="s">
        <v>19</v>
      </c>
      <c r="P6" s="36"/>
      <c r="Q6" s="34">
        <v>3.0</v>
      </c>
      <c r="R6" s="34">
        <v>0.0</v>
      </c>
      <c r="S6" s="33" t="s">
        <v>28</v>
      </c>
      <c r="T6" s="34">
        <v>0.0</v>
      </c>
      <c r="U6" s="34">
        <v>0.0</v>
      </c>
      <c r="V6" s="33"/>
      <c r="W6" s="34"/>
      <c r="X6" s="34"/>
      <c r="Y6" s="36"/>
      <c r="Z6" s="33" t="s">
        <v>29</v>
      </c>
      <c r="AA6" s="33"/>
      <c r="AB6" s="34">
        <v>1.0</v>
      </c>
      <c r="AC6" s="33" t="s">
        <v>30</v>
      </c>
      <c r="AD6" s="33" t="s">
        <v>31</v>
      </c>
      <c r="AE6" s="35">
        <v>1000.0</v>
      </c>
      <c r="AF6" s="37"/>
      <c r="AG6" s="37"/>
      <c r="AH6" s="33" t="s">
        <v>32</v>
      </c>
      <c r="AI6" s="34">
        <v>1.0</v>
      </c>
      <c r="AJ6" s="33" t="s">
        <v>33</v>
      </c>
      <c r="AK6" s="36"/>
      <c r="AL6" s="36"/>
      <c r="AM6" s="33" t="s">
        <v>34</v>
      </c>
      <c r="AN6" s="33" t="b">
        <v>0</v>
      </c>
      <c r="AO6" s="36"/>
      <c r="AP6" s="33" t="b">
        <v>1</v>
      </c>
      <c r="AQ6" s="33" t="b">
        <v>0</v>
      </c>
      <c r="AR6" s="33" t="b">
        <v>1</v>
      </c>
      <c r="AT6" s="35">
        <v>1014.0006</v>
      </c>
      <c r="AU6" s="35">
        <v>1014.0006</v>
      </c>
      <c r="AV6" s="38"/>
      <c r="AW6" s="34"/>
      <c r="AX6" s="34"/>
      <c r="AY6" s="33" t="s">
        <v>35</v>
      </c>
      <c r="AZ6" s="34">
        <v>0.0</v>
      </c>
      <c r="BA6" s="38"/>
      <c r="BB6" s="36"/>
      <c r="BC6" s="34">
        <v>0.0</v>
      </c>
      <c r="BD6" s="33" t="s">
        <v>36</v>
      </c>
      <c r="BE6" s="35">
        <v>1000.0</v>
      </c>
      <c r="BF6" s="35">
        <v>1000.0</v>
      </c>
      <c r="BG6" s="38"/>
      <c r="BH6" s="36"/>
      <c r="BI6" s="36"/>
      <c r="BJ6" s="35">
        <v>1000.0</v>
      </c>
      <c r="BK6" s="34">
        <v>0.0</v>
      </c>
      <c r="BL6" s="33"/>
      <c r="BM6" s="33" t="s">
        <v>29</v>
      </c>
      <c r="BN6" s="38"/>
      <c r="BO6" s="33" t="s">
        <v>17</v>
      </c>
      <c r="BP6" s="34">
        <v>0.0</v>
      </c>
      <c r="BQ6" s="34">
        <v>0.0</v>
      </c>
      <c r="BR6" s="34">
        <v>6.0E-4</v>
      </c>
      <c r="BS6" s="33" t="s">
        <v>37</v>
      </c>
      <c r="BT6" s="33" t="s">
        <v>16</v>
      </c>
      <c r="BU6" s="34">
        <v>3.0</v>
      </c>
      <c r="BV6" s="34">
        <v>0.0</v>
      </c>
      <c r="BW6" s="34">
        <v>14.0006</v>
      </c>
      <c r="BX6" s="34">
        <v>0.0</v>
      </c>
      <c r="CF6" s="33" t="s">
        <v>38</v>
      </c>
      <c r="CG6" s="34">
        <v>2.0</v>
      </c>
      <c r="CH6" s="33" t="s">
        <v>12</v>
      </c>
      <c r="CI6" s="33" t="s">
        <v>17</v>
      </c>
      <c r="CJ6" s="34">
        <v>0.0</v>
      </c>
      <c r="CK6" s="33" t="s">
        <v>39</v>
      </c>
      <c r="CL6" s="34">
        <v>1.0</v>
      </c>
      <c r="CM6" s="33" t="s">
        <v>16</v>
      </c>
      <c r="CN6" s="33" t="s">
        <v>40</v>
      </c>
      <c r="CO6" s="33" t="s">
        <v>31</v>
      </c>
      <c r="CP6" s="33" t="s">
        <v>41</v>
      </c>
      <c r="CQ6" s="36"/>
      <c r="CR6" s="36"/>
      <c r="CS6" s="34"/>
      <c r="CT6" s="36"/>
      <c r="CU6" s="36"/>
      <c r="CV6" s="38"/>
      <c r="CW6" s="37"/>
      <c r="CX6" s="36"/>
      <c r="CY6" s="36"/>
      <c r="CZ6" s="34"/>
      <c r="DA6" s="36"/>
      <c r="DB6" s="34"/>
      <c r="DC6" s="36"/>
      <c r="DD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9"/>
      <c r="B8" s="40"/>
      <c r="C8" s="40"/>
      <c r="D8" s="39"/>
      <c r="E8" s="39"/>
      <c r="F8" s="40"/>
      <c r="G8" s="40"/>
      <c r="H8" s="39"/>
      <c r="I8" s="39"/>
      <c r="J8" s="39"/>
      <c r="K8" s="39"/>
      <c r="L8" s="39"/>
      <c r="M8" s="40"/>
      <c r="N8" s="40"/>
      <c r="O8" s="40"/>
      <c r="P8" s="39"/>
      <c r="Q8" s="39"/>
      <c r="R8" s="39"/>
      <c r="S8" s="40"/>
      <c r="T8" s="39"/>
      <c r="U8" s="39"/>
      <c r="V8" s="40"/>
      <c r="W8" s="39"/>
      <c r="X8" s="39"/>
      <c r="Y8" s="39"/>
      <c r="Z8" s="40"/>
      <c r="AA8" s="40"/>
      <c r="AB8" s="39"/>
      <c r="AC8" s="40"/>
      <c r="AD8" s="40"/>
      <c r="AE8" s="39"/>
      <c r="AF8" s="41"/>
      <c r="AG8" s="41"/>
      <c r="AH8" s="40"/>
      <c r="AI8" s="39"/>
      <c r="AJ8" s="40"/>
      <c r="AK8" s="39"/>
      <c r="AL8" s="39"/>
      <c r="AM8" s="40"/>
      <c r="AN8" s="42"/>
      <c r="AO8" s="39"/>
      <c r="AP8" s="42"/>
      <c r="AQ8" s="42"/>
      <c r="AR8" s="42"/>
      <c r="AS8" s="39"/>
      <c r="AT8" s="43"/>
      <c r="AU8" s="43"/>
      <c r="AV8" s="44"/>
      <c r="AW8" s="39"/>
      <c r="AX8" s="39"/>
      <c r="AY8" s="40"/>
      <c r="AZ8" s="39"/>
      <c r="BA8" s="44"/>
      <c r="BB8" s="39"/>
      <c r="BC8" s="39"/>
      <c r="BD8" s="40"/>
      <c r="BE8" s="43"/>
      <c r="BF8" s="43"/>
      <c r="BG8" s="44"/>
      <c r="BH8" s="39"/>
      <c r="BI8" s="39"/>
      <c r="BJ8" s="39"/>
      <c r="BK8" s="39"/>
      <c r="BL8" s="40"/>
      <c r="BM8" s="40"/>
      <c r="BN8" s="44"/>
      <c r="BO8" s="40"/>
      <c r="BP8" s="39"/>
      <c r="BQ8" s="39"/>
      <c r="BR8" s="45"/>
      <c r="BS8" s="40"/>
      <c r="BT8" s="40"/>
      <c r="BU8" s="39"/>
      <c r="BV8" s="39"/>
      <c r="BW8" s="45"/>
      <c r="BX8" s="39"/>
      <c r="BY8" s="39"/>
      <c r="BZ8" s="39"/>
      <c r="CA8" s="39"/>
      <c r="CB8" s="39"/>
      <c r="CC8" s="39"/>
      <c r="CD8" s="39"/>
      <c r="CE8" s="39"/>
      <c r="CF8" s="40"/>
      <c r="CG8" s="39"/>
      <c r="CH8" s="40"/>
      <c r="CI8" s="40"/>
      <c r="CJ8" s="39"/>
      <c r="CK8" s="40"/>
      <c r="CL8" s="39"/>
      <c r="CM8" s="40"/>
      <c r="CN8" s="40"/>
      <c r="CO8" s="40"/>
      <c r="CP8" s="40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44"/>
      <c r="DC8" s="40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IFERROR(__xludf.DUMMYFUNCTION("""COMPUTED_VALUE"""),"SelectTradeOnPM")</f>
        <v>SelectTradeOnPM</v>
      </c>
      <c r="AQ4" s="26" t="str">
        <f>IFERROR(__xludf.DUMMYFUNCTION("""COMPUTED_VALUE"""),"OperationsonPM")</f>
        <v>OperationsonPM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8"/>
      <c r="B6" s="38"/>
      <c r="C6" s="33" t="s">
        <v>16</v>
      </c>
      <c r="D6" s="46">
        <v>1000.0</v>
      </c>
      <c r="E6" s="33" t="s">
        <v>18</v>
      </c>
      <c r="F6" s="33" t="s">
        <v>44</v>
      </c>
      <c r="G6" s="34">
        <v>1.0</v>
      </c>
      <c r="H6" s="33" t="s">
        <v>45</v>
      </c>
      <c r="I6" s="34">
        <v>0.0</v>
      </c>
      <c r="J6" s="34">
        <v>0.0</v>
      </c>
      <c r="K6" s="34">
        <v>0.0</v>
      </c>
      <c r="L6" s="34">
        <v>0.0</v>
      </c>
      <c r="M6" s="34">
        <v>0.0</v>
      </c>
      <c r="N6" s="46">
        <v>-1000.0</v>
      </c>
      <c r="O6" s="33"/>
      <c r="P6" s="33" t="s">
        <v>46</v>
      </c>
      <c r="Q6" s="46">
        <v>-1000.0</v>
      </c>
      <c r="R6" s="33" t="s">
        <v>47</v>
      </c>
      <c r="S6" s="33" t="s">
        <v>37</v>
      </c>
      <c r="T6" s="33" t="s">
        <v>26</v>
      </c>
      <c r="U6" s="33" t="s">
        <v>39</v>
      </c>
      <c r="V6" s="33" t="s">
        <v>31</v>
      </c>
      <c r="W6" s="33" t="s">
        <v>29</v>
      </c>
      <c r="X6" s="34">
        <v>1.0</v>
      </c>
      <c r="Y6" s="34">
        <v>1.0</v>
      </c>
      <c r="Z6" s="36"/>
      <c r="AA6" s="36"/>
      <c r="AB6" s="34">
        <v>0.0</v>
      </c>
      <c r="AC6" s="34">
        <v>0.0</v>
      </c>
      <c r="AD6" s="34">
        <v>0.0</v>
      </c>
      <c r="AE6" s="34">
        <v>0.0</v>
      </c>
      <c r="AF6" s="46">
        <v>1000.0</v>
      </c>
      <c r="AG6" s="34">
        <v>0.0</v>
      </c>
      <c r="AH6" s="34">
        <v>0.0</v>
      </c>
      <c r="AI6" s="34">
        <v>0.0</v>
      </c>
      <c r="AJ6" s="34">
        <v>0.0</v>
      </c>
      <c r="AK6" s="46">
        <v>-1000.0</v>
      </c>
      <c r="AL6" s="34">
        <v>1.0</v>
      </c>
      <c r="AM6" s="34">
        <v>1.0</v>
      </c>
      <c r="AN6" s="33" t="s">
        <v>17</v>
      </c>
      <c r="AO6" s="36"/>
      <c r="AP6" s="33" t="s">
        <v>45</v>
      </c>
      <c r="AQ6" s="33" t="s">
        <v>16</v>
      </c>
      <c r="AR6" s="34">
        <v>0.0</v>
      </c>
      <c r="AS6" s="34">
        <v>1.0</v>
      </c>
      <c r="AT6" s="33" t="s">
        <v>30</v>
      </c>
      <c r="AU6" s="33" t="s">
        <v>34</v>
      </c>
      <c r="AV6" s="34">
        <v>1.0</v>
      </c>
      <c r="AW6" s="46">
        <v>-1000.0</v>
      </c>
      <c r="AX6" s="34">
        <v>0.0</v>
      </c>
      <c r="AY6" s="34">
        <v>0.0</v>
      </c>
      <c r="AZ6" s="34">
        <v>0.0</v>
      </c>
      <c r="BA6" s="34">
        <v>-100.0</v>
      </c>
      <c r="BB6" s="37"/>
      <c r="BC6" s="34">
        <v>1.0</v>
      </c>
      <c r="BD6" s="46">
        <v>-1000.0</v>
      </c>
      <c r="BE6" s="33" t="s">
        <v>26</v>
      </c>
      <c r="BF6" s="33" t="s">
        <v>48</v>
      </c>
      <c r="BG6" s="33" t="s">
        <v>49</v>
      </c>
      <c r="BH6" s="33" t="s">
        <v>46</v>
      </c>
      <c r="BI6" s="34">
        <v>5.0</v>
      </c>
      <c r="BJ6" s="34">
        <v>0.0</v>
      </c>
      <c r="BK6" s="34">
        <v>0.0</v>
      </c>
      <c r="BL6" s="34">
        <v>0.0</v>
      </c>
      <c r="BM6" s="34">
        <v>0.0</v>
      </c>
      <c r="BN6" s="37"/>
      <c r="BO6" s="46">
        <v>-1000.0</v>
      </c>
      <c r="BP6" s="34">
        <v>0.0</v>
      </c>
      <c r="BQ6" s="33" t="s">
        <v>40</v>
      </c>
      <c r="BR6" s="33" t="s">
        <v>19</v>
      </c>
      <c r="BS6" s="34">
        <v>0.0</v>
      </c>
      <c r="BT6" s="34">
        <v>0.0</v>
      </c>
      <c r="BU6" s="33" t="s">
        <v>26</v>
      </c>
      <c r="BV6" s="34"/>
      <c r="BW6" s="34">
        <v>0.0</v>
      </c>
      <c r="BX6" s="34">
        <v>0.0</v>
      </c>
      <c r="BY6" s="34">
        <v>0.0</v>
      </c>
      <c r="BZ6" s="34">
        <v>0.0</v>
      </c>
      <c r="CA6" s="34">
        <v>0.0</v>
      </c>
      <c r="CB6" s="38"/>
      <c r="CC6" s="34">
        <v>0.0</v>
      </c>
      <c r="CD6" s="46">
        <v>-1000.0</v>
      </c>
      <c r="CE6" s="34">
        <v>0.0</v>
      </c>
      <c r="CF6" s="34">
        <v>0.0</v>
      </c>
      <c r="CG6" s="46">
        <v>-1000.0</v>
      </c>
      <c r="CH6" s="34">
        <v>-100.0</v>
      </c>
      <c r="CI6" s="34">
        <v>0.0</v>
      </c>
      <c r="CJ6" s="34">
        <v>0.0</v>
      </c>
      <c r="CK6" s="33" t="b">
        <v>0</v>
      </c>
      <c r="CL6" s="36"/>
      <c r="CM6" s="36"/>
      <c r="CN6" s="33" t="s">
        <v>16</v>
      </c>
      <c r="CO6" s="33" t="s">
        <v>16</v>
      </c>
      <c r="CP6" s="33" t="s">
        <v>27</v>
      </c>
      <c r="CQ6" s="36"/>
      <c r="CR6" s="38"/>
      <c r="CS6" s="34">
        <v>1.0</v>
      </c>
      <c r="CT6" s="36"/>
      <c r="CU6" s="36"/>
      <c r="CV6" s="36"/>
      <c r="CW6" s="36"/>
      <c r="CX6" s="36"/>
      <c r="CY6" s="33" t="s">
        <v>33</v>
      </c>
      <c r="CZ6" s="33" t="s">
        <v>50</v>
      </c>
      <c r="DA6" s="34">
        <v>0.0</v>
      </c>
      <c r="DB6" s="34">
        <v>0.0</v>
      </c>
      <c r="DC6" s="37"/>
      <c r="DD6" s="46">
        <v>1000.0</v>
      </c>
      <c r="DE6" s="34">
        <v>0.0</v>
      </c>
      <c r="DF6" s="34">
        <v>0.0</v>
      </c>
      <c r="DG6" s="34">
        <v>0.0</v>
      </c>
      <c r="DH6" s="33" t="s">
        <v>46</v>
      </c>
      <c r="DI6" s="34">
        <v>0.0</v>
      </c>
      <c r="DJ6" s="33" t="s">
        <v>17</v>
      </c>
      <c r="DK6" s="34">
        <v>0.0</v>
      </c>
      <c r="DL6" s="34">
        <v>0.0</v>
      </c>
      <c r="DM6" s="34">
        <v>1.0</v>
      </c>
      <c r="DN6" s="34">
        <v>0.0</v>
      </c>
      <c r="DO6" s="36"/>
      <c r="DP6" s="33" t="s">
        <v>45</v>
      </c>
      <c r="DQ6" s="33" t="s">
        <v>51</v>
      </c>
      <c r="DR6" s="33" t="s">
        <v>52</v>
      </c>
      <c r="DS6" s="33" t="s">
        <v>51</v>
      </c>
      <c r="DT6" s="33" t="s">
        <v>51</v>
      </c>
      <c r="DU6" s="33" t="s">
        <v>53</v>
      </c>
      <c r="DV6" s="33" t="s">
        <v>51</v>
      </c>
      <c r="DW6" s="33" t="s">
        <v>51</v>
      </c>
      <c r="DX6" s="33" t="s">
        <v>51</v>
      </c>
      <c r="DY6" s="33" t="s">
        <v>51</v>
      </c>
      <c r="DZ6" s="33" t="s">
        <v>54</v>
      </c>
      <c r="EA6" s="33" t="s">
        <v>53</v>
      </c>
      <c r="EB6" s="33" t="s">
        <v>51</v>
      </c>
      <c r="EC6" s="33" t="s">
        <v>51</v>
      </c>
      <c r="ED6" s="33" t="s">
        <v>29</v>
      </c>
      <c r="EE6" s="33" t="s">
        <v>55</v>
      </c>
      <c r="EF6" s="34">
        <v>0.0</v>
      </c>
      <c r="EG6" s="34">
        <v>0.0</v>
      </c>
      <c r="EH6" s="34">
        <v>0.0</v>
      </c>
      <c r="EI6" s="34">
        <v>0.0</v>
      </c>
      <c r="EJ6" s="34">
        <v>0.0</v>
      </c>
      <c r="EK6" s="34">
        <v>0.0</v>
      </c>
      <c r="EL6" s="33" t="s">
        <v>45</v>
      </c>
      <c r="EM6" s="34">
        <v>0.0</v>
      </c>
      <c r="EN6" s="34">
        <v>0.0</v>
      </c>
      <c r="EO6" s="34">
        <v>0.0</v>
      </c>
      <c r="EP6" s="34">
        <v>0.0</v>
      </c>
      <c r="EQ6" s="34">
        <v>0.0</v>
      </c>
      <c r="ER6" s="34">
        <v>0.0</v>
      </c>
      <c r="ES6" s="46">
        <v>-1000.0</v>
      </c>
      <c r="ET6" s="34">
        <v>0.0</v>
      </c>
      <c r="EU6" s="34">
        <v>0.0</v>
      </c>
      <c r="EV6" s="33" t="s">
        <v>45</v>
      </c>
      <c r="EW6" s="46">
        <v>-1000.0</v>
      </c>
      <c r="EX6" s="33" t="b">
        <v>0</v>
      </c>
      <c r="EY6" s="33"/>
      <c r="EZ6" s="34"/>
      <c r="FA6" s="34"/>
      <c r="FB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7">
        <v>1.0</v>
      </c>
      <c r="E6" s="48" t="s">
        <v>27</v>
      </c>
      <c r="F6" s="47">
        <v>0.0</v>
      </c>
      <c r="G6" s="47"/>
      <c r="H6" s="47" t="s">
        <v>31</v>
      </c>
      <c r="I6" s="47" t="s">
        <v>40</v>
      </c>
      <c r="J6" s="47" t="s">
        <v>16</v>
      </c>
      <c r="K6" s="47" t="s">
        <v>39</v>
      </c>
      <c r="L6" s="47" t="s">
        <v>38</v>
      </c>
      <c r="S6" s="47">
        <v>0.0</v>
      </c>
      <c r="T6" s="47">
        <v>0.0</v>
      </c>
      <c r="U6" s="49" t="s">
        <v>29</v>
      </c>
      <c r="V6" s="50" t="s">
        <v>41</v>
      </c>
      <c r="W6" s="47"/>
      <c r="X6" s="47">
        <v>0.0</v>
      </c>
      <c r="Y6" s="47"/>
      <c r="Z6" s="47"/>
      <c r="AA6" s="47" t="s">
        <v>44</v>
      </c>
      <c r="AB6" s="47">
        <v>1000.0</v>
      </c>
      <c r="AC6" s="47" t="s">
        <v>34</v>
      </c>
      <c r="AD6" s="47">
        <v>1.0</v>
      </c>
      <c r="AE6" s="51"/>
      <c r="AF6" s="47" t="s">
        <v>32</v>
      </c>
      <c r="AG6" s="47">
        <v>1.0</v>
      </c>
      <c r="AH6" s="47" t="s">
        <v>26</v>
      </c>
      <c r="AI6" s="47" t="s">
        <v>16</v>
      </c>
      <c r="AJ6" s="47" t="s">
        <v>17</v>
      </c>
      <c r="AK6" s="47" t="s">
        <v>58</v>
      </c>
      <c r="AL6" s="47">
        <v>1000.0</v>
      </c>
      <c r="AM6" s="47">
        <v>1000.0</v>
      </c>
      <c r="AN6" s="47">
        <v>100.0</v>
      </c>
      <c r="AO6" s="47">
        <v>1000.0</v>
      </c>
      <c r="AQ6" s="47">
        <v>1.0</v>
      </c>
      <c r="AR6" s="47">
        <v>1.0</v>
      </c>
      <c r="AS6" s="47" t="s">
        <v>19</v>
      </c>
      <c r="AT6" s="47" t="s">
        <v>18</v>
      </c>
      <c r="AU6" s="47" t="s">
        <v>35</v>
      </c>
      <c r="AV6" s="47">
        <v>1000.0</v>
      </c>
      <c r="AW6" s="47">
        <v>1000.0</v>
      </c>
      <c r="AX6" s="47" t="s">
        <v>25</v>
      </c>
      <c r="AY6" s="47">
        <v>1000.0</v>
      </c>
      <c r="AZ6" s="51"/>
      <c r="BA6" s="52"/>
      <c r="BB6" s="52"/>
      <c r="BC6" s="47"/>
      <c r="BD6" s="52"/>
      <c r="BE6" s="52"/>
      <c r="BF6" s="47"/>
      <c r="BG6" s="52"/>
      <c r="BH6" s="47"/>
      <c r="BI6" s="47"/>
      <c r="BJ6" s="52"/>
      <c r="BK6" s="52"/>
      <c r="BL6" s="52"/>
      <c r="BM6" s="52"/>
      <c r="BN6" s="52"/>
      <c r="BO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IFERROR(__xludf.DUMMYFUNCTION("""COMPUTED_VALUE"""),"MergeTT")</f>
        <v>MergeTT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3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55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7">
        <v>1.0</v>
      </c>
      <c r="E6" s="47" t="s">
        <v>27</v>
      </c>
      <c r="F6" s="47">
        <v>0.0</v>
      </c>
      <c r="G6" s="47"/>
      <c r="H6" s="47" t="s">
        <v>31</v>
      </c>
      <c r="I6" s="47" t="s">
        <v>40</v>
      </c>
      <c r="J6" s="47" t="s">
        <v>16</v>
      </c>
      <c r="K6" s="47" t="s">
        <v>39</v>
      </c>
      <c r="L6" s="47" t="s">
        <v>38</v>
      </c>
      <c r="S6" s="47">
        <v>0.0</v>
      </c>
      <c r="T6" s="47">
        <v>0.0</v>
      </c>
      <c r="U6" s="49" t="s">
        <v>29</v>
      </c>
      <c r="V6" s="50" t="s">
        <v>41</v>
      </c>
      <c r="W6" s="47"/>
      <c r="X6" s="47">
        <v>0.0</v>
      </c>
      <c r="Y6" s="47"/>
      <c r="Z6" s="47"/>
      <c r="AA6" s="47" t="s">
        <v>44</v>
      </c>
      <c r="AB6" s="47">
        <v>1000.0</v>
      </c>
      <c r="AC6" s="47" t="s">
        <v>34</v>
      </c>
      <c r="AD6" s="47">
        <v>1.0</v>
      </c>
      <c r="AE6" s="51"/>
      <c r="AF6" s="47" t="s">
        <v>32</v>
      </c>
      <c r="AG6" s="47">
        <v>1.0</v>
      </c>
      <c r="AH6" s="47" t="s">
        <v>26</v>
      </c>
      <c r="AI6" s="47" t="s">
        <v>16</v>
      </c>
      <c r="AJ6" s="47" t="s">
        <v>17</v>
      </c>
      <c r="AK6" s="47" t="s">
        <v>58</v>
      </c>
      <c r="AL6" s="47">
        <v>1000.0</v>
      </c>
      <c r="AM6" s="47">
        <v>1000.0</v>
      </c>
      <c r="AN6" s="47">
        <v>100.0</v>
      </c>
      <c r="AO6" s="47">
        <v>1000.0</v>
      </c>
      <c r="AQ6" s="47">
        <v>1.0</v>
      </c>
      <c r="AR6" s="47">
        <v>1.0</v>
      </c>
      <c r="AS6" s="47" t="s">
        <v>19</v>
      </c>
      <c r="AT6" s="47" t="s">
        <v>18</v>
      </c>
      <c r="AU6" s="47" t="s">
        <v>35</v>
      </c>
      <c r="AV6" s="47">
        <v>1000.0</v>
      </c>
      <c r="AW6" s="47">
        <v>1000.0</v>
      </c>
      <c r="AX6" s="47" t="s">
        <v>25</v>
      </c>
      <c r="AZ6" s="47">
        <v>1000.0</v>
      </c>
      <c r="BA6" s="52"/>
      <c r="BB6" s="52"/>
      <c r="BC6" s="47"/>
      <c r="BD6" s="52"/>
      <c r="BE6" s="52"/>
      <c r="BF6" s="47"/>
      <c r="BG6" s="52"/>
      <c r="BH6" s="47"/>
      <c r="BI6" s="47"/>
      <c r="BJ6" s="52"/>
      <c r="BK6" s="52"/>
      <c r="BL6" s="52"/>
      <c r="BM6" s="52"/>
      <c r="BN6" s="52"/>
      <c r="BO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3"/>
      <c r="C6" s="54"/>
      <c r="D6" s="53"/>
      <c r="E6" s="54"/>
      <c r="F6" s="54"/>
      <c r="G6" s="54"/>
      <c r="H6" s="54" t="s">
        <v>16</v>
      </c>
      <c r="I6" s="55">
        <v>0.0</v>
      </c>
      <c r="J6" s="56">
        <v>1000.0</v>
      </c>
      <c r="K6" s="56">
        <v>1000.0</v>
      </c>
      <c r="L6" s="56">
        <v>1000.0</v>
      </c>
      <c r="M6" s="54" t="s">
        <v>63</v>
      </c>
      <c r="N6" s="54"/>
      <c r="O6" s="54" t="s">
        <v>17</v>
      </c>
      <c r="P6" s="54"/>
      <c r="Q6" s="54"/>
      <c r="R6" s="54" t="s">
        <v>44</v>
      </c>
      <c r="S6" s="54"/>
      <c r="T6" s="39" t="s">
        <v>18</v>
      </c>
      <c r="U6" s="39" t="s">
        <v>18</v>
      </c>
      <c r="V6" s="39"/>
      <c r="W6" s="39"/>
      <c r="X6" s="39"/>
      <c r="Y6" s="39"/>
      <c r="Z6" s="39"/>
      <c r="AA6" s="39"/>
      <c r="AB6" s="57">
        <v>1000.0</v>
      </c>
      <c r="AC6" s="39"/>
      <c r="AD6" s="57">
        <v>1000.0</v>
      </c>
      <c r="AE6" s="45">
        <v>0.0</v>
      </c>
      <c r="AF6" s="39"/>
      <c r="AG6" s="57">
        <v>1000.0</v>
      </c>
      <c r="AH6" s="57">
        <v>1000.0</v>
      </c>
      <c r="AI6" s="39"/>
      <c r="AJ6" s="39" t="s">
        <v>26</v>
      </c>
      <c r="AK6" s="39" t="s">
        <v>26</v>
      </c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45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45"/>
      <c r="BR6" s="45"/>
      <c r="BS6" s="39"/>
      <c r="BT6" s="45"/>
      <c r="BU6" s="39"/>
      <c r="BV6" s="57">
        <v>1.0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3"/>
      <c r="C6" s="54"/>
      <c r="D6" s="53"/>
      <c r="E6" s="54"/>
      <c r="F6" s="54"/>
      <c r="G6" s="54"/>
      <c r="H6" s="54" t="s">
        <v>16</v>
      </c>
      <c r="I6" s="55">
        <v>0.0</v>
      </c>
      <c r="J6" s="56">
        <v>1000.0</v>
      </c>
      <c r="K6" s="56">
        <v>1000.0</v>
      </c>
      <c r="L6" s="56">
        <v>1000.0</v>
      </c>
      <c r="M6" s="54" t="s">
        <v>63</v>
      </c>
      <c r="N6" s="54"/>
      <c r="O6" s="54" t="s">
        <v>17</v>
      </c>
      <c r="P6" s="54"/>
      <c r="Q6" s="54"/>
      <c r="R6" s="54" t="s">
        <v>44</v>
      </c>
      <c r="S6" s="54"/>
      <c r="T6" s="39" t="s">
        <v>18</v>
      </c>
      <c r="U6" s="39" t="s">
        <v>18</v>
      </c>
      <c r="V6" s="39"/>
      <c r="W6" s="39"/>
      <c r="X6" s="39"/>
      <c r="Y6" s="39"/>
      <c r="Z6" s="39"/>
      <c r="AA6" s="39"/>
      <c r="AB6" s="57">
        <v>1000.0</v>
      </c>
      <c r="AC6" s="39"/>
      <c r="AD6" s="57">
        <v>1000.0</v>
      </c>
      <c r="AE6" s="45">
        <v>0.0</v>
      </c>
      <c r="AF6" s="39"/>
      <c r="AG6" s="57">
        <v>1000.0</v>
      </c>
      <c r="AH6" s="57">
        <v>1000.0</v>
      </c>
      <c r="AI6" s="39"/>
      <c r="AJ6" s="39" t="s">
        <v>26</v>
      </c>
      <c r="AK6" s="39" t="s">
        <v>26</v>
      </c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45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45"/>
      <c r="BR6" s="45"/>
      <c r="BS6" s="39"/>
      <c r="BT6" s="45"/>
      <c r="BU6" s="39"/>
      <c r="BV6" s="57">
        <v>1.0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17</v>
      </c>
      <c r="G6" s="8"/>
      <c r="H6" s="13">
        <v>1000.0</v>
      </c>
      <c r="I6" s="8"/>
      <c r="J6" s="8"/>
      <c r="K6" s="8"/>
      <c r="L6" s="8"/>
      <c r="M6" s="8"/>
      <c r="N6" s="8"/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3"/>
      <c r="C6" s="54"/>
      <c r="D6" s="53"/>
      <c r="E6" s="54"/>
      <c r="F6" s="54"/>
      <c r="G6" s="54"/>
      <c r="H6" s="54" t="s">
        <v>16</v>
      </c>
      <c r="I6" s="55">
        <v>0.0</v>
      </c>
      <c r="J6" s="56">
        <v>1000.0</v>
      </c>
      <c r="K6" s="56">
        <v>1000.0</v>
      </c>
      <c r="L6" s="56">
        <v>1000.0</v>
      </c>
      <c r="M6" s="54" t="s">
        <v>63</v>
      </c>
      <c r="N6" s="54"/>
      <c r="O6" s="54" t="s">
        <v>17</v>
      </c>
      <c r="P6" s="54"/>
      <c r="Q6" s="54"/>
      <c r="R6" s="54" t="s">
        <v>44</v>
      </c>
      <c r="S6" s="54"/>
      <c r="T6" s="39" t="s">
        <v>18</v>
      </c>
      <c r="U6" s="39" t="s">
        <v>18</v>
      </c>
      <c r="V6" s="39"/>
      <c r="W6" s="39"/>
      <c r="X6" s="39"/>
      <c r="Y6" s="39"/>
      <c r="Z6" s="39"/>
      <c r="AA6" s="39"/>
      <c r="AB6" s="57">
        <v>1000.0</v>
      </c>
      <c r="AC6" s="39"/>
      <c r="AD6" s="57">
        <v>1000.0</v>
      </c>
      <c r="AE6" s="45">
        <v>0.0</v>
      </c>
      <c r="AF6" s="39"/>
      <c r="AG6" s="57">
        <v>1000.0</v>
      </c>
      <c r="AH6" s="57">
        <v>1000.0</v>
      </c>
      <c r="AI6" s="39"/>
      <c r="AJ6" s="39" t="s">
        <v>26</v>
      </c>
      <c r="AK6" s="39" t="s">
        <v>26</v>
      </c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45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45"/>
      <c r="BR6" s="45"/>
      <c r="BS6" s="39"/>
      <c r="BT6" s="45"/>
      <c r="BU6" s="39"/>
      <c r="BV6" s="57">
        <v>1.0</v>
      </c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47">
        <v>1.0</v>
      </c>
      <c r="E6" s="47" t="s">
        <v>27</v>
      </c>
      <c r="F6" s="47">
        <v>0.0</v>
      </c>
      <c r="G6" s="47"/>
      <c r="H6" s="47" t="s">
        <v>31</v>
      </c>
      <c r="I6" s="47" t="s">
        <v>40</v>
      </c>
      <c r="J6" s="47" t="s">
        <v>16</v>
      </c>
      <c r="K6" s="47" t="s">
        <v>39</v>
      </c>
      <c r="L6" s="47" t="s">
        <v>38</v>
      </c>
      <c r="S6" s="47">
        <v>0.0</v>
      </c>
      <c r="T6" s="47">
        <v>0.0</v>
      </c>
      <c r="U6" s="49" t="s">
        <v>29</v>
      </c>
      <c r="V6" s="50" t="s">
        <v>41</v>
      </c>
      <c r="W6" s="47"/>
      <c r="X6" s="47">
        <v>0.0</v>
      </c>
      <c r="Y6" s="47"/>
      <c r="Z6" s="47"/>
      <c r="AA6" s="47" t="s">
        <v>44</v>
      </c>
      <c r="AB6" s="47"/>
      <c r="AC6" s="47" t="s">
        <v>34</v>
      </c>
      <c r="AD6" s="47">
        <v>1.0</v>
      </c>
      <c r="AE6" s="51"/>
      <c r="AF6" s="47" t="s">
        <v>32</v>
      </c>
      <c r="AG6" s="47">
        <v>1.0</v>
      </c>
      <c r="AH6" s="47" t="s">
        <v>26</v>
      </c>
      <c r="AI6" s="47" t="s">
        <v>16</v>
      </c>
      <c r="AJ6" s="47" t="s">
        <v>17</v>
      </c>
      <c r="AK6" s="48" t="s">
        <v>66</v>
      </c>
      <c r="AL6" s="48">
        <v>2000.0</v>
      </c>
      <c r="AM6" s="47">
        <v>1000.0</v>
      </c>
      <c r="AN6" s="48">
        <v>50.0</v>
      </c>
      <c r="AO6" s="47">
        <v>1000.0</v>
      </c>
      <c r="AQ6" s="48"/>
      <c r="AR6" s="47">
        <v>1.0</v>
      </c>
      <c r="AS6" s="47" t="s">
        <v>19</v>
      </c>
      <c r="AT6" s="47" t="s">
        <v>18</v>
      </c>
      <c r="AU6" s="47" t="s">
        <v>35</v>
      </c>
      <c r="AV6" s="47">
        <v>1000.0</v>
      </c>
      <c r="AW6" s="47">
        <v>1000.0</v>
      </c>
      <c r="AX6" s="47" t="s">
        <v>25</v>
      </c>
      <c r="AY6" s="48">
        <v>2000.0</v>
      </c>
      <c r="AZ6" s="51"/>
      <c r="BA6" s="52"/>
      <c r="BB6" s="52"/>
      <c r="BC6" s="47"/>
      <c r="BD6" s="52"/>
      <c r="BE6" s="52"/>
      <c r="BF6" s="47"/>
      <c r="BG6" s="52"/>
      <c r="BH6" s="47"/>
      <c r="BI6" s="47"/>
      <c r="BJ6" s="52"/>
      <c r="BK6" s="52"/>
      <c r="BL6" s="52"/>
      <c r="BM6" s="52"/>
      <c r="BN6" s="52"/>
      <c r="BO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2"/>
      <c r="BM8" s="52"/>
      <c r="BN8" s="52"/>
      <c r="BO8" s="52"/>
    </row>
    <row r="9" ht="15.75" customHeight="1">
      <c r="A9" s="8"/>
      <c r="B9" s="8"/>
      <c r="C9" s="8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9"/>
      <c r="Q9" s="50"/>
      <c r="R9" s="47"/>
      <c r="S9" s="47"/>
      <c r="T9" s="47"/>
      <c r="U9" s="47"/>
      <c r="V9" s="47"/>
      <c r="W9" s="47"/>
      <c r="X9" s="47"/>
      <c r="Y9" s="47"/>
      <c r="Z9" s="51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51"/>
      <c r="AU9" s="52"/>
      <c r="AV9" s="52"/>
      <c r="AW9" s="52"/>
      <c r="AX9" s="52"/>
      <c r="AY9" s="52"/>
      <c r="AZ9" s="52"/>
      <c r="BA9" s="47"/>
      <c r="BB9" s="52"/>
      <c r="BC9" s="47"/>
      <c r="BD9" s="47"/>
      <c r="BE9" s="52"/>
      <c r="BF9" s="52"/>
      <c r="BG9" s="52"/>
      <c r="BH9" s="52"/>
      <c r="BI9" s="52"/>
      <c r="BJ9" s="52"/>
      <c r="BK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67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IFERROR(__xludf.DUMMYFUNCTION("""COMPUTED_VALUE"""),"RightClickOperations")</f>
        <v>RightClickOperations</v>
      </c>
      <c r="CO4" s="26" t="str">
        <f>IFERROR(__xludf.DUMMYFUNCTION("""COMPUTED_VALUE"""),"BlotterToolBarAction")</f>
        <v>BlotterToolBarAction</v>
      </c>
      <c r="CP4" s="26" t="str">
        <f>IFERROR(__xludf.DUMMYFUNCTION("""COMPUTED_VALUE"""),"AddTabToFav")</f>
        <v>AddTabToFav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47" t="s">
        <v>27</v>
      </c>
      <c r="F6" s="13"/>
      <c r="G6" s="8"/>
      <c r="H6" s="47" t="s">
        <v>31</v>
      </c>
      <c r="I6" s="47" t="s">
        <v>40</v>
      </c>
      <c r="J6" s="47" t="s">
        <v>16</v>
      </c>
      <c r="K6" s="47" t="s">
        <v>39</v>
      </c>
      <c r="L6" s="47" t="s">
        <v>38</v>
      </c>
      <c r="M6" s="8"/>
      <c r="N6" s="8"/>
      <c r="O6" s="8"/>
      <c r="S6" s="9">
        <v>0.0</v>
      </c>
      <c r="T6" s="47">
        <v>0.0</v>
      </c>
      <c r="U6" s="49" t="s">
        <v>29</v>
      </c>
      <c r="V6" s="50" t="s">
        <v>41</v>
      </c>
      <c r="W6" s="47"/>
      <c r="X6" s="47">
        <v>0.0</v>
      </c>
      <c r="Y6" s="47"/>
      <c r="Z6" s="47"/>
      <c r="AA6" s="47" t="s">
        <v>44</v>
      </c>
      <c r="AB6" s="47"/>
      <c r="AC6" s="47" t="s">
        <v>34</v>
      </c>
      <c r="AD6" s="47">
        <v>1.0</v>
      </c>
      <c r="AE6" s="51"/>
      <c r="AF6" s="47" t="s">
        <v>32</v>
      </c>
      <c r="AG6" s="47"/>
      <c r="AH6" s="47" t="s">
        <v>26</v>
      </c>
      <c r="AI6" s="47" t="s">
        <v>16</v>
      </c>
      <c r="AJ6" s="47" t="s">
        <v>17</v>
      </c>
      <c r="AK6" s="47" t="s">
        <v>58</v>
      </c>
      <c r="AL6" s="48">
        <v>1000.0</v>
      </c>
      <c r="AM6" s="47">
        <v>1000.0</v>
      </c>
      <c r="AR6" s="9" t="s">
        <v>18</v>
      </c>
      <c r="AT6" s="47"/>
      <c r="AU6" s="47"/>
      <c r="AX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