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GetDataClosing1" sheetId="12" r:id="rId14"/>
    <sheet state="visible" name="SelectTradeUnexpiredUnsettled1" sheetId="13" r:id="rId15"/>
    <sheet state="visible" name="GetDataClosing2" sheetId="14" r:id="rId16"/>
    <sheet state="visible" name="SelectTradeUnexpiredUnsettled2" sheetId="15" r:id="rId17"/>
    <sheet state="visible" name="GetDataClosing3" sheetId="16" r:id="rId18"/>
    <sheet state="visible" name="SelectTradeUnexpiredUnsettled3" sheetId="17" r:id="rId19"/>
    <sheet state="visible" name="ExerciseAssignment" sheetId="18" r:id="rId20"/>
    <sheet state="visible" name="GetDataAllocation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<sst xmlns="http://schemas.openxmlformats.org/spreadsheetml/2006/main" count="1156" uniqueCount="80">
  <si>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</si>
  <si>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</si>
  <si>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</si>
  <si>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</si>
  <si>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</si>
  <si>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</si>
  <si>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</si>
  <si>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</si>
  <si>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</si>
  <si>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</si>
  <si>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</si>
  <si>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</si>
  <si>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</si>
  <si>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</si>
  <si>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</si>
  <si>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</si>
  <si>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</si>
  <si>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</si>
  <si>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O:FB 12K18.00</t>
  </si>
  <si>
    <t>O:GOOG 12W670.00</t>
  </si>
  <si>
    <t>O:GOOG 13M635.00</t>
  </si>
  <si>
    <t>Admin</t>
  </si>
  <si>
    <t>UpdateExpirationDate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</si>
  <si>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</si>
  <si>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</si>
  <si>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</si>
  <si>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</si>
  <si>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</si>
  <si>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</si>
  <si>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</si>
  <si>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</si>
  <si>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</si>
  <si>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MS</t>
  </si>
  <si>
    <t>Buy to Open</t>
  </si>
  <si>
    <t>GS</t>
  </si>
  <si>
    <t>NSEW</t>
  </si>
  <si>
    <t>MSFT</t>
  </si>
  <si>
    <t>Allocation2</t>
  </si>
  <si>
    <t>Sell to Open</t>
  </si>
  <si>
    <t>FB</t>
  </si>
  <si>
    <t>Sell short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</si>
  <si>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</si>
  <si>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</si>
  <si>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</si>
  <si>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</si>
  <si>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</si>
  <si>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</si>
  <si>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</si>
  <si>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</si>
  <si>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</si>
  <si>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</si>
  <si>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</si>
  <si>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</si>
  <si>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</si>
  <si>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</si>
  <si>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</si>
  <si>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USD</t>
  </si>
  <si>
    <t>NASDAQ</t>
  </si>
  <si>
    <t>OPTS</t>
  </si>
  <si>
    <t>Sell to Close</t>
  </si>
  <si>
    <t>Sell</t>
  </si>
  <si>
    <t>Buy to Close</t>
  </si>
  <si>
    <t>CheckAllocatedTaxlots</t>
  </si>
  <si>
    <t>M</t>
  </si>
  <si>
    <t>Open</t>
  </si>
  <si>
    <t>Closed</t>
  </si>
  <si>
    <t>D</t>
  </si>
  <si>
    <t>PortfolioManagement</t>
  </si>
  <si>
    <t>CheckPortfolioManagement</t>
  </si>
  <si>
    <t>NewMF</t>
  </si>
  <si>
    <t>Short</t>
  </si>
  <si>
    <t>Equity</t>
  </si>
  <si>
    <t>US</t>
  </si>
  <si>
    <t>Long</t>
  </si>
  <si>
    <t>jpearce</t>
  </si>
  <si>
    <t>Equity Put</t>
  </si>
  <si>
    <t>NewMF1</t>
  </si>
  <si>
    <t>NewMF2</t>
  </si>
  <si>
    <t>Equity Call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</si>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</sst>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color rgb="FF000000"/>
      <name val="Docs-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wrapText="0"/>
    </xf>
    <xf borderId="5" fillId="7" fontId="14" numFmtId="0" xfId="0" applyAlignment="1" applyBorder="1" applyFill="1" applyFont="1">
      <alignment horizontal="right"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8" fontId="15" numFmtId="0" xfId="0" applyAlignment="1" applyFill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vertical="bottom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5.3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2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50.0</v>
      </c>
      <c r="G8" s="8"/>
      <c r="H8" s="3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32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23</v>
      </c>
      <c r="C6" s="34">
        <f t="shared" ref="C6:C8" si="1">today()+28</f>
        <v>45145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4">
        <f t="shared" si="1"/>
        <v>45145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34">
        <f t="shared" si="1"/>
        <v>45145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4">
        <f>today()+16</f>
        <v>45133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20</v>
      </c>
      <c r="C10" s="34">
        <f>today()+17</f>
        <v>45134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26</v>
      </c>
      <c r="D6" s="35"/>
      <c r="E6" s="37" t="b">
        <v>1</v>
      </c>
      <c r="F6" s="38"/>
      <c r="G6" s="38"/>
      <c r="H6" s="38"/>
      <c r="I6" s="38"/>
      <c r="J6" s="37" t="b">
        <v>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29</v>
      </c>
      <c r="C6" s="38" t="s">
        <v>30</v>
      </c>
      <c r="D6" s="39">
        <v>1100.0</v>
      </c>
      <c r="E6" s="40">
        <v>1100.0</v>
      </c>
      <c r="F6" s="38" t="s">
        <v>31</v>
      </c>
      <c r="G6" s="36" t="s">
        <v>32</v>
      </c>
      <c r="H6" s="38"/>
      <c r="I6" s="38"/>
      <c r="J6" s="40">
        <v>1.0</v>
      </c>
      <c r="K6" s="38"/>
      <c r="L6" s="38"/>
      <c r="M6" s="38"/>
      <c r="N6" s="34">
        <f>TODAY()-1</f>
        <v>45116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9" t="s">
        <v>23</v>
      </c>
      <c r="C7" s="36" t="s">
        <v>33</v>
      </c>
      <c r="D7" s="40">
        <v>10.0</v>
      </c>
      <c r="E7" s="38"/>
      <c r="F7" s="38" t="s">
        <v>31</v>
      </c>
      <c r="G7" s="36" t="s">
        <v>32</v>
      </c>
      <c r="H7" s="38"/>
      <c r="I7" s="38"/>
      <c r="J7" s="40">
        <v>1.0</v>
      </c>
      <c r="K7" s="38"/>
      <c r="L7" s="38"/>
      <c r="M7" s="38"/>
      <c r="N7" s="34">
        <f>TODAY()</f>
        <v>45117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9" t="s">
        <v>23</v>
      </c>
      <c r="C8" s="36" t="s">
        <v>33</v>
      </c>
      <c r="D8" s="40">
        <v>10.0</v>
      </c>
      <c r="E8" s="38"/>
      <c r="F8" s="38" t="s">
        <v>31</v>
      </c>
      <c r="G8" s="36" t="s">
        <v>34</v>
      </c>
      <c r="H8" s="38"/>
      <c r="I8" s="38"/>
      <c r="J8" s="40">
        <v>1.0</v>
      </c>
      <c r="K8" s="38"/>
      <c r="L8" s="38"/>
      <c r="M8" s="38"/>
      <c r="N8" s="34">
        <f>TODAY()-1</f>
        <v>45116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9" t="s">
        <v>23</v>
      </c>
      <c r="C9" s="36" t="s">
        <v>33</v>
      </c>
      <c r="D9" s="40">
        <v>10.0</v>
      </c>
      <c r="E9" s="38"/>
      <c r="F9" s="38" t="s">
        <v>31</v>
      </c>
      <c r="G9" s="36" t="s">
        <v>35</v>
      </c>
      <c r="H9" s="38"/>
      <c r="I9" s="38"/>
      <c r="J9" s="40">
        <v>1.0</v>
      </c>
      <c r="K9" s="38"/>
      <c r="L9" s="38"/>
      <c r="M9" s="38"/>
      <c r="N9" s="34">
        <f>TODAY()-2</f>
        <v>45115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1" t="s">
        <v>36</v>
      </c>
      <c r="C10" s="38" t="s">
        <v>30</v>
      </c>
      <c r="D10" s="40">
        <v>1100.0</v>
      </c>
      <c r="E10" s="40">
        <v>1100.0</v>
      </c>
      <c r="F10" s="41" t="s">
        <v>37</v>
      </c>
      <c r="G10" s="36" t="s">
        <v>32</v>
      </c>
      <c r="H10" s="38"/>
      <c r="I10" s="38"/>
      <c r="J10" s="40">
        <v>1.0</v>
      </c>
      <c r="K10" s="38"/>
      <c r="L10" s="38"/>
      <c r="M10" s="38"/>
      <c r="N10" s="34">
        <f>TODAY()-1</f>
        <v>45116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2" t="s">
        <v>16</v>
      </c>
      <c r="C11" s="36" t="s">
        <v>38</v>
      </c>
      <c r="D11" s="40">
        <v>10.0</v>
      </c>
      <c r="E11" s="38"/>
      <c r="F11" s="41" t="s">
        <v>37</v>
      </c>
      <c r="G11" s="36" t="s">
        <v>32</v>
      </c>
      <c r="H11" s="38"/>
      <c r="I11" s="38"/>
      <c r="J11" s="40">
        <v>1.0</v>
      </c>
      <c r="K11" s="38"/>
      <c r="L11" s="38"/>
      <c r="M11" s="38"/>
      <c r="N11" s="34">
        <f>TODAY()</f>
        <v>45117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2" t="s">
        <v>16</v>
      </c>
      <c r="C12" s="42" t="s">
        <v>38</v>
      </c>
      <c r="D12" s="40">
        <v>10.0</v>
      </c>
      <c r="E12" s="38"/>
      <c r="F12" s="41" t="s">
        <v>37</v>
      </c>
      <c r="G12" s="36" t="s">
        <v>34</v>
      </c>
      <c r="H12" s="38"/>
      <c r="I12" s="38"/>
      <c r="J12" s="40">
        <v>1.0</v>
      </c>
      <c r="K12" s="38"/>
      <c r="L12" s="38"/>
      <c r="M12" s="38"/>
      <c r="N12" s="34">
        <f>TODAY()-1</f>
        <v>45116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2" t="s">
        <v>16</v>
      </c>
      <c r="C13" s="42" t="s">
        <v>38</v>
      </c>
      <c r="D13" s="40">
        <v>10.0</v>
      </c>
      <c r="E13" s="38"/>
      <c r="F13" s="41" t="s">
        <v>37</v>
      </c>
      <c r="G13" s="36" t="s">
        <v>35</v>
      </c>
      <c r="H13" s="38"/>
      <c r="I13" s="38"/>
      <c r="J13" s="40">
        <v>1.0</v>
      </c>
      <c r="K13" s="38"/>
      <c r="L13" s="38"/>
      <c r="M13" s="38"/>
      <c r="N13" s="34">
        <f>TODAY()-2</f>
        <v>45115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1" t="s">
        <v>39</v>
      </c>
      <c r="C14" s="38" t="s">
        <v>40</v>
      </c>
      <c r="D14" s="40">
        <v>1100.0</v>
      </c>
      <c r="E14" s="40">
        <v>1100.0</v>
      </c>
      <c r="F14" s="41" t="s">
        <v>41</v>
      </c>
      <c r="G14" s="36" t="s">
        <v>32</v>
      </c>
      <c r="H14" s="38"/>
      <c r="I14" s="38"/>
      <c r="J14" s="40">
        <v>1.0</v>
      </c>
      <c r="K14" s="38"/>
      <c r="L14" s="38"/>
      <c r="M14" s="38"/>
      <c r="N14" s="34">
        <f>TODAY()-1</f>
        <v>45116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2" t="s">
        <v>18</v>
      </c>
      <c r="C15" s="36" t="s">
        <v>38</v>
      </c>
      <c r="D15" s="40">
        <v>10.0</v>
      </c>
      <c r="E15" s="38"/>
      <c r="F15" s="41" t="s">
        <v>41</v>
      </c>
      <c r="G15" s="36" t="s">
        <v>32</v>
      </c>
      <c r="H15" s="38"/>
      <c r="I15" s="38"/>
      <c r="J15" s="40">
        <v>1.0</v>
      </c>
      <c r="K15" s="38"/>
      <c r="L15" s="38"/>
      <c r="M15" s="38"/>
      <c r="N15" s="34">
        <f>TODAY()</f>
        <v>45117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2" t="s">
        <v>18</v>
      </c>
      <c r="C16" s="42" t="s">
        <v>38</v>
      </c>
      <c r="D16" s="40">
        <v>10.0</v>
      </c>
      <c r="E16" s="38"/>
      <c r="F16" s="41" t="s">
        <v>41</v>
      </c>
      <c r="G16" s="36" t="s">
        <v>34</v>
      </c>
      <c r="H16" s="38"/>
      <c r="I16" s="38"/>
      <c r="J16" s="40">
        <v>1.0</v>
      </c>
      <c r="K16" s="38"/>
      <c r="L16" s="38"/>
      <c r="M16" s="38"/>
      <c r="N16" s="34">
        <f>TODAY()-1</f>
        <v>45116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2" t="s">
        <v>18</v>
      </c>
      <c r="C17" s="42" t="s">
        <v>38</v>
      </c>
      <c r="D17" s="40">
        <v>10.0</v>
      </c>
      <c r="E17" s="38"/>
      <c r="F17" s="41" t="s">
        <v>41</v>
      </c>
      <c r="G17" s="36" t="s">
        <v>35</v>
      </c>
      <c r="H17" s="38"/>
      <c r="I17" s="38"/>
      <c r="J17" s="40">
        <v>1.0</v>
      </c>
      <c r="K17" s="38"/>
      <c r="L17" s="38"/>
      <c r="M17" s="38"/>
      <c r="N17" s="34">
        <f>TODAY()-2</f>
        <v>45115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41" t="s">
        <v>42</v>
      </c>
      <c r="C18" s="38" t="s">
        <v>40</v>
      </c>
      <c r="D18" s="40">
        <v>1100.0</v>
      </c>
      <c r="E18" s="40">
        <v>1100.0</v>
      </c>
      <c r="F18" s="41" t="s">
        <v>43</v>
      </c>
      <c r="G18" s="38"/>
      <c r="H18" s="38"/>
      <c r="I18" s="38"/>
      <c r="J18" s="40">
        <v>1.0</v>
      </c>
      <c r="K18" s="38"/>
      <c r="L18" s="38"/>
      <c r="M18" s="38"/>
      <c r="N18" s="34">
        <f>today()-1</f>
        <v>45116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3" t="s">
        <v>19</v>
      </c>
      <c r="C19" s="38" t="s">
        <v>33</v>
      </c>
      <c r="D19" s="40">
        <v>10.0</v>
      </c>
      <c r="E19" s="38"/>
      <c r="F19" s="41" t="s">
        <v>43</v>
      </c>
      <c r="G19" s="38"/>
      <c r="H19" s="38"/>
      <c r="I19" s="38"/>
      <c r="J19" s="40">
        <v>1.0</v>
      </c>
      <c r="K19" s="38"/>
      <c r="L19" s="38"/>
      <c r="M19" s="38"/>
      <c r="N19" s="34">
        <f>today()</f>
        <v>45117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32" t="s">
        <v>20</v>
      </c>
      <c r="C20" s="42" t="s">
        <v>33</v>
      </c>
      <c r="D20" s="40">
        <v>10.0</v>
      </c>
      <c r="E20" s="38"/>
      <c r="F20" s="41" t="s">
        <v>43</v>
      </c>
      <c r="G20" s="38"/>
      <c r="H20" s="38"/>
      <c r="I20" s="38"/>
      <c r="J20" s="40">
        <v>1.0</v>
      </c>
      <c r="K20" s="38"/>
      <c r="L20" s="38"/>
      <c r="M20" s="38"/>
      <c r="N20" s="34">
        <f t="shared" ref="N20:N21" si="1">today()-1</f>
        <v>45116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2" t="s">
        <v>20</v>
      </c>
      <c r="C21" s="42" t="s">
        <v>33</v>
      </c>
      <c r="D21" s="40">
        <v>10.0</v>
      </c>
      <c r="E21" s="38"/>
      <c r="F21" s="41" t="s">
        <v>43</v>
      </c>
      <c r="G21" s="38" t="s">
        <v>34</v>
      </c>
      <c r="H21" s="38"/>
      <c r="I21" s="38"/>
      <c r="J21" s="40">
        <v>1.0</v>
      </c>
      <c r="K21" s="38"/>
      <c r="L21" s="38"/>
      <c r="M21" s="38"/>
      <c r="N21" s="34">
        <f t="shared" si="1"/>
        <v>45116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3">
        <f>today()-1</f>
        <v>45116</v>
      </c>
      <c r="C6" s="43">
        <f>today()</f>
        <v>45117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29</v>
      </c>
      <c r="C6" s="40">
        <v>120.0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13" t="s">
        <v>36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42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48</v>
      </c>
      <c r="C6" s="43" t="s">
        <v>49</v>
      </c>
      <c r="D6" s="43">
        <f>TODAY()</f>
        <v>45117</v>
      </c>
      <c r="E6" s="41" t="s">
        <v>31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4" t="s">
        <v>31</v>
      </c>
      <c r="C6" s="38"/>
      <c r="D6" s="35"/>
      <c r="E6" s="36" t="s">
        <v>51</v>
      </c>
      <c r="F6" s="38"/>
      <c r="G6" s="38"/>
      <c r="H6" s="38"/>
      <c r="I6" s="40">
        <v>1.0</v>
      </c>
      <c r="J6" s="38"/>
      <c r="K6" s="38" t="s">
        <v>32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5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6" t="s">
        <v>33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5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9" t="s">
        <v>23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6" t="s">
        <v>31</v>
      </c>
      <c r="C7" s="38"/>
      <c r="D7" s="38"/>
      <c r="E7" s="36" t="s">
        <v>51</v>
      </c>
      <c r="F7" s="38"/>
      <c r="G7" s="38"/>
      <c r="H7" s="38"/>
      <c r="I7" s="40">
        <v>1.0</v>
      </c>
      <c r="J7" s="38"/>
      <c r="K7" s="38" t="s">
        <v>34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5">
        <v>10.0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42" t="s">
        <v>33</v>
      </c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5">
        <v>10.0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9" t="s">
        <v>23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6" t="s">
        <v>31</v>
      </c>
      <c r="C8" s="38"/>
      <c r="D8" s="38"/>
      <c r="E8" s="36" t="s">
        <v>51</v>
      </c>
      <c r="F8" s="38"/>
      <c r="G8" s="38"/>
      <c r="H8" s="38"/>
      <c r="I8" s="40">
        <v>1.0</v>
      </c>
      <c r="J8" s="38"/>
      <c r="K8" s="38" t="s">
        <v>35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5">
        <v>10.0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42" t="s">
        <v>33</v>
      </c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5">
        <v>10.0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9" t="s">
        <v>23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48</v>
      </c>
      <c r="C6" s="43" t="s">
        <v>49</v>
      </c>
      <c r="D6" s="43">
        <f>TODAY()</f>
        <v>45117</v>
      </c>
      <c r="E6" s="41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3.5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6" t="s">
        <v>37</v>
      </c>
      <c r="C6" s="38"/>
      <c r="D6" s="35"/>
      <c r="E6" s="36" t="s">
        <v>51</v>
      </c>
      <c r="F6" s="38"/>
      <c r="G6" s="38"/>
      <c r="H6" s="38"/>
      <c r="I6" s="40">
        <v>1.0</v>
      </c>
      <c r="J6" s="38"/>
      <c r="K6" s="38" t="s">
        <v>32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5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6" t="s">
        <v>38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5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2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6" t="s">
        <v>37</v>
      </c>
      <c r="C7" s="38"/>
      <c r="D7" s="38"/>
      <c r="E7" s="36" t="s">
        <v>51</v>
      </c>
      <c r="F7" s="38"/>
      <c r="G7" s="38"/>
      <c r="H7" s="38"/>
      <c r="I7" s="40">
        <v>1.0</v>
      </c>
      <c r="J7" s="38"/>
      <c r="K7" s="38" t="s">
        <v>34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5">
        <v>10.0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42" t="s">
        <v>38</v>
      </c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5">
        <v>10.0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2" t="s">
        <v>16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6" t="s">
        <v>37</v>
      </c>
      <c r="C8" s="38"/>
      <c r="D8" s="38"/>
      <c r="E8" s="36" t="s">
        <v>51</v>
      </c>
      <c r="F8" s="38"/>
      <c r="G8" s="38"/>
      <c r="H8" s="38"/>
      <c r="I8" s="40">
        <v>1.0</v>
      </c>
      <c r="J8" s="38"/>
      <c r="K8" s="38" t="s">
        <v>35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5">
        <v>10.0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42" t="s">
        <v>38</v>
      </c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5">
        <v>10.0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2" t="s">
        <v>16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48</v>
      </c>
      <c r="C6" s="43" t="s">
        <v>49</v>
      </c>
      <c r="D6" s="43">
        <f>TODAY()</f>
        <v>45117</v>
      </c>
      <c r="E6" s="13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6" t="s">
        <v>41</v>
      </c>
      <c r="C6" s="38"/>
      <c r="D6" s="35"/>
      <c r="E6" s="36" t="s">
        <v>51</v>
      </c>
      <c r="F6" s="38"/>
      <c r="G6" s="38"/>
      <c r="H6" s="38"/>
      <c r="I6" s="40">
        <v>1.0</v>
      </c>
      <c r="J6" s="38"/>
      <c r="K6" s="38" t="s">
        <v>32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5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6" t="s">
        <v>38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5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2" t="s">
        <v>18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6" t="s">
        <v>41</v>
      </c>
      <c r="C7" s="38"/>
      <c r="D7" s="38"/>
      <c r="E7" s="36" t="s">
        <v>51</v>
      </c>
      <c r="F7" s="38"/>
      <c r="G7" s="38"/>
      <c r="H7" s="38"/>
      <c r="I7" s="40">
        <v>1.0</v>
      </c>
      <c r="J7" s="38"/>
      <c r="K7" s="38" t="s">
        <v>34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5">
        <v>10.0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6" t="s">
        <v>38</v>
      </c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5">
        <v>10.0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2" t="s">
        <v>18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6" t="s">
        <v>41</v>
      </c>
      <c r="C8" s="38"/>
      <c r="D8" s="38"/>
      <c r="E8" s="36" t="s">
        <v>51</v>
      </c>
      <c r="F8" s="38"/>
      <c r="G8" s="38"/>
      <c r="H8" s="38"/>
      <c r="I8" s="40">
        <v>1.0</v>
      </c>
      <c r="J8" s="38"/>
      <c r="K8" s="38" t="s">
        <v>35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5">
        <v>10.0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6" t="s">
        <v>38</v>
      </c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5">
        <v>10.0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2" t="s">
        <v>18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48</v>
      </c>
      <c r="C6" s="43" t="s">
        <v>49</v>
      </c>
      <c r="D6" s="43">
        <f>TODAY()</f>
        <v>45117</v>
      </c>
      <c r="E6" s="13" t="s">
        <v>43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5.38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6" t="s">
        <v>43</v>
      </c>
      <c r="C6" s="38"/>
      <c r="D6" s="35"/>
      <c r="E6" s="36" t="s">
        <v>51</v>
      </c>
      <c r="F6" s="38"/>
      <c r="G6" s="38"/>
      <c r="H6" s="38"/>
      <c r="I6" s="40">
        <v>1.0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5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6" t="s">
        <v>33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5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3" t="s">
        <v>19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6" t="s">
        <v>43</v>
      </c>
      <c r="C7" s="38"/>
      <c r="D7" s="38"/>
      <c r="E7" s="36" t="s">
        <v>51</v>
      </c>
      <c r="F7" s="38"/>
      <c r="G7" s="38"/>
      <c r="H7" s="38"/>
      <c r="I7" s="40">
        <v>1.0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5">
        <v>10.0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6" t="s">
        <v>33</v>
      </c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5">
        <v>10.0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2" t="s">
        <v>20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6" t="s">
        <v>43</v>
      </c>
      <c r="C8" s="38"/>
      <c r="D8" s="38"/>
      <c r="E8" s="36" t="s">
        <v>51</v>
      </c>
      <c r="F8" s="38"/>
      <c r="G8" s="38"/>
      <c r="H8" s="38"/>
      <c r="I8" s="40">
        <v>1.0</v>
      </c>
      <c r="J8" s="38"/>
      <c r="K8" s="38" t="s">
        <v>34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5">
        <v>10.0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6" t="s">
        <v>33</v>
      </c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5">
        <v>10.0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2" t="s">
        <v>20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48</v>
      </c>
      <c r="C6" s="43" t="s">
        <v>49</v>
      </c>
      <c r="D6" s="43">
        <f>TODAY()</f>
        <v>45117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1" width="12.63"/>
    <col customWidth="1" min="72" max="72" width="18.25"/>
    <col customWidth="1" min="73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5"/>
      <c r="B6" s="47" t="s">
        <v>31</v>
      </c>
      <c r="C6" s="38"/>
      <c r="D6" s="35"/>
      <c r="E6" s="48">
        <v>1100.0</v>
      </c>
      <c r="F6" s="49"/>
      <c r="G6" s="38"/>
      <c r="H6" s="50">
        <v>4.0</v>
      </c>
      <c r="I6" s="50">
        <v>5.0</v>
      </c>
      <c r="J6" s="38"/>
      <c r="K6" s="50">
        <v>1.0</v>
      </c>
      <c r="L6" s="50">
        <v>1.0</v>
      </c>
      <c r="M6" s="38"/>
      <c r="N6" s="38"/>
      <c r="O6" s="47" t="s">
        <v>32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47" t="s">
        <v>56</v>
      </c>
      <c r="AA6" s="38"/>
      <c r="AB6" s="38"/>
      <c r="AC6" s="38"/>
      <c r="AD6" s="47" t="s">
        <v>57</v>
      </c>
      <c r="AE6" s="48">
        <v>1100.0</v>
      </c>
      <c r="AF6" s="49"/>
      <c r="AG6" s="38"/>
      <c r="AH6" s="47"/>
      <c r="AI6" s="50"/>
      <c r="AJ6" s="38"/>
      <c r="AK6" s="38"/>
      <c r="AL6" s="38"/>
      <c r="AM6" s="38"/>
      <c r="AN6" s="38"/>
      <c r="AO6" s="38"/>
      <c r="AP6" s="47"/>
      <c r="AQ6" s="47"/>
      <c r="AR6" s="47"/>
      <c r="AS6" s="38"/>
      <c r="AT6" s="48">
        <v>1114.0006</v>
      </c>
      <c r="AU6" s="48">
        <v>1114.0006</v>
      </c>
      <c r="AV6" s="49"/>
      <c r="AW6" s="38"/>
      <c r="AX6" s="38"/>
      <c r="AY6" s="38"/>
      <c r="AZ6" s="38"/>
      <c r="BA6" s="38"/>
      <c r="BB6" s="38"/>
      <c r="BC6" s="38"/>
      <c r="BD6" s="38"/>
      <c r="BE6" s="48">
        <v>1100.0</v>
      </c>
      <c r="BF6" s="48">
        <v>1100.0</v>
      </c>
      <c r="BG6" s="49"/>
      <c r="BH6" s="38"/>
      <c r="BI6" s="38"/>
      <c r="BJ6" s="48">
        <v>1100.0</v>
      </c>
      <c r="BK6" s="49"/>
      <c r="BL6" s="38"/>
      <c r="BM6" s="47"/>
      <c r="BN6" s="38"/>
      <c r="BO6" s="47" t="s">
        <v>30</v>
      </c>
      <c r="BP6" s="38"/>
      <c r="BQ6" s="38"/>
      <c r="BR6" s="38"/>
      <c r="BS6" s="38"/>
      <c r="BT6" s="47" t="s">
        <v>29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47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</row>
    <row r="7" ht="15.75" customHeight="1">
      <c r="A7" s="38"/>
      <c r="B7" s="47" t="s">
        <v>31</v>
      </c>
      <c r="C7" s="38"/>
      <c r="D7" s="38"/>
      <c r="E7" s="50">
        <v>10.0</v>
      </c>
      <c r="F7" s="38"/>
      <c r="G7" s="38"/>
      <c r="H7" s="50">
        <v>0.0</v>
      </c>
      <c r="I7" s="50">
        <v>0.0</v>
      </c>
      <c r="J7" s="38"/>
      <c r="K7" s="50">
        <v>1.0</v>
      </c>
      <c r="L7" s="50">
        <v>1.0</v>
      </c>
      <c r="M7" s="38"/>
      <c r="N7" s="38"/>
      <c r="O7" s="47" t="s">
        <v>32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47" t="s">
        <v>56</v>
      </c>
      <c r="AA7" s="38"/>
      <c r="AB7" s="38"/>
      <c r="AC7" s="38"/>
      <c r="AD7" s="47" t="s">
        <v>58</v>
      </c>
      <c r="AE7" s="50">
        <v>10.0</v>
      </c>
      <c r="AF7" s="38"/>
      <c r="AG7" s="38"/>
      <c r="AH7" s="47"/>
      <c r="AI7" s="50"/>
      <c r="AJ7" s="38"/>
      <c r="AK7" s="38"/>
      <c r="AL7" s="38"/>
      <c r="AM7" s="38"/>
      <c r="AN7" s="38"/>
      <c r="AO7" s="38"/>
      <c r="AP7" s="47"/>
      <c r="AQ7" s="47"/>
      <c r="AR7" s="47"/>
      <c r="AS7" s="38"/>
      <c r="AT7" s="48">
        <v>1000.0</v>
      </c>
      <c r="AU7" s="48">
        <v>1000.0</v>
      </c>
      <c r="AV7" s="49"/>
      <c r="AW7" s="38"/>
      <c r="AX7" s="38"/>
      <c r="AY7" s="38"/>
      <c r="AZ7" s="38"/>
      <c r="BA7" s="38"/>
      <c r="BB7" s="38"/>
      <c r="BC7" s="38"/>
      <c r="BD7" s="38"/>
      <c r="BE7" s="48">
        <v>1000.0</v>
      </c>
      <c r="BF7" s="48">
        <v>1000.0</v>
      </c>
      <c r="BG7" s="49"/>
      <c r="BH7" s="38"/>
      <c r="BI7" s="38"/>
      <c r="BJ7" s="50">
        <v>10.0</v>
      </c>
      <c r="BK7" s="38"/>
      <c r="BL7" s="38"/>
      <c r="BM7" s="47"/>
      <c r="BN7" s="38"/>
      <c r="BO7" s="47" t="s">
        <v>33</v>
      </c>
      <c r="BP7" s="38"/>
      <c r="BQ7" s="38"/>
      <c r="BR7" s="38"/>
      <c r="BS7" s="38"/>
      <c r="BT7" s="47" t="s">
        <v>23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47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</row>
    <row r="8" ht="15.75" customHeight="1">
      <c r="A8" s="38"/>
      <c r="B8" s="47" t="s">
        <v>31</v>
      </c>
      <c r="C8" s="38"/>
      <c r="D8" s="38"/>
      <c r="E8" s="50">
        <v>10.0</v>
      </c>
      <c r="F8" s="38"/>
      <c r="G8" s="38"/>
      <c r="H8" s="50">
        <v>0.0</v>
      </c>
      <c r="I8" s="50">
        <v>0.0</v>
      </c>
      <c r="J8" s="38"/>
      <c r="K8" s="50">
        <v>1.0</v>
      </c>
      <c r="L8" s="50">
        <v>1.0</v>
      </c>
      <c r="M8" s="38"/>
      <c r="N8" s="38"/>
      <c r="O8" s="47" t="s">
        <v>34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47" t="s">
        <v>56</v>
      </c>
      <c r="AA8" s="38"/>
      <c r="AB8" s="38"/>
      <c r="AC8" s="38"/>
      <c r="AD8" s="47" t="s">
        <v>58</v>
      </c>
      <c r="AE8" s="50">
        <v>10.0</v>
      </c>
      <c r="AF8" s="38"/>
      <c r="AG8" s="38"/>
      <c r="AH8" s="47"/>
      <c r="AI8" s="50"/>
      <c r="AJ8" s="38"/>
      <c r="AK8" s="38"/>
      <c r="AL8" s="38"/>
      <c r="AM8" s="38"/>
      <c r="AN8" s="38"/>
      <c r="AO8" s="38"/>
      <c r="AP8" s="47"/>
      <c r="AQ8" s="47"/>
      <c r="AR8" s="47"/>
      <c r="AS8" s="38"/>
      <c r="AT8" s="48">
        <v>1000.0</v>
      </c>
      <c r="AU8" s="48">
        <v>1000.0</v>
      </c>
      <c r="AV8" s="49"/>
      <c r="AW8" s="38"/>
      <c r="AX8" s="38"/>
      <c r="AY8" s="38"/>
      <c r="AZ8" s="38"/>
      <c r="BA8" s="38"/>
      <c r="BB8" s="38"/>
      <c r="BC8" s="38"/>
      <c r="BD8" s="38"/>
      <c r="BE8" s="48">
        <v>1000.0</v>
      </c>
      <c r="BF8" s="48">
        <v>1000.0</v>
      </c>
      <c r="BG8" s="49"/>
      <c r="BH8" s="38"/>
      <c r="BI8" s="38"/>
      <c r="BJ8" s="50">
        <v>10.0</v>
      </c>
      <c r="BK8" s="38"/>
      <c r="BL8" s="38"/>
      <c r="BM8" s="47"/>
      <c r="BN8" s="38"/>
      <c r="BO8" s="47" t="s">
        <v>33</v>
      </c>
      <c r="BP8" s="38"/>
      <c r="BQ8" s="38"/>
      <c r="BR8" s="38"/>
      <c r="BS8" s="38"/>
      <c r="BT8" s="47" t="s">
        <v>23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47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38"/>
      <c r="B9" s="47" t="s">
        <v>31</v>
      </c>
      <c r="C9" s="38"/>
      <c r="D9" s="38"/>
      <c r="E9" s="50">
        <v>10.0</v>
      </c>
      <c r="F9" s="38"/>
      <c r="G9" s="38"/>
      <c r="H9" s="50">
        <v>0.0</v>
      </c>
      <c r="I9" s="50">
        <v>0.0</v>
      </c>
      <c r="J9" s="38"/>
      <c r="K9" s="50">
        <v>1.0</v>
      </c>
      <c r="L9" s="50">
        <v>1.0</v>
      </c>
      <c r="M9" s="38"/>
      <c r="N9" s="38"/>
      <c r="O9" s="47" t="s">
        <v>35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47" t="s">
        <v>56</v>
      </c>
      <c r="AA9" s="38"/>
      <c r="AB9" s="38"/>
      <c r="AC9" s="38"/>
      <c r="AD9" s="47" t="s">
        <v>58</v>
      </c>
      <c r="AE9" s="50">
        <v>10.0</v>
      </c>
      <c r="AF9" s="38"/>
      <c r="AG9" s="38"/>
      <c r="AH9" s="47"/>
      <c r="AI9" s="50"/>
      <c r="AJ9" s="38"/>
      <c r="AK9" s="38"/>
      <c r="AL9" s="38"/>
      <c r="AM9" s="38"/>
      <c r="AN9" s="38"/>
      <c r="AO9" s="38"/>
      <c r="AP9" s="47"/>
      <c r="AQ9" s="47"/>
      <c r="AR9" s="47"/>
      <c r="AS9" s="38"/>
      <c r="AT9" s="48">
        <v>1000.0</v>
      </c>
      <c r="AU9" s="48">
        <v>1000.0</v>
      </c>
      <c r="AV9" s="49"/>
      <c r="AW9" s="38"/>
      <c r="AX9" s="38"/>
      <c r="AY9" s="38"/>
      <c r="AZ9" s="38"/>
      <c r="BA9" s="38"/>
      <c r="BB9" s="38"/>
      <c r="BC9" s="38"/>
      <c r="BD9" s="38"/>
      <c r="BE9" s="48">
        <v>1000.0</v>
      </c>
      <c r="BF9" s="48">
        <v>1000.0</v>
      </c>
      <c r="BG9" s="49"/>
      <c r="BH9" s="38"/>
      <c r="BI9" s="38"/>
      <c r="BJ9" s="50">
        <v>10.0</v>
      </c>
      <c r="BK9" s="38"/>
      <c r="BL9" s="38"/>
      <c r="BM9" s="47"/>
      <c r="BN9" s="38"/>
      <c r="BO9" s="47" t="s">
        <v>33</v>
      </c>
      <c r="BP9" s="38"/>
      <c r="BQ9" s="38"/>
      <c r="BR9" s="38"/>
      <c r="BS9" s="38"/>
      <c r="BT9" s="47" t="s">
        <v>23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47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</row>
    <row r="10" ht="15.75" customHeight="1">
      <c r="A10" s="38"/>
      <c r="B10" s="47" t="s">
        <v>37</v>
      </c>
      <c r="C10" s="38"/>
      <c r="D10" s="38"/>
      <c r="E10" s="48">
        <v>1100.0</v>
      </c>
      <c r="F10" s="38"/>
      <c r="G10" s="38"/>
      <c r="H10" s="50">
        <v>4.0</v>
      </c>
      <c r="I10" s="50">
        <v>5.0</v>
      </c>
      <c r="J10" s="38"/>
      <c r="K10" s="50">
        <v>1.0</v>
      </c>
      <c r="L10" s="50">
        <v>1.0</v>
      </c>
      <c r="M10" s="38"/>
      <c r="N10" s="38"/>
      <c r="O10" s="47" t="s">
        <v>32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47" t="s">
        <v>56</v>
      </c>
      <c r="AA10" s="38"/>
      <c r="AB10" s="38"/>
      <c r="AC10" s="38"/>
      <c r="AD10" s="47" t="s">
        <v>57</v>
      </c>
      <c r="AE10" s="48">
        <v>1100.0</v>
      </c>
      <c r="AF10" s="38"/>
      <c r="AG10" s="38"/>
      <c r="AH10" s="47"/>
      <c r="AI10" s="50"/>
      <c r="AJ10" s="38"/>
      <c r="AK10" s="38"/>
      <c r="AL10" s="38"/>
      <c r="AM10" s="38"/>
      <c r="AN10" s="38"/>
      <c r="AO10" s="38"/>
      <c r="AP10" s="47"/>
      <c r="AQ10" s="47"/>
      <c r="AR10" s="47"/>
      <c r="AS10" s="38"/>
      <c r="AT10" s="48">
        <v>1114.0006</v>
      </c>
      <c r="AU10" s="48">
        <v>1114.0006</v>
      </c>
      <c r="AV10" s="49"/>
      <c r="AW10" s="38"/>
      <c r="AX10" s="38"/>
      <c r="AY10" s="38"/>
      <c r="AZ10" s="38"/>
      <c r="BA10" s="38"/>
      <c r="BB10" s="38"/>
      <c r="BC10" s="38"/>
      <c r="BD10" s="38"/>
      <c r="BE10" s="48">
        <v>1100.0</v>
      </c>
      <c r="BF10" s="48">
        <v>1100.0</v>
      </c>
      <c r="BG10" s="38"/>
      <c r="BH10" s="38"/>
      <c r="BI10" s="38"/>
      <c r="BJ10" s="48">
        <v>1100.0</v>
      </c>
      <c r="BK10" s="38"/>
      <c r="BL10" s="38"/>
      <c r="BM10" s="47"/>
      <c r="BN10" s="38"/>
      <c r="BO10" s="47" t="s">
        <v>30</v>
      </c>
      <c r="BP10" s="38"/>
      <c r="BQ10" s="38"/>
      <c r="BR10" s="38"/>
      <c r="BS10" s="38"/>
      <c r="BT10" s="47" t="s">
        <v>36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47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</row>
    <row r="11" ht="15.75" customHeight="1">
      <c r="A11" s="38"/>
      <c r="B11" s="47" t="s">
        <v>37</v>
      </c>
      <c r="C11" s="38"/>
      <c r="D11" s="38"/>
      <c r="E11" s="50">
        <v>10.0</v>
      </c>
      <c r="F11" s="38"/>
      <c r="G11" s="38"/>
      <c r="H11" s="50">
        <v>0.0</v>
      </c>
      <c r="I11" s="50">
        <v>0.0</v>
      </c>
      <c r="J11" s="38"/>
      <c r="K11" s="50">
        <v>1.0</v>
      </c>
      <c r="L11" s="50">
        <v>1.0</v>
      </c>
      <c r="M11" s="38"/>
      <c r="N11" s="38"/>
      <c r="O11" s="47" t="s">
        <v>32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47" t="s">
        <v>56</v>
      </c>
      <c r="AA11" s="38"/>
      <c r="AB11" s="38"/>
      <c r="AC11" s="38"/>
      <c r="AD11" s="47" t="s">
        <v>58</v>
      </c>
      <c r="AE11" s="50">
        <v>10.0</v>
      </c>
      <c r="AF11" s="38"/>
      <c r="AG11" s="38"/>
      <c r="AH11" s="47"/>
      <c r="AI11" s="50"/>
      <c r="AJ11" s="38"/>
      <c r="AK11" s="38"/>
      <c r="AL11" s="38"/>
      <c r="AM11" s="38"/>
      <c r="AN11" s="38"/>
      <c r="AO11" s="38"/>
      <c r="AP11" s="47"/>
      <c r="AQ11" s="47"/>
      <c r="AR11" s="47"/>
      <c r="AS11" s="38"/>
      <c r="AT11" s="48">
        <v>1000.0</v>
      </c>
      <c r="AU11" s="48">
        <v>1000.0</v>
      </c>
      <c r="AV11" s="49"/>
      <c r="AW11" s="38"/>
      <c r="AX11" s="38"/>
      <c r="AY11" s="38"/>
      <c r="AZ11" s="38"/>
      <c r="BA11" s="38"/>
      <c r="BB11" s="38"/>
      <c r="BC11" s="38"/>
      <c r="BD11" s="38"/>
      <c r="BE11" s="48">
        <v>1000.0</v>
      </c>
      <c r="BF11" s="48">
        <v>1000.0</v>
      </c>
      <c r="BG11" s="38"/>
      <c r="BH11" s="38"/>
      <c r="BI11" s="38"/>
      <c r="BJ11" s="50">
        <v>10.0</v>
      </c>
      <c r="BK11" s="38"/>
      <c r="BL11" s="38"/>
      <c r="BM11" s="47"/>
      <c r="BN11" s="38"/>
      <c r="BO11" s="47" t="s">
        <v>38</v>
      </c>
      <c r="BP11" s="38"/>
      <c r="BQ11" s="38"/>
      <c r="BR11" s="38"/>
      <c r="BS11" s="38"/>
      <c r="BT11" s="47" t="s">
        <v>16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47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</row>
    <row r="12" ht="15.75" customHeight="1">
      <c r="A12" s="38"/>
      <c r="B12" s="47" t="s">
        <v>37</v>
      </c>
      <c r="C12" s="38"/>
      <c r="D12" s="38"/>
      <c r="E12" s="50">
        <v>10.0</v>
      </c>
      <c r="F12" s="38"/>
      <c r="G12" s="38"/>
      <c r="H12" s="50">
        <v>0.0</v>
      </c>
      <c r="I12" s="50">
        <v>0.0</v>
      </c>
      <c r="J12" s="38"/>
      <c r="K12" s="50">
        <v>1.0</v>
      </c>
      <c r="L12" s="50">
        <v>1.0</v>
      </c>
      <c r="M12" s="38"/>
      <c r="N12" s="38"/>
      <c r="O12" s="47" t="s">
        <v>34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47" t="s">
        <v>56</v>
      </c>
      <c r="AA12" s="38"/>
      <c r="AB12" s="38"/>
      <c r="AC12" s="38"/>
      <c r="AD12" s="47" t="s">
        <v>58</v>
      </c>
      <c r="AE12" s="50">
        <v>10.0</v>
      </c>
      <c r="AF12" s="38"/>
      <c r="AG12" s="38"/>
      <c r="AH12" s="47"/>
      <c r="AI12" s="50"/>
      <c r="AJ12" s="38"/>
      <c r="AK12" s="38"/>
      <c r="AL12" s="38"/>
      <c r="AM12" s="38"/>
      <c r="AN12" s="38"/>
      <c r="AO12" s="38"/>
      <c r="AP12" s="47"/>
      <c r="AQ12" s="47"/>
      <c r="AR12" s="47"/>
      <c r="AS12" s="38"/>
      <c r="AT12" s="48">
        <v>1000.0</v>
      </c>
      <c r="AU12" s="48">
        <v>1000.0</v>
      </c>
      <c r="AV12" s="49"/>
      <c r="AW12" s="38"/>
      <c r="AX12" s="38"/>
      <c r="AY12" s="38"/>
      <c r="AZ12" s="38"/>
      <c r="BA12" s="38"/>
      <c r="BB12" s="38"/>
      <c r="BC12" s="38"/>
      <c r="BD12" s="38"/>
      <c r="BE12" s="48">
        <v>1000.0</v>
      </c>
      <c r="BF12" s="48">
        <v>1000.0</v>
      </c>
      <c r="BG12" s="38"/>
      <c r="BH12" s="38"/>
      <c r="BI12" s="38"/>
      <c r="BJ12" s="50">
        <v>10.0</v>
      </c>
      <c r="BK12" s="38"/>
      <c r="BL12" s="38"/>
      <c r="BM12" s="47"/>
      <c r="BN12" s="38"/>
      <c r="BO12" s="47" t="s">
        <v>38</v>
      </c>
      <c r="BP12" s="38"/>
      <c r="BQ12" s="38"/>
      <c r="BR12" s="38"/>
      <c r="BS12" s="38"/>
      <c r="BT12" s="47" t="s">
        <v>16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47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</row>
    <row r="13" ht="15.75" customHeight="1">
      <c r="A13" s="38"/>
      <c r="B13" s="47" t="s">
        <v>37</v>
      </c>
      <c r="C13" s="38"/>
      <c r="D13" s="38"/>
      <c r="E13" s="48">
        <v>10.0</v>
      </c>
      <c r="F13" s="38"/>
      <c r="G13" s="38"/>
      <c r="H13" s="50">
        <v>0.0</v>
      </c>
      <c r="I13" s="50">
        <v>0.0</v>
      </c>
      <c r="J13" s="38"/>
      <c r="K13" s="50">
        <v>1.0</v>
      </c>
      <c r="L13" s="50">
        <v>1.0</v>
      </c>
      <c r="M13" s="38"/>
      <c r="N13" s="38"/>
      <c r="O13" s="47" t="s">
        <v>35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47" t="s">
        <v>56</v>
      </c>
      <c r="AA13" s="38"/>
      <c r="AB13" s="38"/>
      <c r="AC13" s="38"/>
      <c r="AD13" s="47" t="s">
        <v>58</v>
      </c>
      <c r="AE13" s="48">
        <v>10.0</v>
      </c>
      <c r="AF13" s="38"/>
      <c r="AG13" s="38"/>
      <c r="AH13" s="47"/>
      <c r="AI13" s="50"/>
      <c r="AJ13" s="38"/>
      <c r="AK13" s="38"/>
      <c r="AL13" s="38"/>
      <c r="AM13" s="38"/>
      <c r="AN13" s="38"/>
      <c r="AO13" s="38"/>
      <c r="AP13" s="47"/>
      <c r="AQ13" s="47"/>
      <c r="AR13" s="47"/>
      <c r="AS13" s="38"/>
      <c r="AT13" s="48">
        <v>1000.0</v>
      </c>
      <c r="AU13" s="48">
        <v>1000.0</v>
      </c>
      <c r="AV13" s="49"/>
      <c r="AW13" s="38"/>
      <c r="AX13" s="38"/>
      <c r="AY13" s="38"/>
      <c r="AZ13" s="38"/>
      <c r="BA13" s="38"/>
      <c r="BB13" s="38"/>
      <c r="BC13" s="38"/>
      <c r="BD13" s="38"/>
      <c r="BE13" s="48">
        <v>1000.0</v>
      </c>
      <c r="BF13" s="48">
        <v>1000.0</v>
      </c>
      <c r="BG13" s="49"/>
      <c r="BH13" s="38"/>
      <c r="BI13" s="38"/>
      <c r="BJ13" s="48">
        <v>10.0</v>
      </c>
      <c r="BK13" s="38"/>
      <c r="BL13" s="38"/>
      <c r="BM13" s="47"/>
      <c r="BN13" s="38"/>
      <c r="BO13" s="47" t="s">
        <v>38</v>
      </c>
      <c r="BP13" s="38"/>
      <c r="BQ13" s="38"/>
      <c r="BR13" s="38"/>
      <c r="BS13" s="38"/>
      <c r="BT13" s="47" t="s">
        <v>16</v>
      </c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47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</row>
    <row r="14" ht="15.75" customHeight="1">
      <c r="A14" s="38"/>
      <c r="B14" s="47" t="s">
        <v>41</v>
      </c>
      <c r="C14" s="38"/>
      <c r="D14" s="38"/>
      <c r="E14" s="48">
        <v>1100.0</v>
      </c>
      <c r="F14" s="49"/>
      <c r="G14" s="38"/>
      <c r="H14" s="50">
        <v>4.0</v>
      </c>
      <c r="I14" s="50">
        <v>5.0</v>
      </c>
      <c r="J14" s="38"/>
      <c r="K14" s="50">
        <v>1.0</v>
      </c>
      <c r="L14" s="50">
        <v>1.0</v>
      </c>
      <c r="M14" s="38"/>
      <c r="N14" s="38"/>
      <c r="O14" s="47" t="s">
        <v>32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47" t="s">
        <v>56</v>
      </c>
      <c r="AA14" s="38"/>
      <c r="AB14" s="38"/>
      <c r="AC14" s="38"/>
      <c r="AD14" s="47" t="s">
        <v>57</v>
      </c>
      <c r="AE14" s="48">
        <v>1100.0</v>
      </c>
      <c r="AF14" s="49"/>
      <c r="AG14" s="38"/>
      <c r="AH14" s="47"/>
      <c r="AI14" s="50"/>
      <c r="AJ14" s="38"/>
      <c r="AK14" s="38"/>
      <c r="AL14" s="38"/>
      <c r="AM14" s="38"/>
      <c r="AN14" s="38"/>
      <c r="AO14" s="38"/>
      <c r="AP14" s="47"/>
      <c r="AQ14" s="47"/>
      <c r="AR14" s="47"/>
      <c r="AS14" s="38"/>
      <c r="AT14" s="48">
        <v>1085.9994</v>
      </c>
      <c r="AU14" s="48">
        <v>1085.9994</v>
      </c>
      <c r="AV14" s="49"/>
      <c r="AW14" s="38"/>
      <c r="AX14" s="38"/>
      <c r="AY14" s="38"/>
      <c r="AZ14" s="38"/>
      <c r="BA14" s="38"/>
      <c r="BB14" s="38"/>
      <c r="BC14" s="38"/>
      <c r="BD14" s="38"/>
      <c r="BE14" s="48">
        <v>1100.0</v>
      </c>
      <c r="BF14" s="48">
        <v>1100.0</v>
      </c>
      <c r="BG14" s="49"/>
      <c r="BH14" s="38"/>
      <c r="BI14" s="38"/>
      <c r="BJ14" s="48">
        <v>1100.0</v>
      </c>
      <c r="BK14" s="49"/>
      <c r="BL14" s="38"/>
      <c r="BM14" s="47"/>
      <c r="BN14" s="38"/>
      <c r="BO14" s="47" t="s">
        <v>40</v>
      </c>
      <c r="BP14" s="38"/>
      <c r="BQ14" s="38"/>
      <c r="BR14" s="38"/>
      <c r="BS14" s="38"/>
      <c r="BT14" s="47" t="s">
        <v>39</v>
      </c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47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</row>
    <row r="15" ht="15.75" customHeight="1">
      <c r="A15" s="38"/>
      <c r="B15" s="47" t="s">
        <v>41</v>
      </c>
      <c r="C15" s="38"/>
      <c r="D15" s="38"/>
      <c r="E15" s="50">
        <v>10.0</v>
      </c>
      <c r="F15" s="38"/>
      <c r="G15" s="38"/>
      <c r="H15" s="50">
        <v>0.0</v>
      </c>
      <c r="I15" s="50">
        <v>0.0</v>
      </c>
      <c r="J15" s="38"/>
      <c r="K15" s="50">
        <v>1.0</v>
      </c>
      <c r="L15" s="50">
        <v>1.0</v>
      </c>
      <c r="M15" s="38"/>
      <c r="N15" s="38"/>
      <c r="O15" s="47" t="s">
        <v>32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47" t="s">
        <v>56</v>
      </c>
      <c r="AA15" s="38"/>
      <c r="AB15" s="38"/>
      <c r="AC15" s="38"/>
      <c r="AD15" s="47" t="s">
        <v>58</v>
      </c>
      <c r="AE15" s="50">
        <v>10.0</v>
      </c>
      <c r="AF15" s="38"/>
      <c r="AG15" s="38"/>
      <c r="AH15" s="47"/>
      <c r="AI15" s="50"/>
      <c r="AJ15" s="38"/>
      <c r="AK15" s="38"/>
      <c r="AL15" s="38"/>
      <c r="AM15" s="38"/>
      <c r="AN15" s="38"/>
      <c r="AO15" s="38"/>
      <c r="AP15" s="47"/>
      <c r="AQ15" s="47"/>
      <c r="AR15" s="47"/>
      <c r="AS15" s="38"/>
      <c r="AT15" s="48">
        <v>1000.0</v>
      </c>
      <c r="AU15" s="48">
        <v>1000.0</v>
      </c>
      <c r="AV15" s="49"/>
      <c r="AW15" s="38"/>
      <c r="AX15" s="38"/>
      <c r="AY15" s="38"/>
      <c r="AZ15" s="38"/>
      <c r="BA15" s="38"/>
      <c r="BB15" s="38"/>
      <c r="BC15" s="38"/>
      <c r="BD15" s="38"/>
      <c r="BE15" s="48">
        <v>1000.0</v>
      </c>
      <c r="BF15" s="48">
        <v>1000.0</v>
      </c>
      <c r="BG15" s="49"/>
      <c r="BH15" s="38"/>
      <c r="BI15" s="38"/>
      <c r="BJ15" s="50">
        <v>10.0</v>
      </c>
      <c r="BK15" s="38"/>
      <c r="BL15" s="38"/>
      <c r="BM15" s="47"/>
      <c r="BN15" s="38"/>
      <c r="BO15" s="47" t="s">
        <v>38</v>
      </c>
      <c r="BP15" s="38"/>
      <c r="BQ15" s="38"/>
      <c r="BR15" s="38"/>
      <c r="BS15" s="38"/>
      <c r="BT15" s="47" t="s">
        <v>18</v>
      </c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47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</row>
    <row r="16" ht="15.75" customHeight="1">
      <c r="A16" s="38"/>
      <c r="B16" s="47" t="s">
        <v>41</v>
      </c>
      <c r="C16" s="38"/>
      <c r="D16" s="38"/>
      <c r="E16" s="48">
        <v>10.0</v>
      </c>
      <c r="F16" s="49"/>
      <c r="G16" s="38"/>
      <c r="H16" s="50">
        <v>0.0</v>
      </c>
      <c r="I16" s="50">
        <v>0.0</v>
      </c>
      <c r="J16" s="38"/>
      <c r="K16" s="50">
        <v>1.0</v>
      </c>
      <c r="L16" s="50">
        <v>1.0</v>
      </c>
      <c r="M16" s="38"/>
      <c r="N16" s="38"/>
      <c r="O16" s="47" t="s">
        <v>34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7" t="s">
        <v>56</v>
      </c>
      <c r="AA16" s="38"/>
      <c r="AB16" s="38"/>
      <c r="AC16" s="38"/>
      <c r="AD16" s="47" t="s">
        <v>58</v>
      </c>
      <c r="AE16" s="48">
        <v>10.0</v>
      </c>
      <c r="AF16" s="49"/>
      <c r="AG16" s="38"/>
      <c r="AH16" s="47"/>
      <c r="AI16" s="50"/>
      <c r="AJ16" s="38"/>
      <c r="AK16" s="38"/>
      <c r="AL16" s="38"/>
      <c r="AM16" s="38"/>
      <c r="AN16" s="38"/>
      <c r="AO16" s="38"/>
      <c r="AP16" s="47"/>
      <c r="AQ16" s="47"/>
      <c r="AR16" s="47"/>
      <c r="AS16" s="38"/>
      <c r="AT16" s="48">
        <v>1000.0</v>
      </c>
      <c r="AU16" s="48">
        <v>1000.0</v>
      </c>
      <c r="AV16" s="49"/>
      <c r="AW16" s="38"/>
      <c r="AX16" s="38"/>
      <c r="AY16" s="38"/>
      <c r="AZ16" s="38"/>
      <c r="BA16" s="38"/>
      <c r="BB16" s="38"/>
      <c r="BC16" s="38"/>
      <c r="BD16" s="38"/>
      <c r="BE16" s="48">
        <v>1000.0</v>
      </c>
      <c r="BF16" s="48">
        <v>1000.0</v>
      </c>
      <c r="BG16" s="49"/>
      <c r="BH16" s="38"/>
      <c r="BI16" s="38"/>
      <c r="BJ16" s="48">
        <v>10.0</v>
      </c>
      <c r="BK16" s="49"/>
      <c r="BL16" s="38"/>
      <c r="BM16" s="47"/>
      <c r="BN16" s="38"/>
      <c r="BO16" s="47" t="s">
        <v>38</v>
      </c>
      <c r="BP16" s="38"/>
      <c r="BQ16" s="38"/>
      <c r="BR16" s="38"/>
      <c r="BS16" s="38"/>
      <c r="BT16" s="47" t="s">
        <v>18</v>
      </c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47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</row>
    <row r="17" ht="15.75" customHeight="1">
      <c r="A17" s="8"/>
      <c r="B17" s="47" t="s">
        <v>41</v>
      </c>
      <c r="C17" s="8"/>
      <c r="D17" s="8"/>
      <c r="E17" s="50">
        <v>10.0</v>
      </c>
      <c r="F17" s="8"/>
      <c r="G17" s="8"/>
      <c r="H17" s="50">
        <v>0.0</v>
      </c>
      <c r="I17" s="50">
        <v>0.0</v>
      </c>
      <c r="J17" s="8"/>
      <c r="K17" s="50">
        <v>1.0</v>
      </c>
      <c r="L17" s="50">
        <v>1.0</v>
      </c>
      <c r="M17" s="8"/>
      <c r="N17" s="8"/>
      <c r="O17" s="47" t="s">
        <v>35</v>
      </c>
      <c r="Z17" s="47" t="s">
        <v>56</v>
      </c>
      <c r="AD17" s="47" t="s">
        <v>58</v>
      </c>
      <c r="AE17" s="50">
        <v>10.0</v>
      </c>
      <c r="AP17" s="51"/>
      <c r="AT17" s="48">
        <v>1000.0</v>
      </c>
      <c r="AU17" s="48">
        <v>1000.0</v>
      </c>
      <c r="BE17" s="48">
        <v>1000.0</v>
      </c>
      <c r="BF17" s="48">
        <v>1000.0</v>
      </c>
      <c r="BJ17" s="50">
        <v>10.0</v>
      </c>
      <c r="BM17" s="51"/>
      <c r="BO17" s="47" t="s">
        <v>38</v>
      </c>
      <c r="BT17" s="47" t="s">
        <v>18</v>
      </c>
    </row>
    <row r="18" ht="15.75" customHeight="1">
      <c r="A18" s="8"/>
      <c r="B18" s="47" t="s">
        <v>43</v>
      </c>
      <c r="C18" s="8"/>
      <c r="D18" s="8"/>
      <c r="E18" s="48">
        <v>1100.0</v>
      </c>
      <c r="F18" s="8"/>
      <c r="G18" s="8"/>
      <c r="H18" s="50">
        <v>4.0</v>
      </c>
      <c r="I18" s="50">
        <v>5.0</v>
      </c>
      <c r="J18" s="8"/>
      <c r="K18" s="50">
        <v>1.0</v>
      </c>
      <c r="L18" s="50">
        <v>1.0</v>
      </c>
      <c r="M18" s="8"/>
      <c r="N18" s="8"/>
      <c r="O18" s="47" t="s">
        <v>32</v>
      </c>
      <c r="Z18" s="47" t="s">
        <v>56</v>
      </c>
      <c r="AD18" s="47" t="s">
        <v>57</v>
      </c>
      <c r="AE18" s="48">
        <v>1100.0</v>
      </c>
      <c r="AT18" s="48">
        <v>1085.9994</v>
      </c>
      <c r="AU18" s="48">
        <v>1085.9994</v>
      </c>
      <c r="BE18" s="48">
        <v>1100.0</v>
      </c>
      <c r="BF18" s="48">
        <v>1100.0</v>
      </c>
      <c r="BJ18" s="48">
        <v>1100.0</v>
      </c>
      <c r="BO18" s="47" t="s">
        <v>40</v>
      </c>
      <c r="BT18" s="47" t="s">
        <v>42</v>
      </c>
    </row>
    <row r="19" ht="15.75" customHeight="1">
      <c r="A19" s="8"/>
      <c r="B19" s="47" t="s">
        <v>43</v>
      </c>
      <c r="C19" s="8"/>
      <c r="D19" s="8"/>
      <c r="E19" s="50">
        <v>10.0</v>
      </c>
      <c r="F19" s="8"/>
      <c r="G19" s="8"/>
      <c r="H19" s="50">
        <v>0.0</v>
      </c>
      <c r="I19" s="50">
        <v>0.0</v>
      </c>
      <c r="J19" s="8"/>
      <c r="K19" s="50">
        <v>1.0</v>
      </c>
      <c r="L19" s="50">
        <v>1.0</v>
      </c>
      <c r="M19" s="8"/>
      <c r="N19" s="8"/>
      <c r="O19" s="47" t="s">
        <v>32</v>
      </c>
      <c r="Z19" s="47" t="s">
        <v>56</v>
      </c>
      <c r="AD19" s="47" t="s">
        <v>58</v>
      </c>
      <c r="AE19" s="50">
        <v>10.0</v>
      </c>
      <c r="AT19" s="48">
        <v>1000.0</v>
      </c>
      <c r="AU19" s="48">
        <v>1000.0</v>
      </c>
      <c r="BE19" s="48">
        <v>1000.0</v>
      </c>
      <c r="BF19" s="48">
        <v>1000.0</v>
      </c>
      <c r="BJ19" s="50">
        <v>10.0</v>
      </c>
      <c r="BO19" s="47" t="s">
        <v>33</v>
      </c>
      <c r="BT19" s="47" t="s">
        <v>19</v>
      </c>
    </row>
    <row r="20" ht="15.75" customHeight="1">
      <c r="A20" s="8"/>
      <c r="B20" s="47" t="s">
        <v>43</v>
      </c>
      <c r="C20" s="8"/>
      <c r="D20" s="8"/>
      <c r="E20" s="50">
        <v>10.0</v>
      </c>
      <c r="F20" s="8"/>
      <c r="G20" s="8"/>
      <c r="H20" s="50">
        <v>0.0</v>
      </c>
      <c r="I20" s="50">
        <v>0.0</v>
      </c>
      <c r="J20" s="8"/>
      <c r="K20" s="50">
        <v>1.0</v>
      </c>
      <c r="L20" s="50">
        <v>1.0</v>
      </c>
      <c r="M20" s="8"/>
      <c r="N20" s="8"/>
      <c r="O20" s="47" t="s">
        <v>32</v>
      </c>
      <c r="Z20" s="47" t="s">
        <v>56</v>
      </c>
      <c r="AD20" s="47" t="s">
        <v>58</v>
      </c>
      <c r="AE20" s="50">
        <v>10.0</v>
      </c>
      <c r="AT20" s="48">
        <v>1000.0</v>
      </c>
      <c r="AU20" s="48">
        <v>1000.0</v>
      </c>
      <c r="BE20" s="48">
        <v>1000.0</v>
      </c>
      <c r="BF20" s="48">
        <v>1000.0</v>
      </c>
      <c r="BJ20" s="50">
        <v>10.0</v>
      </c>
      <c r="BO20" s="47" t="s">
        <v>33</v>
      </c>
      <c r="BT20" s="47" t="s">
        <v>20</v>
      </c>
    </row>
    <row r="21" ht="15.75" customHeight="1">
      <c r="A21" s="8"/>
      <c r="B21" s="47" t="s">
        <v>43</v>
      </c>
      <c r="C21" s="8"/>
      <c r="D21" s="8"/>
      <c r="E21" s="50">
        <v>10.0</v>
      </c>
      <c r="F21" s="8"/>
      <c r="G21" s="8"/>
      <c r="H21" s="50">
        <v>0.0</v>
      </c>
      <c r="I21" s="50">
        <v>0.0</v>
      </c>
      <c r="J21" s="8"/>
      <c r="K21" s="50">
        <v>1.0</v>
      </c>
      <c r="L21" s="50">
        <v>1.0</v>
      </c>
      <c r="M21" s="8"/>
      <c r="N21" s="8"/>
      <c r="O21" s="47" t="s">
        <v>34</v>
      </c>
      <c r="Z21" s="47" t="s">
        <v>56</v>
      </c>
      <c r="AD21" s="47" t="s">
        <v>58</v>
      </c>
      <c r="AE21" s="50">
        <v>10.0</v>
      </c>
      <c r="AT21" s="48">
        <v>1000.0</v>
      </c>
      <c r="AU21" s="48">
        <v>1000.0</v>
      </c>
      <c r="BE21" s="48">
        <v>1000.0</v>
      </c>
      <c r="BF21" s="48">
        <v>1000.0</v>
      </c>
      <c r="BJ21" s="50">
        <v>10.0</v>
      </c>
      <c r="BO21" s="47" t="s">
        <v>33</v>
      </c>
      <c r="BT21" s="47" t="s">
        <v>20</v>
      </c>
    </row>
    <row r="22" ht="15.75" customHeight="1">
      <c r="A22" s="8"/>
      <c r="B22" s="47" t="s">
        <v>31</v>
      </c>
      <c r="C22" s="8"/>
      <c r="D22" s="8"/>
      <c r="E22" s="50">
        <v>10.0</v>
      </c>
      <c r="F22" s="8"/>
      <c r="G22" s="8"/>
      <c r="H22" s="50">
        <v>0.0</v>
      </c>
      <c r="I22" s="50">
        <v>0.0</v>
      </c>
      <c r="J22" s="8"/>
      <c r="K22" s="50">
        <v>0.0</v>
      </c>
      <c r="L22" s="50">
        <v>0.0</v>
      </c>
      <c r="M22" s="8"/>
      <c r="N22" s="8"/>
      <c r="O22" s="47" t="s">
        <v>32</v>
      </c>
      <c r="Z22" s="47" t="s">
        <v>56</v>
      </c>
      <c r="AD22" s="47" t="s">
        <v>58</v>
      </c>
      <c r="AE22" s="50">
        <v>10.0</v>
      </c>
      <c r="AT22" s="48">
        <v>1000.0</v>
      </c>
      <c r="AU22" s="48">
        <v>1000.0</v>
      </c>
      <c r="BE22" s="50">
        <v>0.0</v>
      </c>
      <c r="BF22" s="50">
        <v>0.0</v>
      </c>
      <c r="BJ22" s="50">
        <v>10.0</v>
      </c>
      <c r="BO22" s="47" t="s">
        <v>59</v>
      </c>
      <c r="BT22" s="47" t="s">
        <v>23</v>
      </c>
    </row>
    <row r="23" ht="15.75" customHeight="1">
      <c r="A23" s="8"/>
      <c r="B23" s="47" t="s">
        <v>31</v>
      </c>
      <c r="C23" s="8"/>
      <c r="D23" s="8"/>
      <c r="E23" s="50">
        <v>10.0</v>
      </c>
      <c r="F23" s="8"/>
      <c r="G23" s="8"/>
      <c r="H23" s="50">
        <v>0.0</v>
      </c>
      <c r="I23" s="50">
        <v>0.0</v>
      </c>
      <c r="J23" s="8"/>
      <c r="K23" s="50">
        <v>0.0</v>
      </c>
      <c r="L23" s="50">
        <v>0.0</v>
      </c>
      <c r="M23" s="8"/>
      <c r="N23" s="8"/>
      <c r="O23" s="47" t="s">
        <v>34</v>
      </c>
      <c r="Z23" s="47" t="s">
        <v>56</v>
      </c>
      <c r="AD23" s="47" t="s">
        <v>58</v>
      </c>
      <c r="AE23" s="50">
        <v>10.0</v>
      </c>
      <c r="AT23" s="48">
        <v>1000.0</v>
      </c>
      <c r="AU23" s="48">
        <v>1000.0</v>
      </c>
      <c r="BE23" s="50">
        <v>0.0</v>
      </c>
      <c r="BF23" s="50">
        <v>0.0</v>
      </c>
      <c r="BJ23" s="50">
        <v>10.0</v>
      </c>
      <c r="BO23" s="47" t="s">
        <v>59</v>
      </c>
      <c r="BT23" s="47" t="s">
        <v>23</v>
      </c>
    </row>
    <row r="24" ht="15.75" customHeight="1">
      <c r="A24" s="8"/>
      <c r="B24" s="47" t="s">
        <v>31</v>
      </c>
      <c r="C24" s="8"/>
      <c r="D24" s="8"/>
      <c r="E24" s="50">
        <v>10.0</v>
      </c>
      <c r="F24" s="8"/>
      <c r="G24" s="8"/>
      <c r="H24" s="50">
        <v>0.0</v>
      </c>
      <c r="I24" s="50">
        <v>0.0</v>
      </c>
      <c r="J24" s="8"/>
      <c r="K24" s="50">
        <v>0.0</v>
      </c>
      <c r="L24" s="50">
        <v>0.0</v>
      </c>
      <c r="M24" s="8"/>
      <c r="N24" s="8"/>
      <c r="O24" s="47" t="s">
        <v>35</v>
      </c>
      <c r="Z24" s="47" t="s">
        <v>56</v>
      </c>
      <c r="AD24" s="47" t="s">
        <v>58</v>
      </c>
      <c r="AE24" s="50">
        <v>10.0</v>
      </c>
      <c r="AT24" s="48">
        <v>1000.0</v>
      </c>
      <c r="AU24" s="48">
        <v>1000.0</v>
      </c>
      <c r="BE24" s="50">
        <v>0.0</v>
      </c>
      <c r="BF24" s="50">
        <v>0.0</v>
      </c>
      <c r="BJ24" s="50">
        <v>10.0</v>
      </c>
      <c r="BO24" s="47" t="s">
        <v>59</v>
      </c>
      <c r="BT24" s="47" t="s">
        <v>23</v>
      </c>
    </row>
    <row r="25" ht="15.75" customHeight="1">
      <c r="A25" s="8"/>
      <c r="B25" s="47" t="s">
        <v>31</v>
      </c>
      <c r="C25" s="8"/>
      <c r="D25" s="8"/>
      <c r="E25" s="48">
        <v>1000.0</v>
      </c>
      <c r="F25" s="8"/>
      <c r="G25" s="8"/>
      <c r="H25" s="50">
        <v>0.0</v>
      </c>
      <c r="I25" s="50">
        <v>0.0</v>
      </c>
      <c r="J25" s="8"/>
      <c r="K25" s="50">
        <v>60.0</v>
      </c>
      <c r="L25" s="50">
        <v>60.0</v>
      </c>
      <c r="M25" s="8"/>
      <c r="N25" s="8"/>
      <c r="O25" s="47" t="s">
        <v>35</v>
      </c>
      <c r="Z25" s="47" t="s">
        <v>56</v>
      </c>
      <c r="AD25" s="47" t="s">
        <v>57</v>
      </c>
      <c r="AE25" s="48">
        <v>1000.0</v>
      </c>
      <c r="AT25" s="48">
        <v>59000.0</v>
      </c>
      <c r="AU25" s="48">
        <v>59000.0</v>
      </c>
      <c r="BE25" s="48">
        <v>60000.0</v>
      </c>
      <c r="BF25" s="48">
        <v>60000.0</v>
      </c>
      <c r="BJ25" s="48">
        <v>1000.0</v>
      </c>
      <c r="BO25" s="47" t="s">
        <v>60</v>
      </c>
      <c r="BT25" s="47" t="s">
        <v>29</v>
      </c>
    </row>
    <row r="26" ht="15.75" customHeight="1">
      <c r="A26" s="8"/>
      <c r="B26" s="47" t="s">
        <v>31</v>
      </c>
      <c r="C26" s="8"/>
      <c r="D26" s="8"/>
      <c r="E26" s="50">
        <v>100.0</v>
      </c>
      <c r="F26" s="8"/>
      <c r="G26" s="8"/>
      <c r="H26" s="50">
        <v>0.0</v>
      </c>
      <c r="I26" s="50">
        <v>0.0</v>
      </c>
      <c r="J26" s="8"/>
      <c r="K26" s="50">
        <v>60.0</v>
      </c>
      <c r="L26" s="50">
        <v>60.0</v>
      </c>
      <c r="M26" s="8"/>
      <c r="N26" s="8"/>
      <c r="O26" s="47" t="s">
        <v>34</v>
      </c>
      <c r="Z26" s="47" t="s">
        <v>56</v>
      </c>
      <c r="AD26" s="47" t="s">
        <v>57</v>
      </c>
      <c r="AE26" s="50">
        <v>100.0</v>
      </c>
      <c r="AT26" s="48">
        <v>5900.0</v>
      </c>
      <c r="AU26" s="48">
        <v>5900.0</v>
      </c>
      <c r="BE26" s="48">
        <v>6000.0</v>
      </c>
      <c r="BF26" s="48">
        <v>6000.0</v>
      </c>
      <c r="BJ26" s="50">
        <v>100.0</v>
      </c>
      <c r="BO26" s="47" t="s">
        <v>60</v>
      </c>
      <c r="BT26" s="47" t="s">
        <v>29</v>
      </c>
    </row>
    <row r="27" ht="15.75" customHeight="1">
      <c r="B27" s="47" t="s">
        <v>31</v>
      </c>
      <c r="E27" s="50">
        <v>900.0</v>
      </c>
      <c r="H27" s="50">
        <v>0.0</v>
      </c>
      <c r="I27" s="50">
        <v>0.0</v>
      </c>
      <c r="K27" s="50">
        <v>60.0</v>
      </c>
      <c r="L27" s="50">
        <v>60.0</v>
      </c>
      <c r="O27" s="47" t="s">
        <v>34</v>
      </c>
      <c r="Z27" s="47" t="s">
        <v>56</v>
      </c>
      <c r="AD27" s="47" t="s">
        <v>57</v>
      </c>
      <c r="AE27" s="50">
        <v>900.0</v>
      </c>
      <c r="AT27" s="48">
        <v>53100.0</v>
      </c>
      <c r="AU27" s="48">
        <v>53100.0</v>
      </c>
      <c r="BE27" s="48">
        <v>54000.0</v>
      </c>
      <c r="BF27" s="48">
        <v>54000.0</v>
      </c>
      <c r="BJ27" s="50">
        <v>900.0</v>
      </c>
      <c r="BO27" s="47" t="s">
        <v>40</v>
      </c>
      <c r="BT27" s="47" t="s">
        <v>29</v>
      </c>
    </row>
    <row r="28" ht="15.75" customHeight="1">
      <c r="B28" s="47" t="s">
        <v>31</v>
      </c>
      <c r="E28" s="48">
        <v>1000.0</v>
      </c>
      <c r="H28" s="50">
        <v>0.0</v>
      </c>
      <c r="I28" s="50">
        <v>0.0</v>
      </c>
      <c r="K28" s="50">
        <v>60.0</v>
      </c>
      <c r="L28" s="50">
        <v>60.0</v>
      </c>
      <c r="O28" s="47" t="s">
        <v>32</v>
      </c>
      <c r="Z28" s="47" t="s">
        <v>56</v>
      </c>
      <c r="AD28" s="47" t="s">
        <v>57</v>
      </c>
      <c r="AE28" s="48">
        <v>1000.0</v>
      </c>
      <c r="AT28" s="48">
        <v>59000.0</v>
      </c>
      <c r="AU28" s="48">
        <v>59000.0</v>
      </c>
      <c r="BE28" s="48">
        <v>60000.0</v>
      </c>
      <c r="BF28" s="48">
        <v>60000.0</v>
      </c>
      <c r="BJ28" s="48">
        <v>1000.0</v>
      </c>
      <c r="BO28" s="47" t="s">
        <v>40</v>
      </c>
      <c r="BT28" s="47" t="s">
        <v>29</v>
      </c>
    </row>
    <row r="29" ht="15.75" customHeight="1">
      <c r="B29" s="47" t="s">
        <v>37</v>
      </c>
      <c r="E29" s="50">
        <v>10.0</v>
      </c>
      <c r="H29" s="50">
        <v>0.0</v>
      </c>
      <c r="I29" s="50">
        <v>0.0</v>
      </c>
      <c r="K29" s="50">
        <v>0.0</v>
      </c>
      <c r="L29" s="50">
        <v>0.0</v>
      </c>
      <c r="O29" s="47" t="s">
        <v>32</v>
      </c>
      <c r="Z29" s="47" t="s">
        <v>56</v>
      </c>
      <c r="AD29" s="47" t="s">
        <v>58</v>
      </c>
      <c r="AE29" s="50">
        <v>10.0</v>
      </c>
      <c r="AT29" s="48">
        <v>1000.0</v>
      </c>
      <c r="AU29" s="48">
        <v>1000.0</v>
      </c>
      <c r="BE29" s="50">
        <v>0.0</v>
      </c>
      <c r="BF29" s="50">
        <v>0.0</v>
      </c>
      <c r="BJ29" s="50">
        <v>10.0</v>
      </c>
      <c r="BO29" s="47" t="s">
        <v>61</v>
      </c>
      <c r="BT29" s="47" t="s">
        <v>16</v>
      </c>
    </row>
    <row r="30" ht="15.75" customHeight="1">
      <c r="B30" s="47" t="s">
        <v>37</v>
      </c>
      <c r="E30" s="50">
        <v>10.0</v>
      </c>
      <c r="H30" s="50">
        <v>0.0</v>
      </c>
      <c r="I30" s="50">
        <v>0.0</v>
      </c>
      <c r="K30" s="50">
        <v>0.0</v>
      </c>
      <c r="L30" s="50">
        <v>0.0</v>
      </c>
      <c r="O30" s="47" t="s">
        <v>34</v>
      </c>
      <c r="Z30" s="47" t="s">
        <v>56</v>
      </c>
      <c r="AD30" s="47" t="s">
        <v>58</v>
      </c>
      <c r="AE30" s="50">
        <v>10.0</v>
      </c>
      <c r="AT30" s="48">
        <v>1000.0</v>
      </c>
      <c r="AU30" s="48">
        <v>1000.0</v>
      </c>
      <c r="BE30" s="50">
        <v>0.0</v>
      </c>
      <c r="BF30" s="50">
        <v>0.0</v>
      </c>
      <c r="BJ30" s="50">
        <v>10.0</v>
      </c>
      <c r="BO30" s="47" t="s">
        <v>61</v>
      </c>
      <c r="BT30" s="47" t="s">
        <v>16</v>
      </c>
    </row>
    <row r="31" ht="15.75" customHeight="1">
      <c r="B31" s="47" t="s">
        <v>37</v>
      </c>
      <c r="E31" s="50">
        <v>10.0</v>
      </c>
      <c r="H31" s="50">
        <v>0.0</v>
      </c>
      <c r="I31" s="50">
        <v>0.0</v>
      </c>
      <c r="K31" s="50">
        <v>0.0</v>
      </c>
      <c r="L31" s="50">
        <v>0.0</v>
      </c>
      <c r="O31" s="47" t="s">
        <v>35</v>
      </c>
      <c r="Z31" s="47" t="s">
        <v>56</v>
      </c>
      <c r="AD31" s="47" t="s">
        <v>58</v>
      </c>
      <c r="AE31" s="50">
        <v>10.0</v>
      </c>
      <c r="AT31" s="48">
        <v>1000.0</v>
      </c>
      <c r="AU31" s="48">
        <v>1000.0</v>
      </c>
      <c r="BE31" s="50">
        <v>0.0</v>
      </c>
      <c r="BF31" s="50">
        <v>0.0</v>
      </c>
      <c r="BJ31" s="50">
        <v>10.0</v>
      </c>
      <c r="BO31" s="47" t="s">
        <v>61</v>
      </c>
      <c r="BT31" s="47" t="s">
        <v>16</v>
      </c>
    </row>
    <row r="32" ht="15.75" customHeight="1">
      <c r="B32" s="47" t="s">
        <v>37</v>
      </c>
      <c r="E32" s="48">
        <v>1000.0</v>
      </c>
      <c r="H32" s="50">
        <v>0.0</v>
      </c>
      <c r="I32" s="50">
        <v>0.0</v>
      </c>
      <c r="K32" s="50">
        <v>60.0</v>
      </c>
      <c r="L32" s="50">
        <v>60.0</v>
      </c>
      <c r="O32" s="47" t="s">
        <v>35</v>
      </c>
      <c r="Z32" s="47" t="s">
        <v>56</v>
      </c>
      <c r="AD32" s="47" t="s">
        <v>57</v>
      </c>
      <c r="AE32" s="48">
        <v>1000.0</v>
      </c>
      <c r="AT32" s="48">
        <v>59000.0</v>
      </c>
      <c r="AU32" s="48">
        <v>59000.0</v>
      </c>
      <c r="BE32" s="48">
        <v>60000.0</v>
      </c>
      <c r="BF32" s="48">
        <v>60000.0</v>
      </c>
      <c r="BJ32" s="48">
        <v>1000.0</v>
      </c>
      <c r="BO32" s="47" t="s">
        <v>30</v>
      </c>
      <c r="BT32" s="47" t="s">
        <v>36</v>
      </c>
    </row>
    <row r="33" ht="15.75" customHeight="1">
      <c r="B33" s="47" t="s">
        <v>37</v>
      </c>
      <c r="E33" s="48">
        <v>1000.0</v>
      </c>
      <c r="H33" s="50">
        <v>0.0</v>
      </c>
      <c r="I33" s="50">
        <v>0.0</v>
      </c>
      <c r="K33" s="50">
        <v>60.0</v>
      </c>
      <c r="L33" s="50">
        <v>60.0</v>
      </c>
      <c r="O33" s="47" t="s">
        <v>34</v>
      </c>
      <c r="Z33" s="47" t="s">
        <v>56</v>
      </c>
      <c r="AD33" s="47" t="s">
        <v>57</v>
      </c>
      <c r="AE33" s="48">
        <v>1000.0</v>
      </c>
      <c r="AT33" s="48">
        <v>59000.0</v>
      </c>
      <c r="AU33" s="48">
        <v>59000.0</v>
      </c>
      <c r="BE33" s="48">
        <v>60000.0</v>
      </c>
      <c r="BF33" s="48">
        <v>60000.0</v>
      </c>
      <c r="BJ33" s="48">
        <v>1000.0</v>
      </c>
      <c r="BO33" s="47" t="s">
        <v>30</v>
      </c>
      <c r="BT33" s="47" t="s">
        <v>36</v>
      </c>
    </row>
    <row r="34" ht="15.75" customHeight="1">
      <c r="B34" s="47" t="s">
        <v>37</v>
      </c>
      <c r="E34" s="48">
        <v>1000.0</v>
      </c>
      <c r="H34" s="50">
        <v>0.0</v>
      </c>
      <c r="I34" s="50">
        <v>0.0</v>
      </c>
      <c r="K34" s="50">
        <v>60.0</v>
      </c>
      <c r="L34" s="50">
        <v>60.0</v>
      </c>
      <c r="O34" s="47" t="s">
        <v>32</v>
      </c>
      <c r="Z34" s="47" t="s">
        <v>56</v>
      </c>
      <c r="AD34" s="47" t="s">
        <v>57</v>
      </c>
      <c r="AE34" s="48">
        <v>1000.0</v>
      </c>
      <c r="AT34" s="48">
        <v>59000.0</v>
      </c>
      <c r="AU34" s="48">
        <v>59000.0</v>
      </c>
      <c r="BE34" s="48">
        <v>60000.0</v>
      </c>
      <c r="BF34" s="48">
        <v>60000.0</v>
      </c>
      <c r="BJ34" s="48">
        <v>1000.0</v>
      </c>
      <c r="BO34" s="47" t="s">
        <v>30</v>
      </c>
      <c r="BT34" s="47" t="s">
        <v>36</v>
      </c>
    </row>
    <row r="35" ht="15.75" customHeight="1">
      <c r="B35" s="47" t="s">
        <v>41</v>
      </c>
      <c r="E35" s="50">
        <v>10.0</v>
      </c>
      <c r="H35" s="50">
        <v>0.0</v>
      </c>
      <c r="I35" s="50">
        <v>0.0</v>
      </c>
      <c r="K35" s="50">
        <v>0.0</v>
      </c>
      <c r="L35" s="50">
        <v>0.0</v>
      </c>
      <c r="O35" s="47" t="s">
        <v>32</v>
      </c>
      <c r="Z35" s="47" t="s">
        <v>56</v>
      </c>
      <c r="AD35" s="47" t="s">
        <v>58</v>
      </c>
      <c r="AE35" s="50">
        <v>10.0</v>
      </c>
      <c r="AT35" s="48">
        <v>1000.0</v>
      </c>
      <c r="AU35" s="48">
        <v>1000.0</v>
      </c>
      <c r="BE35" s="50">
        <v>0.0</v>
      </c>
      <c r="BF35" s="50">
        <v>0.0</v>
      </c>
      <c r="BJ35" s="50">
        <v>10.0</v>
      </c>
      <c r="BO35" s="47" t="s">
        <v>61</v>
      </c>
      <c r="BT35" s="47" t="s">
        <v>18</v>
      </c>
    </row>
    <row r="36" ht="15.75" customHeight="1">
      <c r="B36" s="47" t="s">
        <v>41</v>
      </c>
      <c r="E36" s="50">
        <v>10.0</v>
      </c>
      <c r="H36" s="50">
        <v>0.0</v>
      </c>
      <c r="I36" s="50">
        <v>0.0</v>
      </c>
      <c r="K36" s="50">
        <v>0.0</v>
      </c>
      <c r="L36" s="50">
        <v>0.0</v>
      </c>
      <c r="O36" s="47" t="s">
        <v>34</v>
      </c>
      <c r="Z36" s="47" t="s">
        <v>56</v>
      </c>
      <c r="AD36" s="47" t="s">
        <v>58</v>
      </c>
      <c r="AE36" s="50">
        <v>10.0</v>
      </c>
      <c r="AT36" s="48">
        <v>1000.0</v>
      </c>
      <c r="AU36" s="48">
        <v>1000.0</v>
      </c>
      <c r="BE36" s="50">
        <v>0.0</v>
      </c>
      <c r="BF36" s="50">
        <v>0.0</v>
      </c>
      <c r="BJ36" s="50">
        <v>10.0</v>
      </c>
      <c r="BO36" s="47" t="s">
        <v>61</v>
      </c>
      <c r="BT36" s="47" t="s">
        <v>18</v>
      </c>
    </row>
    <row r="37" ht="15.75" customHeight="1">
      <c r="B37" s="47" t="s">
        <v>41</v>
      </c>
      <c r="E37" s="50">
        <v>10.0</v>
      </c>
      <c r="H37" s="50">
        <v>0.0</v>
      </c>
      <c r="I37" s="50">
        <v>0.0</v>
      </c>
      <c r="K37" s="50">
        <v>0.0</v>
      </c>
      <c r="L37" s="50">
        <v>0.0</v>
      </c>
      <c r="O37" s="47" t="s">
        <v>35</v>
      </c>
      <c r="Z37" s="47" t="s">
        <v>56</v>
      </c>
      <c r="AD37" s="47" t="s">
        <v>58</v>
      </c>
      <c r="AE37" s="50">
        <v>10.0</v>
      </c>
      <c r="AT37" s="48">
        <v>1000.0</v>
      </c>
      <c r="AU37" s="48">
        <v>1000.0</v>
      </c>
      <c r="BE37" s="50">
        <v>0.0</v>
      </c>
      <c r="BF37" s="50">
        <v>0.0</v>
      </c>
      <c r="BJ37" s="50">
        <v>10.0</v>
      </c>
      <c r="BO37" s="47" t="s">
        <v>61</v>
      </c>
      <c r="BT37" s="47" t="s">
        <v>18</v>
      </c>
    </row>
    <row r="38" ht="15.75" customHeight="1">
      <c r="B38" s="47" t="s">
        <v>41</v>
      </c>
      <c r="E38" s="48">
        <v>1000.0</v>
      </c>
      <c r="H38" s="50">
        <v>0.0</v>
      </c>
      <c r="I38" s="50">
        <v>0.0</v>
      </c>
      <c r="K38" s="50">
        <v>60.0</v>
      </c>
      <c r="L38" s="50">
        <v>60.0</v>
      </c>
      <c r="O38" s="47" t="s">
        <v>35</v>
      </c>
      <c r="Z38" s="47" t="s">
        <v>56</v>
      </c>
      <c r="AD38" s="47" t="s">
        <v>57</v>
      </c>
      <c r="AE38" s="48">
        <v>1000.0</v>
      </c>
      <c r="AT38" s="48">
        <v>61000.0</v>
      </c>
      <c r="AU38" s="48">
        <v>61000.0</v>
      </c>
      <c r="BE38" s="48">
        <v>60000.0</v>
      </c>
      <c r="BF38" s="48">
        <v>60000.0</v>
      </c>
      <c r="BJ38" s="48">
        <v>1000.0</v>
      </c>
      <c r="BO38" s="47" t="s">
        <v>40</v>
      </c>
      <c r="BT38" s="47" t="s">
        <v>39</v>
      </c>
    </row>
    <row r="39" ht="15.75" customHeight="1">
      <c r="B39" s="47" t="s">
        <v>41</v>
      </c>
      <c r="E39" s="48">
        <v>1000.0</v>
      </c>
      <c r="H39" s="50">
        <v>0.0</v>
      </c>
      <c r="I39" s="50">
        <v>0.0</v>
      </c>
      <c r="K39" s="50">
        <v>60.0</v>
      </c>
      <c r="L39" s="50">
        <v>60.0</v>
      </c>
      <c r="O39" s="47" t="s">
        <v>34</v>
      </c>
      <c r="Z39" s="47" t="s">
        <v>56</v>
      </c>
      <c r="AD39" s="47" t="s">
        <v>57</v>
      </c>
      <c r="AE39" s="48">
        <v>1000.0</v>
      </c>
      <c r="AT39" s="48">
        <v>61000.0</v>
      </c>
      <c r="AU39" s="48">
        <v>61000.0</v>
      </c>
      <c r="BE39" s="48">
        <v>60000.0</v>
      </c>
      <c r="BF39" s="48">
        <v>60000.0</v>
      </c>
      <c r="BJ39" s="48">
        <v>1000.0</v>
      </c>
      <c r="BO39" s="47" t="s">
        <v>40</v>
      </c>
      <c r="BT39" s="47" t="s">
        <v>39</v>
      </c>
    </row>
    <row r="40" ht="15.75" customHeight="1">
      <c r="B40" s="47" t="s">
        <v>41</v>
      </c>
      <c r="E40" s="48">
        <v>1000.0</v>
      </c>
      <c r="H40" s="50">
        <v>0.0</v>
      </c>
      <c r="I40" s="50">
        <v>0.0</v>
      </c>
      <c r="K40" s="50">
        <v>60.0</v>
      </c>
      <c r="L40" s="50">
        <v>60.0</v>
      </c>
      <c r="O40" s="47" t="s">
        <v>32</v>
      </c>
      <c r="Z40" s="47" t="s">
        <v>56</v>
      </c>
      <c r="AD40" s="47" t="s">
        <v>57</v>
      </c>
      <c r="AE40" s="48">
        <v>1000.0</v>
      </c>
      <c r="AT40" s="48">
        <v>61000.0</v>
      </c>
      <c r="AU40" s="48">
        <v>61000.0</v>
      </c>
      <c r="BE40" s="48">
        <v>60000.0</v>
      </c>
      <c r="BF40" s="48">
        <v>60000.0</v>
      </c>
      <c r="BJ40" s="48">
        <v>1000.0</v>
      </c>
      <c r="BO40" s="47" t="s">
        <v>40</v>
      </c>
      <c r="BT40" s="47" t="s">
        <v>39</v>
      </c>
    </row>
    <row r="41" ht="15.75" customHeight="1">
      <c r="B41" s="47" t="s">
        <v>43</v>
      </c>
      <c r="E41" s="50">
        <v>10.0</v>
      </c>
      <c r="H41" s="50">
        <v>0.0</v>
      </c>
      <c r="I41" s="50">
        <v>0.0</v>
      </c>
      <c r="K41" s="50">
        <v>0.0</v>
      </c>
      <c r="L41" s="50">
        <v>0.0</v>
      </c>
      <c r="O41" s="47" t="s">
        <v>32</v>
      </c>
      <c r="Z41" s="47" t="s">
        <v>56</v>
      </c>
      <c r="AD41" s="47" t="s">
        <v>58</v>
      </c>
      <c r="AE41" s="50">
        <v>10.0</v>
      </c>
      <c r="AT41" s="48">
        <v>1000.0</v>
      </c>
      <c r="AU41" s="48">
        <v>1000.0</v>
      </c>
      <c r="BE41" s="50">
        <v>0.0</v>
      </c>
      <c r="BF41" s="50">
        <v>0.0</v>
      </c>
      <c r="BJ41" s="50">
        <v>10.0</v>
      </c>
      <c r="BO41" s="47" t="s">
        <v>59</v>
      </c>
      <c r="BT41" s="47" t="s">
        <v>19</v>
      </c>
    </row>
    <row r="42" ht="15.75" customHeight="1">
      <c r="B42" s="47" t="s">
        <v>43</v>
      </c>
      <c r="E42" s="50">
        <v>10.0</v>
      </c>
      <c r="H42" s="50">
        <v>0.0</v>
      </c>
      <c r="I42" s="50">
        <v>0.0</v>
      </c>
      <c r="K42" s="50">
        <v>0.0</v>
      </c>
      <c r="L42" s="50">
        <v>0.0</v>
      </c>
      <c r="O42" s="47" t="s">
        <v>32</v>
      </c>
      <c r="Z42" s="47" t="s">
        <v>56</v>
      </c>
      <c r="AD42" s="47" t="s">
        <v>58</v>
      </c>
      <c r="AE42" s="50">
        <v>10.0</v>
      </c>
      <c r="AT42" s="48">
        <v>1000.0</v>
      </c>
      <c r="AU42" s="48">
        <v>1000.0</v>
      </c>
      <c r="BE42" s="50">
        <v>0.0</v>
      </c>
      <c r="BF42" s="50">
        <v>0.0</v>
      </c>
      <c r="BJ42" s="50">
        <v>10.0</v>
      </c>
      <c r="BO42" s="47" t="s">
        <v>59</v>
      </c>
      <c r="BT42" s="47" t="s">
        <v>20</v>
      </c>
    </row>
    <row r="43" ht="15.75" customHeight="1">
      <c r="B43" s="47" t="s">
        <v>43</v>
      </c>
      <c r="E43" s="50">
        <v>10.0</v>
      </c>
      <c r="H43" s="50">
        <v>0.0</v>
      </c>
      <c r="I43" s="50">
        <v>0.0</v>
      </c>
      <c r="K43" s="50">
        <v>0.0</v>
      </c>
      <c r="L43" s="50">
        <v>0.0</v>
      </c>
      <c r="O43" s="47" t="s">
        <v>34</v>
      </c>
      <c r="Z43" s="47" t="s">
        <v>56</v>
      </c>
      <c r="AD43" s="47" t="s">
        <v>58</v>
      </c>
      <c r="AE43" s="50">
        <v>10.0</v>
      </c>
      <c r="AT43" s="48">
        <v>1000.0</v>
      </c>
      <c r="AU43" s="48">
        <v>1000.0</v>
      </c>
      <c r="BE43" s="50">
        <v>0.0</v>
      </c>
      <c r="BF43" s="50">
        <v>0.0</v>
      </c>
      <c r="BJ43" s="50">
        <v>10.0</v>
      </c>
      <c r="BO43" s="47" t="s">
        <v>59</v>
      </c>
      <c r="BT43" s="47" t="s">
        <v>20</v>
      </c>
    </row>
    <row r="44" ht="15.75" customHeight="1">
      <c r="B44" s="47" t="s">
        <v>43</v>
      </c>
      <c r="E44" s="48">
        <v>1000.0</v>
      </c>
      <c r="H44" s="50">
        <v>0.0</v>
      </c>
      <c r="I44" s="50">
        <v>0.0</v>
      </c>
      <c r="K44" s="50">
        <v>60.0</v>
      </c>
      <c r="L44" s="50">
        <v>60.0</v>
      </c>
      <c r="O44" s="47" t="s">
        <v>34</v>
      </c>
      <c r="Z44" s="47" t="s">
        <v>56</v>
      </c>
      <c r="AD44" s="47" t="s">
        <v>57</v>
      </c>
      <c r="AE44" s="48">
        <v>1000.0</v>
      </c>
      <c r="AT44" s="48">
        <v>59000.0</v>
      </c>
      <c r="AU44" s="48">
        <v>59000.0</v>
      </c>
      <c r="BE44" s="48">
        <v>60000.0</v>
      </c>
      <c r="BF44" s="48">
        <v>60000.0</v>
      </c>
      <c r="BJ44" s="48">
        <v>1000.0</v>
      </c>
      <c r="BO44" s="47" t="s">
        <v>40</v>
      </c>
      <c r="BT44" s="47" t="s">
        <v>42</v>
      </c>
    </row>
    <row r="45" ht="15.75" customHeight="1">
      <c r="B45" s="47" t="s">
        <v>43</v>
      </c>
      <c r="E45" s="48">
        <v>1000.0</v>
      </c>
      <c r="H45" s="50">
        <v>0.0</v>
      </c>
      <c r="I45" s="50">
        <v>0.0</v>
      </c>
      <c r="K45" s="50">
        <v>60.0</v>
      </c>
      <c r="L45" s="50">
        <v>60.0</v>
      </c>
      <c r="O45" s="47" t="s">
        <v>32</v>
      </c>
      <c r="Z45" s="47" t="s">
        <v>56</v>
      </c>
      <c r="AD45" s="47" t="s">
        <v>57</v>
      </c>
      <c r="AE45" s="48">
        <v>1000.0</v>
      </c>
      <c r="AT45" s="48">
        <v>59000.0</v>
      </c>
      <c r="AU45" s="48">
        <v>59000.0</v>
      </c>
      <c r="BE45" s="48">
        <v>60000.0</v>
      </c>
      <c r="BF45" s="48">
        <v>60000.0</v>
      </c>
      <c r="BJ45" s="48">
        <v>1000.0</v>
      </c>
      <c r="BO45" s="47" t="s">
        <v>40</v>
      </c>
      <c r="BT45" s="47" t="s">
        <v>42</v>
      </c>
    </row>
    <row r="46" ht="15.75" customHeight="1">
      <c r="B46" s="47" t="s">
        <v>43</v>
      </c>
      <c r="E46" s="48">
        <v>1000.0</v>
      </c>
      <c r="H46" s="50">
        <v>0.0</v>
      </c>
      <c r="I46" s="50">
        <v>0.0</v>
      </c>
      <c r="K46" s="50">
        <v>50.0</v>
      </c>
      <c r="L46" s="50">
        <v>50.0</v>
      </c>
      <c r="O46" s="47" t="s">
        <v>32</v>
      </c>
      <c r="Z46" s="47" t="s">
        <v>56</v>
      </c>
      <c r="AD46" s="47" t="s">
        <v>57</v>
      </c>
      <c r="AE46" s="48">
        <v>1000.0</v>
      </c>
      <c r="AT46" s="48">
        <v>49000.0</v>
      </c>
      <c r="AU46" s="48">
        <v>49000.0</v>
      </c>
      <c r="BE46" s="48">
        <v>50000.0</v>
      </c>
      <c r="BF46" s="48">
        <v>50000.0</v>
      </c>
      <c r="BJ46" s="48">
        <v>1000.0</v>
      </c>
      <c r="BO46" s="47" t="s">
        <v>40</v>
      </c>
      <c r="BT46" s="47" t="s">
        <v>42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8">
        <v>1114.0006</v>
      </c>
      <c r="C6" s="48">
        <v>1114.0006</v>
      </c>
      <c r="D6" s="48">
        <v>1100.0</v>
      </c>
      <c r="E6" s="48">
        <v>1100.0</v>
      </c>
      <c r="F6" s="47" t="s">
        <v>63</v>
      </c>
      <c r="G6" s="38"/>
      <c r="H6" s="38"/>
      <c r="I6" s="38"/>
      <c r="J6" s="38"/>
      <c r="K6" s="38"/>
      <c r="L6" s="38"/>
      <c r="M6" s="38"/>
      <c r="N6" s="38"/>
      <c r="O6" s="47"/>
      <c r="P6" s="47"/>
      <c r="Q6" s="50"/>
      <c r="R6" s="48">
        <v>1100.0</v>
      </c>
      <c r="S6" s="50">
        <v>0.0</v>
      </c>
      <c r="T6" s="50">
        <v>0.0</v>
      </c>
      <c r="U6" s="50">
        <v>0.0</v>
      </c>
      <c r="V6" s="50">
        <v>0.0</v>
      </c>
      <c r="W6" s="50">
        <v>6.0E-4</v>
      </c>
      <c r="X6" s="50"/>
      <c r="Y6" s="50"/>
      <c r="Z6" s="50"/>
      <c r="AA6" s="50"/>
      <c r="AB6" s="50"/>
      <c r="AC6" s="50"/>
      <c r="AD6" s="50"/>
      <c r="AE6" s="50"/>
      <c r="AF6" s="47" t="s">
        <v>64</v>
      </c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8">
        <v>1000.0</v>
      </c>
      <c r="C7" s="48">
        <v>1000.0</v>
      </c>
      <c r="D7" s="48">
        <v>1000.0</v>
      </c>
      <c r="E7" s="48">
        <v>1000.0</v>
      </c>
      <c r="F7" s="47" t="s">
        <v>63</v>
      </c>
      <c r="G7" s="38"/>
      <c r="H7" s="38"/>
      <c r="I7" s="38"/>
      <c r="J7" s="38"/>
      <c r="K7" s="38"/>
      <c r="L7" s="38"/>
      <c r="M7" s="38"/>
      <c r="N7" s="38"/>
      <c r="O7" s="47"/>
      <c r="P7" s="47"/>
      <c r="Q7" s="50"/>
      <c r="R7" s="50">
        <v>10.0</v>
      </c>
      <c r="S7" s="50">
        <v>0.0</v>
      </c>
      <c r="T7" s="50">
        <v>0.0</v>
      </c>
      <c r="U7" s="50">
        <v>0.0</v>
      </c>
      <c r="V7" s="50">
        <v>0.0</v>
      </c>
      <c r="W7" s="50">
        <v>0.0</v>
      </c>
      <c r="X7" s="50"/>
      <c r="Y7" s="50"/>
      <c r="Z7" s="50"/>
      <c r="AA7" s="50"/>
      <c r="AB7" s="50"/>
      <c r="AC7" s="50"/>
      <c r="AD7" s="50"/>
      <c r="AE7" s="50"/>
      <c r="AF7" s="47" t="s">
        <v>65</v>
      </c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8">
        <v>1000.0</v>
      </c>
      <c r="C8" s="48">
        <v>1000.0</v>
      </c>
      <c r="D8" s="48">
        <v>1000.0</v>
      </c>
      <c r="E8" s="48">
        <v>1000.0</v>
      </c>
      <c r="F8" s="47" t="s">
        <v>63</v>
      </c>
      <c r="G8" s="38"/>
      <c r="H8" s="38"/>
      <c r="I8" s="38"/>
      <c r="J8" s="38"/>
      <c r="K8" s="38"/>
      <c r="L8" s="38"/>
      <c r="M8" s="38"/>
      <c r="N8" s="38"/>
      <c r="O8" s="47"/>
      <c r="P8" s="47"/>
      <c r="Q8" s="50"/>
      <c r="R8" s="50">
        <v>10.0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0"/>
      <c r="Y8" s="50"/>
      <c r="Z8" s="50"/>
      <c r="AA8" s="50"/>
      <c r="AB8" s="50"/>
      <c r="AC8" s="50"/>
      <c r="AD8" s="50"/>
      <c r="AE8" s="50"/>
      <c r="AF8" s="47" t="s">
        <v>65</v>
      </c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8">
        <v>1000.0</v>
      </c>
      <c r="C9" s="48">
        <v>1000.0</v>
      </c>
      <c r="D9" s="48">
        <v>1000.0</v>
      </c>
      <c r="E9" s="48">
        <v>1000.0</v>
      </c>
      <c r="F9" s="47" t="s">
        <v>63</v>
      </c>
      <c r="G9" s="38"/>
      <c r="H9" s="38"/>
      <c r="I9" s="38"/>
      <c r="J9" s="38"/>
      <c r="K9" s="38"/>
      <c r="L9" s="38"/>
      <c r="M9" s="38"/>
      <c r="N9" s="38"/>
      <c r="O9" s="47"/>
      <c r="P9" s="47"/>
      <c r="Q9" s="50"/>
      <c r="R9" s="50">
        <v>10.0</v>
      </c>
      <c r="S9" s="50">
        <v>0.0</v>
      </c>
      <c r="T9" s="50">
        <v>0.0</v>
      </c>
      <c r="U9" s="50">
        <v>0.0</v>
      </c>
      <c r="V9" s="50">
        <v>0.0</v>
      </c>
      <c r="W9" s="50">
        <v>0.0</v>
      </c>
      <c r="X9" s="50"/>
      <c r="Y9" s="50"/>
      <c r="Z9" s="50"/>
      <c r="AA9" s="50"/>
      <c r="AB9" s="50"/>
      <c r="AC9" s="50"/>
      <c r="AD9" s="50"/>
      <c r="AE9" s="50"/>
      <c r="AF9" s="47" t="s">
        <v>65</v>
      </c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8">
        <v>1114.0006</v>
      </c>
      <c r="C10" s="48">
        <v>1114.0006</v>
      </c>
      <c r="D10" s="48">
        <v>1100.0</v>
      </c>
      <c r="E10" s="48">
        <v>1100.0</v>
      </c>
      <c r="F10" s="47" t="s">
        <v>63</v>
      </c>
      <c r="G10" s="38"/>
      <c r="H10" s="38"/>
      <c r="I10" s="38"/>
      <c r="J10" s="38"/>
      <c r="K10" s="38"/>
      <c r="L10" s="38"/>
      <c r="M10" s="38"/>
      <c r="N10" s="38"/>
      <c r="O10" s="47"/>
      <c r="P10" s="47"/>
      <c r="Q10" s="50"/>
      <c r="R10" s="48">
        <v>1100.0</v>
      </c>
      <c r="S10" s="50">
        <v>0.0</v>
      </c>
      <c r="T10" s="50">
        <v>0.0</v>
      </c>
      <c r="U10" s="50">
        <v>0.0</v>
      </c>
      <c r="V10" s="50">
        <v>0.0</v>
      </c>
      <c r="W10" s="50">
        <v>6.0E-4</v>
      </c>
      <c r="X10" s="50"/>
      <c r="Y10" s="50"/>
      <c r="Z10" s="50"/>
      <c r="AA10" s="50"/>
      <c r="AB10" s="50"/>
      <c r="AC10" s="50"/>
      <c r="AD10" s="50"/>
      <c r="AE10" s="50"/>
      <c r="AF10" s="47" t="s">
        <v>64</v>
      </c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8">
        <v>1000.0</v>
      </c>
      <c r="C11" s="48">
        <v>1000.0</v>
      </c>
      <c r="D11" s="48">
        <v>1000.0</v>
      </c>
      <c r="E11" s="48">
        <v>1000.0</v>
      </c>
      <c r="F11" s="47" t="s">
        <v>63</v>
      </c>
      <c r="G11" s="38"/>
      <c r="H11" s="38"/>
      <c r="I11" s="38"/>
      <c r="J11" s="38"/>
      <c r="K11" s="38"/>
      <c r="L11" s="38"/>
      <c r="M11" s="38"/>
      <c r="N11" s="38"/>
      <c r="O11" s="47"/>
      <c r="P11" s="47"/>
      <c r="Q11" s="50"/>
      <c r="R11" s="50">
        <v>10.0</v>
      </c>
      <c r="S11" s="50">
        <v>0.0</v>
      </c>
      <c r="T11" s="50">
        <v>0.0</v>
      </c>
      <c r="U11" s="50">
        <v>0.0</v>
      </c>
      <c r="V11" s="50">
        <v>0.0</v>
      </c>
      <c r="W11" s="50">
        <v>0.0</v>
      </c>
      <c r="X11" s="50"/>
      <c r="Y11" s="50"/>
      <c r="Z11" s="50"/>
      <c r="AA11" s="50"/>
      <c r="AB11" s="50"/>
      <c r="AC11" s="50"/>
      <c r="AD11" s="50"/>
      <c r="AE11" s="50"/>
      <c r="AF11" s="47" t="s">
        <v>65</v>
      </c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8">
        <v>1000.0</v>
      </c>
      <c r="C12" s="48">
        <v>1000.0</v>
      </c>
      <c r="D12" s="48">
        <v>1000.0</v>
      </c>
      <c r="E12" s="48">
        <v>1000.0</v>
      </c>
      <c r="F12" s="47" t="s">
        <v>63</v>
      </c>
      <c r="G12" s="38"/>
      <c r="H12" s="38"/>
      <c r="I12" s="38"/>
      <c r="J12" s="38"/>
      <c r="K12" s="38"/>
      <c r="L12" s="38"/>
      <c r="M12" s="38"/>
      <c r="N12" s="38"/>
      <c r="O12" s="47"/>
      <c r="P12" s="47"/>
      <c r="Q12" s="50"/>
      <c r="R12" s="50">
        <v>10.0</v>
      </c>
      <c r="S12" s="50">
        <v>0.0</v>
      </c>
      <c r="T12" s="50">
        <v>0.0</v>
      </c>
      <c r="U12" s="50">
        <v>0.0</v>
      </c>
      <c r="V12" s="50">
        <v>0.0</v>
      </c>
      <c r="W12" s="50">
        <v>0.0</v>
      </c>
      <c r="X12" s="50"/>
      <c r="Y12" s="50"/>
      <c r="Z12" s="50"/>
      <c r="AA12" s="50"/>
      <c r="AB12" s="50"/>
      <c r="AC12" s="50"/>
      <c r="AD12" s="50"/>
      <c r="AE12" s="50"/>
      <c r="AF12" s="47" t="s">
        <v>65</v>
      </c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8">
        <v>1000.0</v>
      </c>
      <c r="C13" s="48">
        <v>1000.0</v>
      </c>
      <c r="D13" s="48">
        <v>1000.0</v>
      </c>
      <c r="E13" s="48">
        <v>1000.0</v>
      </c>
      <c r="F13" s="47" t="s">
        <v>63</v>
      </c>
      <c r="G13" s="38"/>
      <c r="H13" s="38"/>
      <c r="I13" s="38"/>
      <c r="J13" s="38"/>
      <c r="K13" s="38"/>
      <c r="L13" s="38"/>
      <c r="M13" s="38"/>
      <c r="N13" s="38"/>
      <c r="O13" s="47"/>
      <c r="P13" s="47"/>
      <c r="Q13" s="50"/>
      <c r="R13" s="48">
        <v>10.0</v>
      </c>
      <c r="S13" s="50">
        <v>0.0</v>
      </c>
      <c r="T13" s="50">
        <v>0.0</v>
      </c>
      <c r="U13" s="50">
        <v>0.0</v>
      </c>
      <c r="V13" s="50">
        <v>0.0</v>
      </c>
      <c r="W13" s="50">
        <v>0.0</v>
      </c>
      <c r="X13" s="50"/>
      <c r="Y13" s="50"/>
      <c r="Z13" s="50"/>
      <c r="AA13" s="50"/>
      <c r="AB13" s="50"/>
      <c r="AC13" s="50"/>
      <c r="AD13" s="50"/>
      <c r="AE13" s="50"/>
      <c r="AF13" s="47" t="s">
        <v>65</v>
      </c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8">
        <v>1085.9994</v>
      </c>
      <c r="C14" s="48">
        <v>1085.9994</v>
      </c>
      <c r="D14" s="48">
        <v>1100.0</v>
      </c>
      <c r="E14" s="48">
        <v>1100.0</v>
      </c>
      <c r="F14" s="47" t="s">
        <v>63</v>
      </c>
      <c r="G14" s="38"/>
      <c r="H14" s="38"/>
      <c r="I14" s="38"/>
      <c r="J14" s="38"/>
      <c r="K14" s="38"/>
      <c r="L14" s="38"/>
      <c r="M14" s="38"/>
      <c r="N14" s="38"/>
      <c r="O14" s="47"/>
      <c r="P14" s="47"/>
      <c r="Q14" s="50"/>
      <c r="R14" s="48">
        <v>1100.0</v>
      </c>
      <c r="S14" s="50">
        <v>0.0</v>
      </c>
      <c r="T14" s="50">
        <v>0.0</v>
      </c>
      <c r="U14" s="50">
        <v>0.0</v>
      </c>
      <c r="V14" s="50">
        <v>0.0</v>
      </c>
      <c r="W14" s="50">
        <v>6.0E-4</v>
      </c>
      <c r="X14" s="50"/>
      <c r="Y14" s="50"/>
      <c r="Z14" s="50"/>
      <c r="AA14" s="50"/>
      <c r="AB14" s="50"/>
      <c r="AC14" s="50"/>
      <c r="AD14" s="50"/>
      <c r="AE14" s="50"/>
      <c r="AF14" s="47" t="s">
        <v>64</v>
      </c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48">
        <v>1000.0</v>
      </c>
      <c r="C15" s="48">
        <v>1000.0</v>
      </c>
      <c r="D15" s="48">
        <v>1000.0</v>
      </c>
      <c r="E15" s="48">
        <v>1000.0</v>
      </c>
      <c r="F15" s="47" t="s">
        <v>63</v>
      </c>
      <c r="G15" s="38"/>
      <c r="H15" s="38"/>
      <c r="I15" s="38"/>
      <c r="J15" s="38"/>
      <c r="K15" s="38"/>
      <c r="L15" s="38"/>
      <c r="M15" s="38"/>
      <c r="N15" s="38"/>
      <c r="O15" s="47"/>
      <c r="P15" s="47"/>
      <c r="Q15" s="50"/>
      <c r="R15" s="50">
        <v>10.0</v>
      </c>
      <c r="S15" s="50">
        <v>0.0</v>
      </c>
      <c r="T15" s="50">
        <v>0.0</v>
      </c>
      <c r="U15" s="50">
        <v>0.0</v>
      </c>
      <c r="V15" s="50">
        <v>0.0</v>
      </c>
      <c r="W15" s="50">
        <v>0.0</v>
      </c>
      <c r="X15" s="50"/>
      <c r="Y15" s="50"/>
      <c r="Z15" s="50"/>
      <c r="AA15" s="50"/>
      <c r="AB15" s="50"/>
      <c r="AC15" s="50"/>
      <c r="AD15" s="50"/>
      <c r="AE15" s="50"/>
      <c r="AF15" s="47" t="s">
        <v>65</v>
      </c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48">
        <v>1000.0</v>
      </c>
      <c r="C16" s="48">
        <v>1000.0</v>
      </c>
      <c r="D16" s="48">
        <v>1000.0</v>
      </c>
      <c r="E16" s="48">
        <v>1000.0</v>
      </c>
      <c r="F16" s="47" t="s">
        <v>63</v>
      </c>
      <c r="G16" s="38"/>
      <c r="H16" s="38"/>
      <c r="I16" s="38"/>
      <c r="J16" s="38"/>
      <c r="K16" s="38"/>
      <c r="L16" s="38"/>
      <c r="M16" s="38"/>
      <c r="N16" s="38"/>
      <c r="O16" s="47"/>
      <c r="P16" s="47"/>
      <c r="Q16" s="50"/>
      <c r="R16" s="48">
        <v>10.0</v>
      </c>
      <c r="S16" s="50">
        <v>0.0</v>
      </c>
      <c r="T16" s="50">
        <v>0.0</v>
      </c>
      <c r="U16" s="50">
        <v>0.0</v>
      </c>
      <c r="V16" s="50">
        <v>0.0</v>
      </c>
      <c r="W16" s="50">
        <v>0.0</v>
      </c>
      <c r="X16" s="50"/>
      <c r="Y16" s="50"/>
      <c r="Z16" s="50"/>
      <c r="AA16" s="50"/>
      <c r="AB16" s="50"/>
      <c r="AC16" s="50"/>
      <c r="AD16" s="50"/>
      <c r="AE16" s="50"/>
      <c r="AF16" s="47" t="s">
        <v>65</v>
      </c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8"/>
      <c r="B17" s="48">
        <v>1000.0</v>
      </c>
      <c r="C17" s="48">
        <v>1000.0</v>
      </c>
      <c r="D17" s="48">
        <v>1000.0</v>
      </c>
      <c r="E17" s="48">
        <v>1000.0</v>
      </c>
      <c r="F17" s="47" t="s">
        <v>63</v>
      </c>
      <c r="G17" s="8"/>
      <c r="H17" s="8"/>
      <c r="I17" s="8"/>
      <c r="J17" s="8"/>
      <c r="K17" s="8"/>
      <c r="L17" s="8"/>
      <c r="M17" s="8"/>
      <c r="N17" s="8"/>
      <c r="O17" s="8"/>
      <c r="R17" s="50">
        <v>10.0</v>
      </c>
      <c r="S17" s="50">
        <v>0.0</v>
      </c>
      <c r="T17" s="50">
        <v>0.0</v>
      </c>
      <c r="U17" s="50">
        <v>0.0</v>
      </c>
      <c r="V17" s="50">
        <v>0.0</v>
      </c>
      <c r="W17" s="50">
        <v>0.0</v>
      </c>
      <c r="AF17" s="47" t="s">
        <v>65</v>
      </c>
    </row>
    <row r="18" ht="15.75" customHeight="1">
      <c r="A18" s="8"/>
      <c r="B18" s="48">
        <v>1085.9994</v>
      </c>
      <c r="C18" s="48">
        <v>1085.9994</v>
      </c>
      <c r="D18" s="48">
        <v>1100.0</v>
      </c>
      <c r="E18" s="48">
        <v>1100.0</v>
      </c>
      <c r="F18" s="47" t="s">
        <v>63</v>
      </c>
      <c r="G18" s="8"/>
      <c r="H18" s="8"/>
      <c r="I18" s="8"/>
      <c r="J18" s="8"/>
      <c r="K18" s="8"/>
      <c r="L18" s="8"/>
      <c r="M18" s="8"/>
      <c r="N18" s="8"/>
      <c r="O18" s="8"/>
      <c r="R18" s="48">
        <v>1100.0</v>
      </c>
      <c r="S18" s="50">
        <v>0.0</v>
      </c>
      <c r="T18" s="50">
        <v>0.0</v>
      </c>
      <c r="U18" s="50">
        <v>0.0</v>
      </c>
      <c r="V18" s="50">
        <v>0.0</v>
      </c>
      <c r="W18" s="50">
        <v>6.0E-4</v>
      </c>
      <c r="AF18" s="47" t="s">
        <v>64</v>
      </c>
    </row>
    <row r="19" ht="15.75" customHeight="1">
      <c r="A19" s="8"/>
      <c r="B19" s="48">
        <v>1000.0</v>
      </c>
      <c r="C19" s="48">
        <v>1000.0</v>
      </c>
      <c r="D19" s="48">
        <v>1000.0</v>
      </c>
      <c r="E19" s="48">
        <v>1000.0</v>
      </c>
      <c r="F19" s="47" t="s">
        <v>63</v>
      </c>
      <c r="G19" s="8"/>
      <c r="H19" s="8"/>
      <c r="I19" s="8"/>
      <c r="J19" s="8"/>
      <c r="K19" s="8"/>
      <c r="L19" s="8"/>
      <c r="M19" s="8"/>
      <c r="N19" s="8"/>
      <c r="O19" s="8"/>
      <c r="R19" s="50">
        <v>10.0</v>
      </c>
      <c r="S19" s="50">
        <v>0.0</v>
      </c>
      <c r="T19" s="50">
        <v>0.0</v>
      </c>
      <c r="U19" s="50">
        <v>0.0</v>
      </c>
      <c r="V19" s="50">
        <v>0.0</v>
      </c>
      <c r="W19" s="50">
        <v>0.0</v>
      </c>
      <c r="AF19" s="47" t="s">
        <v>65</v>
      </c>
    </row>
    <row r="20" ht="15.75" customHeight="1">
      <c r="A20" s="8"/>
      <c r="B20" s="48">
        <v>1000.0</v>
      </c>
      <c r="C20" s="48">
        <v>1000.0</v>
      </c>
      <c r="D20" s="48">
        <v>1000.0</v>
      </c>
      <c r="E20" s="48">
        <v>1000.0</v>
      </c>
      <c r="F20" s="47" t="s">
        <v>63</v>
      </c>
      <c r="G20" s="8"/>
      <c r="H20" s="8"/>
      <c r="I20" s="8"/>
      <c r="J20" s="8"/>
      <c r="K20" s="8"/>
      <c r="L20" s="8"/>
      <c r="M20" s="8"/>
      <c r="N20" s="8"/>
      <c r="O20" s="8"/>
      <c r="R20" s="50">
        <v>10.0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AF20" s="47" t="s">
        <v>65</v>
      </c>
    </row>
    <row r="21" ht="15.75" customHeight="1">
      <c r="A21" s="8"/>
      <c r="B21" s="48">
        <v>1000.0</v>
      </c>
      <c r="C21" s="48">
        <v>1000.0</v>
      </c>
      <c r="D21" s="48">
        <v>1000.0</v>
      </c>
      <c r="E21" s="48">
        <v>1000.0</v>
      </c>
      <c r="F21" s="47" t="s">
        <v>63</v>
      </c>
      <c r="G21" s="8"/>
      <c r="H21" s="8"/>
      <c r="I21" s="8"/>
      <c r="J21" s="8"/>
      <c r="K21" s="8"/>
      <c r="L21" s="8"/>
      <c r="M21" s="8"/>
      <c r="N21" s="8"/>
      <c r="O21" s="8"/>
      <c r="R21" s="50">
        <v>10.0</v>
      </c>
      <c r="S21" s="50">
        <v>0.0</v>
      </c>
      <c r="T21" s="50">
        <v>0.0</v>
      </c>
      <c r="U21" s="50">
        <v>0.0</v>
      </c>
      <c r="V21" s="50">
        <v>0.0</v>
      </c>
      <c r="W21" s="50">
        <v>0.0</v>
      </c>
      <c r="AF21" s="47" t="s">
        <v>65</v>
      </c>
    </row>
    <row r="22" ht="15.75" customHeight="1">
      <c r="A22" s="8"/>
      <c r="B22" s="50">
        <v>0.0</v>
      </c>
      <c r="C22" s="50">
        <v>0.0</v>
      </c>
      <c r="D22" s="50">
        <v>0.0</v>
      </c>
      <c r="E22" s="50">
        <v>0.0</v>
      </c>
      <c r="F22" s="47" t="s">
        <v>63</v>
      </c>
      <c r="G22" s="8"/>
      <c r="H22" s="8"/>
      <c r="I22" s="8"/>
      <c r="J22" s="8"/>
      <c r="K22" s="8"/>
      <c r="L22" s="8"/>
      <c r="M22" s="8"/>
      <c r="N22" s="8"/>
      <c r="O22" s="8"/>
      <c r="R22" s="50">
        <v>10.0</v>
      </c>
      <c r="S22" s="50">
        <v>0.0</v>
      </c>
      <c r="T22" s="50">
        <v>0.0</v>
      </c>
      <c r="U22" s="50">
        <v>0.0</v>
      </c>
      <c r="V22" s="50">
        <v>0.0</v>
      </c>
      <c r="W22" s="50">
        <v>0.0</v>
      </c>
      <c r="AF22" s="47" t="s">
        <v>65</v>
      </c>
    </row>
    <row r="23" ht="15.75" customHeight="1">
      <c r="A23" s="8"/>
      <c r="B23" s="50">
        <v>0.0</v>
      </c>
      <c r="C23" s="50">
        <v>0.0</v>
      </c>
      <c r="D23" s="50">
        <v>0.0</v>
      </c>
      <c r="E23" s="50">
        <v>0.0</v>
      </c>
      <c r="F23" s="47" t="s">
        <v>63</v>
      </c>
      <c r="G23" s="8"/>
      <c r="H23" s="8"/>
      <c r="I23" s="8"/>
      <c r="J23" s="8"/>
      <c r="K23" s="8"/>
      <c r="L23" s="8"/>
      <c r="M23" s="8"/>
      <c r="N23" s="8"/>
      <c r="O23" s="8"/>
      <c r="R23" s="50">
        <v>10.0</v>
      </c>
      <c r="S23" s="50">
        <v>0.0</v>
      </c>
      <c r="T23" s="50">
        <v>0.0</v>
      </c>
      <c r="U23" s="50">
        <v>0.0</v>
      </c>
      <c r="V23" s="50">
        <v>0.0</v>
      </c>
      <c r="W23" s="50">
        <v>0.0</v>
      </c>
      <c r="AF23" s="47" t="s">
        <v>65</v>
      </c>
    </row>
    <row r="24" ht="15.75" customHeight="1">
      <c r="A24" s="8"/>
      <c r="B24" s="50">
        <v>0.0</v>
      </c>
      <c r="C24" s="50">
        <v>0.0</v>
      </c>
      <c r="D24" s="50">
        <v>0.0</v>
      </c>
      <c r="E24" s="50">
        <v>0.0</v>
      </c>
      <c r="F24" s="47" t="s">
        <v>63</v>
      </c>
      <c r="G24" s="8"/>
      <c r="H24" s="8"/>
      <c r="I24" s="8"/>
      <c r="J24" s="8"/>
      <c r="K24" s="8"/>
      <c r="L24" s="8"/>
      <c r="M24" s="8"/>
      <c r="N24" s="8"/>
      <c r="O24" s="8"/>
      <c r="R24" s="50">
        <v>10.0</v>
      </c>
      <c r="S24" s="50">
        <v>0.0</v>
      </c>
      <c r="T24" s="50">
        <v>0.0</v>
      </c>
      <c r="U24" s="50">
        <v>0.0</v>
      </c>
      <c r="V24" s="50">
        <v>0.0</v>
      </c>
      <c r="W24" s="50">
        <v>0.0</v>
      </c>
      <c r="AF24" s="47" t="s">
        <v>65</v>
      </c>
    </row>
    <row r="25" ht="15.75" customHeight="1">
      <c r="A25" s="8"/>
      <c r="B25" s="48">
        <v>60000.0</v>
      </c>
      <c r="C25" s="48">
        <v>60000.0</v>
      </c>
      <c r="D25" s="48">
        <v>60000.0</v>
      </c>
      <c r="E25" s="48">
        <v>60000.0</v>
      </c>
      <c r="F25" s="47" t="s">
        <v>66</v>
      </c>
      <c r="G25" s="8"/>
      <c r="H25" s="8"/>
      <c r="I25" s="8"/>
      <c r="J25" s="8"/>
      <c r="K25" s="8"/>
      <c r="L25" s="8"/>
      <c r="M25" s="8"/>
      <c r="N25" s="8"/>
      <c r="O25" s="8"/>
      <c r="R25" s="48">
        <v>1000.0</v>
      </c>
      <c r="S25" s="50">
        <v>0.0</v>
      </c>
      <c r="T25" s="50">
        <v>0.0</v>
      </c>
      <c r="U25" s="50">
        <v>0.0</v>
      </c>
      <c r="V25" s="50">
        <v>0.0</v>
      </c>
      <c r="W25" s="50">
        <v>0.0</v>
      </c>
      <c r="AF25" s="47" t="s">
        <v>64</v>
      </c>
    </row>
    <row r="26" ht="15.75" customHeight="1">
      <c r="A26" s="8"/>
      <c r="B26" s="48">
        <v>6000.0</v>
      </c>
      <c r="C26" s="48">
        <v>6000.0</v>
      </c>
      <c r="D26" s="48">
        <v>6000.0</v>
      </c>
      <c r="E26" s="48">
        <v>6000.0</v>
      </c>
      <c r="F26" s="47" t="s">
        <v>66</v>
      </c>
      <c r="G26" s="8"/>
      <c r="H26" s="8"/>
      <c r="I26" s="8"/>
      <c r="J26" s="8"/>
      <c r="K26" s="8"/>
      <c r="L26" s="8"/>
      <c r="M26" s="8"/>
      <c r="N26" s="8"/>
      <c r="O26" s="8"/>
      <c r="R26" s="50">
        <v>100.0</v>
      </c>
      <c r="S26" s="50">
        <v>0.0</v>
      </c>
      <c r="T26" s="50">
        <v>0.0</v>
      </c>
      <c r="U26" s="50">
        <v>0.0</v>
      </c>
      <c r="V26" s="50">
        <v>0.0</v>
      </c>
      <c r="W26" s="50">
        <v>0.0</v>
      </c>
      <c r="AF26" s="47" t="s">
        <v>64</v>
      </c>
    </row>
    <row r="27" ht="15.75" customHeight="1">
      <c r="B27" s="48">
        <v>54000.0</v>
      </c>
      <c r="C27" s="48">
        <v>54000.0</v>
      </c>
      <c r="D27" s="48">
        <v>54000.0</v>
      </c>
      <c r="E27" s="48">
        <v>54000.0</v>
      </c>
      <c r="F27" s="47" t="s">
        <v>63</v>
      </c>
      <c r="R27" s="50">
        <v>900.0</v>
      </c>
      <c r="S27" s="50">
        <v>0.0</v>
      </c>
      <c r="T27" s="50">
        <v>0.0</v>
      </c>
      <c r="U27" s="50">
        <v>0.0</v>
      </c>
      <c r="V27" s="50">
        <v>0.0</v>
      </c>
      <c r="W27" s="50">
        <v>0.0</v>
      </c>
      <c r="AF27" s="47" t="s">
        <v>64</v>
      </c>
    </row>
    <row r="28" ht="15.75" customHeight="1">
      <c r="B28" s="48">
        <v>60000.0</v>
      </c>
      <c r="C28" s="48">
        <v>60000.0</v>
      </c>
      <c r="D28" s="48">
        <v>60000.0</v>
      </c>
      <c r="E28" s="48">
        <v>60000.0</v>
      </c>
      <c r="F28" s="47" t="s">
        <v>66</v>
      </c>
      <c r="R28" s="48">
        <v>1000.0</v>
      </c>
      <c r="S28" s="50">
        <v>0.0</v>
      </c>
      <c r="T28" s="50">
        <v>0.0</v>
      </c>
      <c r="U28" s="50">
        <v>0.0</v>
      </c>
      <c r="V28" s="50">
        <v>0.0</v>
      </c>
      <c r="W28" s="50">
        <v>0.0</v>
      </c>
      <c r="AF28" s="47" t="s">
        <v>64</v>
      </c>
    </row>
    <row r="29" ht="15.75" customHeight="1">
      <c r="B29" s="50">
        <v>0.0</v>
      </c>
      <c r="C29" s="50">
        <v>0.0</v>
      </c>
      <c r="D29" s="50">
        <v>0.0</v>
      </c>
      <c r="E29" s="50">
        <v>0.0</v>
      </c>
      <c r="F29" s="47" t="s">
        <v>63</v>
      </c>
      <c r="R29" s="50">
        <v>10.0</v>
      </c>
      <c r="S29" s="50">
        <v>0.0</v>
      </c>
      <c r="T29" s="50">
        <v>0.0</v>
      </c>
      <c r="U29" s="50">
        <v>0.0</v>
      </c>
      <c r="V29" s="50">
        <v>0.0</v>
      </c>
      <c r="W29" s="50">
        <v>0.0</v>
      </c>
      <c r="AF29" s="47" t="s">
        <v>65</v>
      </c>
    </row>
    <row r="30" ht="15.75" customHeight="1">
      <c r="B30" s="50">
        <v>0.0</v>
      </c>
      <c r="C30" s="50">
        <v>0.0</v>
      </c>
      <c r="D30" s="50">
        <v>0.0</v>
      </c>
      <c r="E30" s="50">
        <v>0.0</v>
      </c>
      <c r="F30" s="47" t="s">
        <v>63</v>
      </c>
      <c r="R30" s="50">
        <v>10.0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AF30" s="47" t="s">
        <v>65</v>
      </c>
    </row>
    <row r="31" ht="15.75" customHeight="1">
      <c r="B31" s="50">
        <v>0.0</v>
      </c>
      <c r="C31" s="50">
        <v>0.0</v>
      </c>
      <c r="D31" s="50">
        <v>0.0</v>
      </c>
      <c r="E31" s="50">
        <v>0.0</v>
      </c>
      <c r="F31" s="47" t="s">
        <v>63</v>
      </c>
      <c r="R31" s="50">
        <v>10.0</v>
      </c>
      <c r="S31" s="50">
        <v>0.0</v>
      </c>
      <c r="T31" s="50">
        <v>0.0</v>
      </c>
      <c r="U31" s="50">
        <v>0.0</v>
      </c>
      <c r="V31" s="50">
        <v>0.0</v>
      </c>
      <c r="W31" s="50">
        <v>0.0</v>
      </c>
      <c r="AF31" s="47" t="s">
        <v>65</v>
      </c>
    </row>
    <row r="32" ht="15.75" customHeight="1">
      <c r="B32" s="48">
        <v>60000.0</v>
      </c>
      <c r="C32" s="48">
        <v>60000.0</v>
      </c>
      <c r="D32" s="48">
        <v>60000.0</v>
      </c>
      <c r="E32" s="48">
        <v>60000.0</v>
      </c>
      <c r="F32" s="47" t="s">
        <v>66</v>
      </c>
      <c r="R32" s="48">
        <v>1000.0</v>
      </c>
      <c r="S32" s="50">
        <v>0.0</v>
      </c>
      <c r="T32" s="50">
        <v>0.0</v>
      </c>
      <c r="U32" s="50">
        <v>0.0</v>
      </c>
      <c r="V32" s="50">
        <v>0.0</v>
      </c>
      <c r="W32" s="50">
        <v>0.0</v>
      </c>
      <c r="AF32" s="47" t="s">
        <v>64</v>
      </c>
    </row>
    <row r="33" ht="15.75" customHeight="1">
      <c r="B33" s="48">
        <v>60000.0</v>
      </c>
      <c r="C33" s="48">
        <v>60000.0</v>
      </c>
      <c r="D33" s="48">
        <v>60000.0</v>
      </c>
      <c r="E33" s="48">
        <v>60000.0</v>
      </c>
      <c r="F33" s="47" t="s">
        <v>66</v>
      </c>
      <c r="R33" s="48">
        <v>1000.0</v>
      </c>
      <c r="S33" s="50">
        <v>0.0</v>
      </c>
      <c r="T33" s="50">
        <v>0.0</v>
      </c>
      <c r="U33" s="50">
        <v>0.0</v>
      </c>
      <c r="V33" s="50">
        <v>0.0</v>
      </c>
      <c r="W33" s="50">
        <v>0.0</v>
      </c>
      <c r="AF33" s="47" t="s">
        <v>64</v>
      </c>
    </row>
    <row r="34" ht="15.75" customHeight="1">
      <c r="B34" s="48">
        <v>60000.0</v>
      </c>
      <c r="C34" s="48">
        <v>60000.0</v>
      </c>
      <c r="D34" s="48">
        <v>60000.0</v>
      </c>
      <c r="E34" s="48">
        <v>60000.0</v>
      </c>
      <c r="F34" s="47" t="s">
        <v>66</v>
      </c>
      <c r="R34" s="48">
        <v>1000.0</v>
      </c>
      <c r="S34" s="50">
        <v>0.0</v>
      </c>
      <c r="T34" s="50">
        <v>0.0</v>
      </c>
      <c r="U34" s="50">
        <v>0.0</v>
      </c>
      <c r="V34" s="50">
        <v>0.0</v>
      </c>
      <c r="W34" s="50">
        <v>0.0</v>
      </c>
      <c r="AF34" s="47" t="s">
        <v>64</v>
      </c>
    </row>
    <row r="35" ht="15.75" customHeight="1">
      <c r="B35" s="50">
        <v>0.0</v>
      </c>
      <c r="C35" s="50">
        <v>0.0</v>
      </c>
      <c r="D35" s="50">
        <v>0.0</v>
      </c>
      <c r="E35" s="50">
        <v>0.0</v>
      </c>
      <c r="F35" s="47" t="s">
        <v>63</v>
      </c>
      <c r="R35" s="50">
        <v>10.0</v>
      </c>
      <c r="S35" s="50">
        <v>0.0</v>
      </c>
      <c r="T35" s="50">
        <v>0.0</v>
      </c>
      <c r="U35" s="50">
        <v>0.0</v>
      </c>
      <c r="V35" s="50">
        <v>0.0</v>
      </c>
      <c r="W35" s="50">
        <v>0.0</v>
      </c>
      <c r="AF35" s="47" t="s">
        <v>65</v>
      </c>
    </row>
    <row r="36" ht="15.75" customHeight="1">
      <c r="B36" s="50">
        <v>0.0</v>
      </c>
      <c r="C36" s="50">
        <v>0.0</v>
      </c>
      <c r="D36" s="50">
        <v>0.0</v>
      </c>
      <c r="E36" s="50">
        <v>0.0</v>
      </c>
      <c r="F36" s="47" t="s">
        <v>63</v>
      </c>
      <c r="R36" s="50">
        <v>10.0</v>
      </c>
      <c r="S36" s="50">
        <v>0.0</v>
      </c>
      <c r="T36" s="50">
        <v>0.0</v>
      </c>
      <c r="U36" s="50">
        <v>0.0</v>
      </c>
      <c r="V36" s="50">
        <v>0.0</v>
      </c>
      <c r="W36" s="50">
        <v>0.0</v>
      </c>
      <c r="AF36" s="47" t="s">
        <v>65</v>
      </c>
    </row>
    <row r="37" ht="15.75" customHeight="1">
      <c r="B37" s="50">
        <v>0.0</v>
      </c>
      <c r="C37" s="50">
        <v>0.0</v>
      </c>
      <c r="D37" s="50">
        <v>0.0</v>
      </c>
      <c r="E37" s="50">
        <v>0.0</v>
      </c>
      <c r="F37" s="47" t="s">
        <v>63</v>
      </c>
      <c r="R37" s="50">
        <v>10.0</v>
      </c>
      <c r="S37" s="50">
        <v>0.0</v>
      </c>
      <c r="T37" s="50">
        <v>0.0</v>
      </c>
      <c r="U37" s="50">
        <v>0.0</v>
      </c>
      <c r="V37" s="50">
        <v>0.0</v>
      </c>
      <c r="W37" s="50">
        <v>0.0</v>
      </c>
      <c r="AF37" s="47" t="s">
        <v>65</v>
      </c>
    </row>
    <row r="38" ht="15.75" customHeight="1">
      <c r="B38" s="48">
        <v>60000.0</v>
      </c>
      <c r="C38" s="48">
        <v>60000.0</v>
      </c>
      <c r="D38" s="48">
        <v>60000.0</v>
      </c>
      <c r="E38" s="48">
        <v>60000.0</v>
      </c>
      <c r="F38" s="47" t="s">
        <v>66</v>
      </c>
      <c r="R38" s="48">
        <v>1000.0</v>
      </c>
      <c r="S38" s="50">
        <v>0.0</v>
      </c>
      <c r="T38" s="50">
        <v>0.0</v>
      </c>
      <c r="U38" s="50">
        <v>0.0</v>
      </c>
      <c r="V38" s="50">
        <v>0.0</v>
      </c>
      <c r="W38" s="50">
        <v>0.0</v>
      </c>
      <c r="AF38" s="47" t="s">
        <v>64</v>
      </c>
    </row>
    <row r="39" ht="15.75" customHeight="1">
      <c r="B39" s="48">
        <v>60000.0</v>
      </c>
      <c r="C39" s="48">
        <v>60000.0</v>
      </c>
      <c r="D39" s="48">
        <v>60000.0</v>
      </c>
      <c r="E39" s="48">
        <v>60000.0</v>
      </c>
      <c r="F39" s="47" t="s">
        <v>66</v>
      </c>
      <c r="R39" s="48">
        <v>1000.0</v>
      </c>
      <c r="S39" s="50">
        <v>0.0</v>
      </c>
      <c r="T39" s="50">
        <v>0.0</v>
      </c>
      <c r="U39" s="50">
        <v>0.0</v>
      </c>
      <c r="V39" s="50">
        <v>0.0</v>
      </c>
      <c r="W39" s="50">
        <v>0.0</v>
      </c>
      <c r="AF39" s="47" t="s">
        <v>64</v>
      </c>
    </row>
    <row r="40" ht="15.75" customHeight="1">
      <c r="B40" s="48">
        <v>60000.0</v>
      </c>
      <c r="C40" s="48">
        <v>60000.0</v>
      </c>
      <c r="D40" s="48">
        <v>60000.0</v>
      </c>
      <c r="E40" s="48">
        <v>60000.0</v>
      </c>
      <c r="F40" s="47" t="s">
        <v>66</v>
      </c>
      <c r="R40" s="48">
        <v>1000.0</v>
      </c>
      <c r="S40" s="50">
        <v>0.0</v>
      </c>
      <c r="T40" s="50">
        <v>0.0</v>
      </c>
      <c r="U40" s="50">
        <v>0.0</v>
      </c>
      <c r="V40" s="50">
        <v>0.0</v>
      </c>
      <c r="W40" s="50">
        <v>0.0</v>
      </c>
      <c r="AF40" s="47" t="s">
        <v>64</v>
      </c>
    </row>
    <row r="41" ht="15.75" customHeight="1">
      <c r="B41" s="50">
        <v>0.0</v>
      </c>
      <c r="C41" s="50">
        <v>0.0</v>
      </c>
      <c r="D41" s="50">
        <v>0.0</v>
      </c>
      <c r="E41" s="50">
        <v>0.0</v>
      </c>
      <c r="F41" s="47" t="s">
        <v>63</v>
      </c>
      <c r="R41" s="50">
        <v>10.0</v>
      </c>
      <c r="S41" s="50">
        <v>0.0</v>
      </c>
      <c r="T41" s="50">
        <v>0.0</v>
      </c>
      <c r="U41" s="50">
        <v>0.0</v>
      </c>
      <c r="V41" s="50">
        <v>0.0</v>
      </c>
      <c r="W41" s="50">
        <v>0.0</v>
      </c>
      <c r="AF41" s="47" t="s">
        <v>65</v>
      </c>
    </row>
    <row r="42" ht="15.75" customHeight="1">
      <c r="B42" s="50">
        <v>0.0</v>
      </c>
      <c r="C42" s="50">
        <v>0.0</v>
      </c>
      <c r="D42" s="50">
        <v>0.0</v>
      </c>
      <c r="E42" s="50">
        <v>0.0</v>
      </c>
      <c r="F42" s="47" t="s">
        <v>63</v>
      </c>
      <c r="R42" s="50">
        <v>10.0</v>
      </c>
      <c r="S42" s="50">
        <v>0.0</v>
      </c>
      <c r="T42" s="50">
        <v>0.0</v>
      </c>
      <c r="U42" s="50">
        <v>0.0</v>
      </c>
      <c r="V42" s="50">
        <v>0.0</v>
      </c>
      <c r="W42" s="50">
        <v>0.0</v>
      </c>
      <c r="AF42" s="47" t="s">
        <v>65</v>
      </c>
    </row>
    <row r="43" ht="15.75" customHeight="1">
      <c r="B43" s="50">
        <v>0.0</v>
      </c>
      <c r="C43" s="50">
        <v>0.0</v>
      </c>
      <c r="D43" s="50">
        <v>0.0</v>
      </c>
      <c r="E43" s="50">
        <v>0.0</v>
      </c>
      <c r="F43" s="47" t="s">
        <v>63</v>
      </c>
      <c r="R43" s="50">
        <v>10.0</v>
      </c>
      <c r="S43" s="50">
        <v>0.0</v>
      </c>
      <c r="T43" s="50">
        <v>0.0</v>
      </c>
      <c r="U43" s="50">
        <v>0.0</v>
      </c>
      <c r="V43" s="50">
        <v>0.0</v>
      </c>
      <c r="W43" s="50">
        <v>0.0</v>
      </c>
      <c r="AF43" s="47" t="s">
        <v>65</v>
      </c>
    </row>
    <row r="44" ht="15.75" customHeight="1">
      <c r="B44" s="48">
        <v>60000.0</v>
      </c>
      <c r="C44" s="48">
        <v>60000.0</v>
      </c>
      <c r="D44" s="48">
        <v>60000.0</v>
      </c>
      <c r="E44" s="48">
        <v>60000.0</v>
      </c>
      <c r="F44" s="47" t="s">
        <v>66</v>
      </c>
      <c r="R44" s="48">
        <v>1000.0</v>
      </c>
      <c r="S44" s="50">
        <v>0.0</v>
      </c>
      <c r="T44" s="50">
        <v>0.0</v>
      </c>
      <c r="U44" s="50">
        <v>0.0</v>
      </c>
      <c r="V44" s="50">
        <v>0.0</v>
      </c>
      <c r="W44" s="50">
        <v>0.0</v>
      </c>
      <c r="AF44" s="47" t="s">
        <v>64</v>
      </c>
    </row>
    <row r="45" ht="15.75" customHeight="1">
      <c r="B45" s="48">
        <v>60000.0</v>
      </c>
      <c r="C45" s="48">
        <v>60000.0</v>
      </c>
      <c r="D45" s="48">
        <v>60000.0</v>
      </c>
      <c r="E45" s="48">
        <v>60000.0</v>
      </c>
      <c r="F45" s="47" t="s">
        <v>66</v>
      </c>
      <c r="R45" s="48">
        <v>1000.0</v>
      </c>
      <c r="S45" s="50">
        <v>0.0</v>
      </c>
      <c r="T45" s="50">
        <v>0.0</v>
      </c>
      <c r="U45" s="50">
        <v>0.0</v>
      </c>
      <c r="V45" s="50">
        <v>0.0</v>
      </c>
      <c r="W45" s="50">
        <v>0.0</v>
      </c>
      <c r="AF45" s="47" t="s">
        <v>64</v>
      </c>
    </row>
    <row r="46" ht="15.75" customHeight="1">
      <c r="B46" s="48">
        <v>50000.0</v>
      </c>
      <c r="C46" s="48">
        <v>50000.0</v>
      </c>
      <c r="D46" s="48">
        <v>50000.0</v>
      </c>
      <c r="E46" s="48">
        <v>50000.0</v>
      </c>
      <c r="F46" s="47" t="s">
        <v>66</v>
      </c>
      <c r="R46" s="48">
        <v>1000.0</v>
      </c>
      <c r="S46" s="50">
        <v>0.0</v>
      </c>
      <c r="T46" s="50">
        <v>0.0</v>
      </c>
      <c r="U46" s="50">
        <v>0.0</v>
      </c>
      <c r="V46" s="50">
        <v>0.0</v>
      </c>
      <c r="W46" s="50">
        <v>0.0</v>
      </c>
      <c r="AF46" s="47" t="s">
        <v>64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5"/>
      <c r="B6" s="35"/>
      <c r="C6" s="47" t="s">
        <v>29</v>
      </c>
      <c r="D6" s="52">
        <v>1100.0</v>
      </c>
      <c r="E6" s="47" t="s">
        <v>31</v>
      </c>
      <c r="F6" s="47" t="s">
        <v>69</v>
      </c>
      <c r="G6" s="38"/>
      <c r="H6" s="47" t="s">
        <v>70</v>
      </c>
      <c r="I6" s="38"/>
      <c r="J6" s="38"/>
      <c r="K6" s="38"/>
      <c r="L6" s="38"/>
      <c r="M6" s="38"/>
      <c r="N6" s="38"/>
      <c r="O6" s="38"/>
      <c r="P6" s="38"/>
      <c r="Q6" s="38"/>
      <c r="R6" s="47"/>
      <c r="S6" s="47"/>
      <c r="T6" s="47" t="s">
        <v>71</v>
      </c>
      <c r="U6" s="47" t="s">
        <v>72</v>
      </c>
      <c r="V6" s="47" t="s">
        <v>57</v>
      </c>
      <c r="W6" s="47" t="s">
        <v>56</v>
      </c>
      <c r="Y6" s="50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47" t="s">
        <v>30</v>
      </c>
      <c r="AO6" s="38"/>
      <c r="AP6" s="47" t="s">
        <v>73</v>
      </c>
      <c r="AQ6" s="47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41"/>
      <c r="BD6" s="38"/>
      <c r="BE6" s="47" t="s">
        <v>71</v>
      </c>
      <c r="BF6" s="47"/>
      <c r="BG6" s="47"/>
      <c r="BH6" s="47"/>
      <c r="BI6" s="38"/>
      <c r="BJ6" s="38"/>
      <c r="BK6" s="38"/>
      <c r="BL6" s="38"/>
      <c r="BM6" s="38"/>
      <c r="BN6" s="38"/>
      <c r="BO6" s="38"/>
      <c r="BP6" s="38"/>
      <c r="BQ6" s="47" t="s">
        <v>74</v>
      </c>
      <c r="BR6" s="47" t="s">
        <v>32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47"/>
      <c r="FD6" s="50"/>
      <c r="FE6" s="38"/>
      <c r="FF6" s="50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38"/>
      <c r="B7" s="38"/>
      <c r="C7" s="47" t="s">
        <v>23</v>
      </c>
      <c r="D7" s="50">
        <v>10.0</v>
      </c>
      <c r="E7" s="47" t="s">
        <v>31</v>
      </c>
      <c r="F7" s="47" t="s">
        <v>69</v>
      </c>
      <c r="G7" s="38"/>
      <c r="H7" s="47" t="s">
        <v>73</v>
      </c>
      <c r="I7" s="38"/>
      <c r="J7" s="38"/>
      <c r="K7" s="38"/>
      <c r="L7" s="38"/>
      <c r="M7" s="38"/>
      <c r="N7" s="38"/>
      <c r="O7" s="38"/>
      <c r="P7" s="38"/>
      <c r="Q7" s="38"/>
      <c r="R7" s="47"/>
      <c r="S7" s="47"/>
      <c r="T7" s="47" t="s">
        <v>51</v>
      </c>
      <c r="U7" s="47" t="s">
        <v>72</v>
      </c>
      <c r="V7" s="47" t="s">
        <v>58</v>
      </c>
      <c r="W7" s="47" t="s">
        <v>56</v>
      </c>
      <c r="Y7" s="50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47" t="s">
        <v>33</v>
      </c>
      <c r="AO7" s="38"/>
      <c r="AP7" s="47" t="s">
        <v>73</v>
      </c>
      <c r="AQ7" s="47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41"/>
      <c r="BD7" s="38"/>
      <c r="BE7" s="47" t="s">
        <v>75</v>
      </c>
      <c r="BF7" s="47"/>
      <c r="BG7" s="47"/>
      <c r="BH7" s="47"/>
      <c r="BI7" s="38"/>
      <c r="BJ7" s="38"/>
      <c r="BK7" s="38"/>
      <c r="BL7" s="38"/>
      <c r="BM7" s="38"/>
      <c r="BN7" s="38"/>
      <c r="BO7" s="38"/>
      <c r="BP7" s="38"/>
      <c r="BQ7" s="47" t="s">
        <v>74</v>
      </c>
      <c r="BR7" s="47" t="s">
        <v>32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47"/>
      <c r="FD7" s="50"/>
      <c r="FE7" s="38"/>
      <c r="FF7" s="50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38"/>
      <c r="B8" s="38"/>
      <c r="C8" s="47" t="s">
        <v>23</v>
      </c>
      <c r="D8" s="50">
        <v>10.0</v>
      </c>
      <c r="E8" s="47" t="s">
        <v>31</v>
      </c>
      <c r="F8" s="47" t="s">
        <v>69</v>
      </c>
      <c r="G8" s="38"/>
      <c r="H8" s="47" t="s">
        <v>73</v>
      </c>
      <c r="I8" s="38"/>
      <c r="J8" s="38"/>
      <c r="K8" s="38"/>
      <c r="L8" s="38"/>
      <c r="M8" s="38"/>
      <c r="N8" s="38"/>
      <c r="O8" s="38"/>
      <c r="P8" s="38"/>
      <c r="Q8" s="38"/>
      <c r="R8" s="47"/>
      <c r="S8" s="47"/>
      <c r="T8" s="47" t="s">
        <v>51</v>
      </c>
      <c r="U8" s="47" t="s">
        <v>72</v>
      </c>
      <c r="V8" s="47" t="s">
        <v>58</v>
      </c>
      <c r="W8" s="47" t="s">
        <v>56</v>
      </c>
      <c r="Y8" s="50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47" t="s">
        <v>33</v>
      </c>
      <c r="AO8" s="38"/>
      <c r="AP8" s="47" t="s">
        <v>73</v>
      </c>
      <c r="AQ8" s="47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41"/>
      <c r="BD8" s="38"/>
      <c r="BE8" s="47" t="s">
        <v>75</v>
      </c>
      <c r="BF8" s="47"/>
      <c r="BG8" s="47"/>
      <c r="BH8" s="47"/>
      <c r="BI8" s="38"/>
      <c r="BJ8" s="38"/>
      <c r="BK8" s="38"/>
      <c r="BL8" s="38"/>
      <c r="BM8" s="38"/>
      <c r="BN8" s="38"/>
      <c r="BO8" s="38"/>
      <c r="BP8" s="38"/>
      <c r="BQ8" s="47" t="s">
        <v>74</v>
      </c>
      <c r="BR8" s="47" t="s">
        <v>34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47"/>
      <c r="FD8" s="50"/>
      <c r="FE8" s="38"/>
      <c r="FF8" s="50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38"/>
      <c r="B9" s="38"/>
      <c r="C9" s="47" t="s">
        <v>23</v>
      </c>
      <c r="D9" s="50">
        <v>10.0</v>
      </c>
      <c r="E9" s="47" t="s">
        <v>31</v>
      </c>
      <c r="F9" s="47" t="s">
        <v>69</v>
      </c>
      <c r="G9" s="38"/>
      <c r="H9" s="47" t="s">
        <v>73</v>
      </c>
      <c r="I9" s="38"/>
      <c r="J9" s="38"/>
      <c r="K9" s="38"/>
      <c r="L9" s="38"/>
      <c r="M9" s="38"/>
      <c r="N9" s="38"/>
      <c r="O9" s="38"/>
      <c r="P9" s="38"/>
      <c r="Q9" s="38"/>
      <c r="R9" s="47"/>
      <c r="S9" s="47"/>
      <c r="T9" s="47" t="s">
        <v>51</v>
      </c>
      <c r="U9" s="47" t="s">
        <v>72</v>
      </c>
      <c r="V9" s="47" t="s">
        <v>58</v>
      </c>
      <c r="W9" s="47" t="s">
        <v>56</v>
      </c>
      <c r="Y9" s="50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47" t="s">
        <v>33</v>
      </c>
      <c r="AO9" s="38"/>
      <c r="AP9" s="47" t="s">
        <v>73</v>
      </c>
      <c r="AQ9" s="47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41"/>
      <c r="BD9" s="38"/>
      <c r="BE9" s="47" t="s">
        <v>75</v>
      </c>
      <c r="BF9" s="47"/>
      <c r="BG9" s="47"/>
      <c r="BH9" s="47"/>
      <c r="BI9" s="38"/>
      <c r="BJ9" s="38"/>
      <c r="BK9" s="38"/>
      <c r="BL9" s="38"/>
      <c r="BM9" s="38"/>
      <c r="BN9" s="38"/>
      <c r="BO9" s="38"/>
      <c r="BP9" s="38"/>
      <c r="BQ9" s="47" t="s">
        <v>74</v>
      </c>
      <c r="BR9" s="47" t="s">
        <v>35</v>
      </c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47"/>
      <c r="FD9" s="50"/>
      <c r="FE9" s="38"/>
      <c r="FF9" s="50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</row>
    <row r="10" ht="15.75" customHeight="1">
      <c r="A10" s="38"/>
      <c r="B10" s="38"/>
      <c r="C10" s="47" t="s">
        <v>23</v>
      </c>
      <c r="D10" s="50">
        <v>-10.0</v>
      </c>
      <c r="E10" s="47" t="s">
        <v>31</v>
      </c>
      <c r="F10" s="47" t="s">
        <v>69</v>
      </c>
      <c r="G10" s="38"/>
      <c r="H10" s="47" t="s">
        <v>73</v>
      </c>
      <c r="I10" s="38"/>
      <c r="J10" s="38"/>
      <c r="K10" s="38"/>
      <c r="L10" s="38"/>
      <c r="M10" s="38"/>
      <c r="N10" s="38"/>
      <c r="O10" s="38"/>
      <c r="P10" s="38"/>
      <c r="Q10" s="38"/>
      <c r="R10" s="47"/>
      <c r="S10" s="47"/>
      <c r="T10" s="47" t="s">
        <v>51</v>
      </c>
      <c r="U10" s="47" t="s">
        <v>72</v>
      </c>
      <c r="V10" s="47" t="s">
        <v>58</v>
      </c>
      <c r="W10" s="47" t="s">
        <v>56</v>
      </c>
      <c r="Y10" s="50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47" t="s">
        <v>59</v>
      </c>
      <c r="AO10" s="38"/>
      <c r="AP10" s="47" t="s">
        <v>73</v>
      </c>
      <c r="AQ10" s="47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41"/>
      <c r="BD10" s="38"/>
      <c r="BE10" s="47" t="s">
        <v>75</v>
      </c>
      <c r="BF10" s="47"/>
      <c r="BG10" s="47"/>
      <c r="BH10" s="47"/>
      <c r="BI10" s="38"/>
      <c r="BJ10" s="38"/>
      <c r="BK10" s="38"/>
      <c r="BL10" s="38"/>
      <c r="BM10" s="38"/>
      <c r="BN10" s="38"/>
      <c r="BO10" s="38"/>
      <c r="BP10" s="38"/>
      <c r="BQ10" s="47" t="s">
        <v>74</v>
      </c>
      <c r="BR10" s="47" t="s">
        <v>32</v>
      </c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47"/>
      <c r="FD10" s="50"/>
      <c r="FE10" s="38"/>
      <c r="FF10" s="50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</row>
    <row r="11" ht="15.75" customHeight="1">
      <c r="A11" s="38"/>
      <c r="B11" s="38"/>
      <c r="C11" s="47" t="s">
        <v>23</v>
      </c>
      <c r="D11" s="50">
        <v>-10.0</v>
      </c>
      <c r="E11" s="47" t="s">
        <v>31</v>
      </c>
      <c r="F11" s="47" t="s">
        <v>69</v>
      </c>
      <c r="G11" s="38"/>
      <c r="H11" s="47" t="s">
        <v>73</v>
      </c>
      <c r="I11" s="38"/>
      <c r="J11" s="38"/>
      <c r="K11" s="38"/>
      <c r="L11" s="38"/>
      <c r="M11" s="38"/>
      <c r="N11" s="38"/>
      <c r="O11" s="38"/>
      <c r="P11" s="38"/>
      <c r="Q11" s="38"/>
      <c r="R11" s="47"/>
      <c r="S11" s="47"/>
      <c r="T11" s="47" t="s">
        <v>51</v>
      </c>
      <c r="U11" s="47" t="s">
        <v>72</v>
      </c>
      <c r="V11" s="47" t="s">
        <v>58</v>
      </c>
      <c r="W11" s="47" t="s">
        <v>56</v>
      </c>
      <c r="Y11" s="50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47" t="s">
        <v>59</v>
      </c>
      <c r="AO11" s="38"/>
      <c r="AP11" s="47" t="s">
        <v>73</v>
      </c>
      <c r="AQ11" s="47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41"/>
      <c r="BD11" s="38"/>
      <c r="BE11" s="47" t="s">
        <v>75</v>
      </c>
      <c r="BF11" s="47"/>
      <c r="BG11" s="47"/>
      <c r="BH11" s="47"/>
      <c r="BI11" s="38"/>
      <c r="BJ11" s="38"/>
      <c r="BK11" s="38"/>
      <c r="BL11" s="38"/>
      <c r="BM11" s="38"/>
      <c r="BN11" s="38"/>
      <c r="BO11" s="38"/>
      <c r="BP11" s="38"/>
      <c r="BQ11" s="47" t="s">
        <v>74</v>
      </c>
      <c r="BR11" s="47" t="s">
        <v>34</v>
      </c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47"/>
      <c r="FD11" s="50"/>
      <c r="FE11" s="38"/>
      <c r="FF11" s="50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</row>
    <row r="12" ht="15.75" customHeight="1">
      <c r="A12" s="38"/>
      <c r="B12" s="38"/>
      <c r="C12" s="47" t="s">
        <v>23</v>
      </c>
      <c r="D12" s="50">
        <v>-10.0</v>
      </c>
      <c r="E12" s="47" t="s">
        <v>31</v>
      </c>
      <c r="F12" s="47" t="s">
        <v>69</v>
      </c>
      <c r="G12" s="38"/>
      <c r="H12" s="47" t="s">
        <v>73</v>
      </c>
      <c r="I12" s="38"/>
      <c r="J12" s="38"/>
      <c r="K12" s="38"/>
      <c r="L12" s="38"/>
      <c r="M12" s="38"/>
      <c r="N12" s="38"/>
      <c r="O12" s="38"/>
      <c r="P12" s="38"/>
      <c r="Q12" s="38"/>
      <c r="R12" s="47"/>
      <c r="S12" s="47"/>
      <c r="T12" s="47" t="s">
        <v>51</v>
      </c>
      <c r="U12" s="47" t="s">
        <v>72</v>
      </c>
      <c r="V12" s="47" t="s">
        <v>58</v>
      </c>
      <c r="W12" s="47" t="s">
        <v>56</v>
      </c>
      <c r="Y12" s="50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47" t="s">
        <v>59</v>
      </c>
      <c r="AO12" s="38"/>
      <c r="AP12" s="47" t="s">
        <v>73</v>
      </c>
      <c r="AQ12" s="47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41"/>
      <c r="BD12" s="38"/>
      <c r="BE12" s="47" t="s">
        <v>75</v>
      </c>
      <c r="BF12" s="47"/>
      <c r="BG12" s="47"/>
      <c r="BH12" s="47"/>
      <c r="BI12" s="38"/>
      <c r="BJ12" s="38"/>
      <c r="BK12" s="38"/>
      <c r="BL12" s="38"/>
      <c r="BM12" s="38"/>
      <c r="BN12" s="38"/>
      <c r="BO12" s="38"/>
      <c r="BP12" s="38"/>
      <c r="BQ12" s="47" t="s">
        <v>74</v>
      </c>
      <c r="BR12" s="47" t="s">
        <v>35</v>
      </c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47"/>
      <c r="FD12" s="50"/>
      <c r="FE12" s="38"/>
      <c r="FF12" s="50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</row>
    <row r="13" ht="15.75" customHeight="1">
      <c r="A13" s="38"/>
      <c r="B13" s="38"/>
      <c r="C13" s="47" t="s">
        <v>29</v>
      </c>
      <c r="D13" s="52">
        <v>-1000.0</v>
      </c>
      <c r="E13" s="47" t="s">
        <v>31</v>
      </c>
      <c r="F13" s="47" t="s">
        <v>69</v>
      </c>
      <c r="G13" s="38"/>
      <c r="H13" s="47" t="s">
        <v>70</v>
      </c>
      <c r="I13" s="38"/>
      <c r="J13" s="38"/>
      <c r="K13" s="38"/>
      <c r="L13" s="38"/>
      <c r="M13" s="38"/>
      <c r="N13" s="38"/>
      <c r="O13" s="38"/>
      <c r="P13" s="38"/>
      <c r="Q13" s="38"/>
      <c r="R13" s="47"/>
      <c r="S13" s="47"/>
      <c r="T13" s="47" t="s">
        <v>71</v>
      </c>
      <c r="U13" s="47" t="s">
        <v>72</v>
      </c>
      <c r="V13" s="47" t="s">
        <v>57</v>
      </c>
      <c r="W13" s="47" t="s">
        <v>56</v>
      </c>
      <c r="Y13" s="50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47" t="s">
        <v>60</v>
      </c>
      <c r="AO13" s="38"/>
      <c r="AP13" s="47" t="s">
        <v>73</v>
      </c>
      <c r="AQ13" s="47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41"/>
      <c r="BD13" s="38"/>
      <c r="BE13" s="47" t="s">
        <v>71</v>
      </c>
      <c r="BF13" s="47"/>
      <c r="BG13" s="47"/>
      <c r="BH13" s="47"/>
      <c r="BI13" s="38"/>
      <c r="BJ13" s="38"/>
      <c r="BK13" s="38"/>
      <c r="BL13" s="38"/>
      <c r="BM13" s="38"/>
      <c r="BN13" s="38"/>
      <c r="BO13" s="38"/>
      <c r="BP13" s="38"/>
      <c r="BQ13" s="47" t="s">
        <v>74</v>
      </c>
      <c r="BR13" s="47" t="s">
        <v>35</v>
      </c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47"/>
      <c r="FD13" s="50"/>
      <c r="FE13" s="38"/>
      <c r="FF13" s="50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</row>
    <row r="14" ht="15.75" customHeight="1">
      <c r="A14" s="38"/>
      <c r="B14" s="38"/>
      <c r="C14" s="47" t="s">
        <v>29</v>
      </c>
      <c r="D14" s="50">
        <v>-100.0</v>
      </c>
      <c r="E14" s="47" t="s">
        <v>31</v>
      </c>
      <c r="F14" s="47" t="s">
        <v>69</v>
      </c>
      <c r="G14" s="38"/>
      <c r="H14" s="47" t="s">
        <v>70</v>
      </c>
      <c r="I14" s="38"/>
      <c r="J14" s="38"/>
      <c r="K14" s="38"/>
      <c r="L14" s="38"/>
      <c r="M14" s="38"/>
      <c r="N14" s="38"/>
      <c r="O14" s="38"/>
      <c r="P14" s="38"/>
      <c r="Q14" s="38"/>
      <c r="R14" s="47"/>
      <c r="S14" s="47"/>
      <c r="T14" s="47" t="s">
        <v>71</v>
      </c>
      <c r="U14" s="47" t="s">
        <v>72</v>
      </c>
      <c r="V14" s="47" t="s">
        <v>57</v>
      </c>
      <c r="W14" s="47" t="s">
        <v>56</v>
      </c>
      <c r="Y14" s="50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47" t="s">
        <v>60</v>
      </c>
      <c r="AO14" s="38"/>
      <c r="AP14" s="47" t="s">
        <v>73</v>
      </c>
      <c r="AQ14" s="47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41"/>
      <c r="BD14" s="38"/>
      <c r="BE14" s="47" t="s">
        <v>71</v>
      </c>
      <c r="BF14" s="47"/>
      <c r="BG14" s="47"/>
      <c r="BH14" s="47"/>
      <c r="BI14" s="38"/>
      <c r="BJ14" s="38"/>
      <c r="BK14" s="38"/>
      <c r="BL14" s="38"/>
      <c r="BM14" s="38"/>
      <c r="BN14" s="38"/>
      <c r="BO14" s="38"/>
      <c r="BP14" s="38"/>
      <c r="BQ14" s="47" t="s">
        <v>74</v>
      </c>
      <c r="BR14" s="47" t="s">
        <v>34</v>
      </c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47"/>
      <c r="FD14" s="50"/>
      <c r="FE14" s="38"/>
      <c r="FF14" s="50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</row>
    <row r="15" ht="15.75" customHeight="1">
      <c r="A15" s="38"/>
      <c r="B15" s="38"/>
      <c r="C15" s="47" t="s">
        <v>29</v>
      </c>
      <c r="D15" s="50">
        <v>-900.0</v>
      </c>
      <c r="E15" s="47" t="s">
        <v>31</v>
      </c>
      <c r="F15" s="47" t="s">
        <v>69</v>
      </c>
      <c r="G15" s="38"/>
      <c r="H15" s="47" t="s">
        <v>70</v>
      </c>
      <c r="I15" s="38"/>
      <c r="J15" s="38"/>
      <c r="K15" s="38"/>
      <c r="L15" s="38"/>
      <c r="M15" s="38"/>
      <c r="N15" s="38"/>
      <c r="O15" s="38"/>
      <c r="P15" s="38"/>
      <c r="Q15" s="38"/>
      <c r="R15" s="47"/>
      <c r="S15" s="47"/>
      <c r="T15" s="47" t="s">
        <v>71</v>
      </c>
      <c r="U15" s="47" t="s">
        <v>72</v>
      </c>
      <c r="V15" s="47" t="s">
        <v>57</v>
      </c>
      <c r="W15" s="47" t="s">
        <v>56</v>
      </c>
      <c r="Y15" s="50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47" t="s">
        <v>40</v>
      </c>
      <c r="AO15" s="38"/>
      <c r="AP15" s="47" t="s">
        <v>70</v>
      </c>
      <c r="AQ15" s="47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41"/>
      <c r="BD15" s="38"/>
      <c r="BE15" s="47" t="s">
        <v>71</v>
      </c>
      <c r="BF15" s="47"/>
      <c r="BG15" s="47"/>
      <c r="BH15" s="47"/>
      <c r="BI15" s="38"/>
      <c r="BJ15" s="38"/>
      <c r="BK15" s="38"/>
      <c r="BL15" s="38"/>
      <c r="BM15" s="38"/>
      <c r="BN15" s="38"/>
      <c r="BO15" s="38"/>
      <c r="BP15" s="38"/>
      <c r="BQ15" s="47" t="s">
        <v>74</v>
      </c>
      <c r="BR15" s="47" t="s">
        <v>34</v>
      </c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47"/>
      <c r="FD15" s="50"/>
      <c r="FE15" s="38"/>
      <c r="FF15" s="50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</row>
    <row r="16" ht="15.75" customHeight="1">
      <c r="A16" s="38"/>
      <c r="B16" s="38"/>
      <c r="C16" s="47" t="s">
        <v>29</v>
      </c>
      <c r="D16" s="52">
        <v>-1000.0</v>
      </c>
      <c r="E16" s="47" t="s">
        <v>31</v>
      </c>
      <c r="F16" s="47" t="s">
        <v>69</v>
      </c>
      <c r="G16" s="38"/>
      <c r="H16" s="47" t="s">
        <v>70</v>
      </c>
      <c r="I16" s="38"/>
      <c r="J16" s="38"/>
      <c r="K16" s="38"/>
      <c r="L16" s="38"/>
      <c r="M16" s="38"/>
      <c r="N16" s="38"/>
      <c r="O16" s="38"/>
      <c r="P16" s="38"/>
      <c r="Q16" s="38"/>
      <c r="R16" s="47"/>
      <c r="S16" s="47"/>
      <c r="T16" s="47" t="s">
        <v>71</v>
      </c>
      <c r="U16" s="47" t="s">
        <v>72</v>
      </c>
      <c r="V16" s="47" t="s">
        <v>57</v>
      </c>
      <c r="W16" s="47" t="s">
        <v>56</v>
      </c>
      <c r="Y16" s="50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47" t="s">
        <v>40</v>
      </c>
      <c r="AO16" s="38"/>
      <c r="AP16" s="47" t="s">
        <v>70</v>
      </c>
      <c r="AQ16" s="47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41"/>
      <c r="BD16" s="38"/>
      <c r="BE16" s="47" t="s">
        <v>71</v>
      </c>
      <c r="BF16" s="47"/>
      <c r="BG16" s="47"/>
      <c r="BH16" s="47"/>
      <c r="BI16" s="38"/>
      <c r="BJ16" s="38"/>
      <c r="BK16" s="38"/>
      <c r="BL16" s="38"/>
      <c r="BM16" s="38"/>
      <c r="BN16" s="38"/>
      <c r="BO16" s="38"/>
      <c r="BP16" s="38"/>
      <c r="BQ16" s="47" t="s">
        <v>74</v>
      </c>
      <c r="BR16" s="47" t="s">
        <v>32</v>
      </c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47"/>
      <c r="FD16" s="50"/>
      <c r="FE16" s="38"/>
      <c r="FF16" s="50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</row>
    <row r="17" ht="15.75" customHeight="1">
      <c r="A17" s="8"/>
      <c r="B17" s="8"/>
      <c r="C17" s="47" t="s">
        <v>36</v>
      </c>
      <c r="D17" s="52">
        <v>1100.0</v>
      </c>
      <c r="E17" s="47" t="s">
        <v>37</v>
      </c>
      <c r="F17" s="47" t="s">
        <v>76</v>
      </c>
      <c r="G17" s="8"/>
      <c r="H17" s="47" t="s">
        <v>73</v>
      </c>
      <c r="I17" s="8"/>
      <c r="J17" s="8"/>
      <c r="K17" s="8"/>
      <c r="L17" s="8"/>
      <c r="M17" s="8"/>
      <c r="N17" s="8"/>
      <c r="O17" s="8"/>
      <c r="T17" s="47" t="s">
        <v>71</v>
      </c>
      <c r="U17" s="47" t="s">
        <v>72</v>
      </c>
      <c r="V17" s="47" t="s">
        <v>57</v>
      </c>
      <c r="W17" s="47" t="s">
        <v>56</v>
      </c>
      <c r="AN17" s="47" t="s">
        <v>30</v>
      </c>
      <c r="AP17" s="47" t="s">
        <v>73</v>
      </c>
      <c r="BE17" s="47" t="s">
        <v>71</v>
      </c>
      <c r="BQ17" s="47" t="s">
        <v>74</v>
      </c>
      <c r="BR17" s="47" t="s">
        <v>32</v>
      </c>
      <c r="FD17" s="50"/>
    </row>
    <row r="18" ht="15.75" customHeight="1">
      <c r="A18" s="8"/>
      <c r="B18" s="8"/>
      <c r="C18" s="47" t="s">
        <v>16</v>
      </c>
      <c r="D18" s="50">
        <v>-10.0</v>
      </c>
      <c r="E18" s="47" t="s">
        <v>37</v>
      </c>
      <c r="F18" s="47" t="s">
        <v>76</v>
      </c>
      <c r="G18" s="8"/>
      <c r="H18" s="47" t="s">
        <v>70</v>
      </c>
      <c r="I18" s="8"/>
      <c r="J18" s="8"/>
      <c r="K18" s="8"/>
      <c r="L18" s="8"/>
      <c r="M18" s="8"/>
      <c r="N18" s="8"/>
      <c r="O18" s="8"/>
      <c r="T18" s="47" t="s">
        <v>51</v>
      </c>
      <c r="U18" s="47" t="s">
        <v>72</v>
      </c>
      <c r="V18" s="47" t="s">
        <v>58</v>
      </c>
      <c r="W18" s="47" t="s">
        <v>56</v>
      </c>
      <c r="AN18" s="47" t="s">
        <v>38</v>
      </c>
      <c r="AP18" s="47" t="s">
        <v>73</v>
      </c>
      <c r="BE18" s="47" t="s">
        <v>75</v>
      </c>
      <c r="BQ18" s="47" t="s">
        <v>74</v>
      </c>
      <c r="BR18" s="47" t="s">
        <v>32</v>
      </c>
    </row>
    <row r="19" ht="15.75" customHeight="1">
      <c r="A19" s="8"/>
      <c r="B19" s="8"/>
      <c r="C19" s="47" t="s">
        <v>16</v>
      </c>
      <c r="D19" s="50">
        <v>-10.0</v>
      </c>
      <c r="E19" s="47" t="s">
        <v>37</v>
      </c>
      <c r="F19" s="47" t="s">
        <v>76</v>
      </c>
      <c r="G19" s="8"/>
      <c r="H19" s="47" t="s">
        <v>70</v>
      </c>
      <c r="I19" s="8"/>
      <c r="J19" s="8"/>
      <c r="K19" s="8"/>
      <c r="L19" s="8"/>
      <c r="M19" s="8"/>
      <c r="N19" s="8"/>
      <c r="O19" s="8"/>
      <c r="T19" s="47" t="s">
        <v>51</v>
      </c>
      <c r="U19" s="47" t="s">
        <v>72</v>
      </c>
      <c r="V19" s="47" t="s">
        <v>58</v>
      </c>
      <c r="W19" s="47" t="s">
        <v>56</v>
      </c>
      <c r="AN19" s="47" t="s">
        <v>38</v>
      </c>
      <c r="AP19" s="47" t="s">
        <v>73</v>
      </c>
      <c r="BE19" s="47" t="s">
        <v>75</v>
      </c>
      <c r="BQ19" s="47" t="s">
        <v>74</v>
      </c>
      <c r="BR19" s="47" t="s">
        <v>34</v>
      </c>
    </row>
    <row r="20" ht="15.75" customHeight="1">
      <c r="A20" s="8"/>
      <c r="B20" s="8"/>
      <c r="C20" s="47" t="s">
        <v>16</v>
      </c>
      <c r="D20" s="50">
        <v>-10.0</v>
      </c>
      <c r="E20" s="47" t="s">
        <v>37</v>
      </c>
      <c r="F20" s="47" t="s">
        <v>76</v>
      </c>
      <c r="G20" s="8"/>
      <c r="H20" s="47" t="s">
        <v>70</v>
      </c>
      <c r="I20" s="8"/>
      <c r="J20" s="8"/>
      <c r="K20" s="8"/>
      <c r="L20" s="8"/>
      <c r="M20" s="8"/>
      <c r="N20" s="8"/>
      <c r="O20" s="8"/>
      <c r="T20" s="47" t="s">
        <v>51</v>
      </c>
      <c r="U20" s="47" t="s">
        <v>72</v>
      </c>
      <c r="V20" s="47" t="s">
        <v>58</v>
      </c>
      <c r="W20" s="47" t="s">
        <v>56</v>
      </c>
      <c r="AN20" s="47" t="s">
        <v>38</v>
      </c>
      <c r="AP20" s="47" t="s">
        <v>73</v>
      </c>
      <c r="BE20" s="47" t="s">
        <v>75</v>
      </c>
      <c r="BQ20" s="47" t="s">
        <v>74</v>
      </c>
      <c r="BR20" s="47" t="s">
        <v>35</v>
      </c>
    </row>
    <row r="21" ht="15.75" customHeight="1">
      <c r="A21" s="8"/>
      <c r="B21" s="8"/>
      <c r="C21" s="47" t="s">
        <v>16</v>
      </c>
      <c r="D21" s="50">
        <v>10.0</v>
      </c>
      <c r="E21" s="47" t="s">
        <v>37</v>
      </c>
      <c r="F21" s="47" t="s">
        <v>76</v>
      </c>
      <c r="G21" s="8"/>
      <c r="H21" s="47" t="s">
        <v>70</v>
      </c>
      <c r="I21" s="8"/>
      <c r="J21" s="8"/>
      <c r="K21" s="8"/>
      <c r="L21" s="8"/>
      <c r="M21" s="8"/>
      <c r="N21" s="8"/>
      <c r="O21" s="8"/>
      <c r="T21" s="47" t="s">
        <v>51</v>
      </c>
      <c r="U21" s="47" t="s">
        <v>72</v>
      </c>
      <c r="V21" s="47" t="s">
        <v>58</v>
      </c>
      <c r="W21" s="47" t="s">
        <v>56</v>
      </c>
      <c r="AN21" s="47" t="s">
        <v>61</v>
      </c>
      <c r="AP21" s="47" t="s">
        <v>73</v>
      </c>
      <c r="BE21" s="47" t="s">
        <v>75</v>
      </c>
      <c r="BQ21" s="47" t="s">
        <v>74</v>
      </c>
      <c r="BR21" s="47" t="s">
        <v>32</v>
      </c>
    </row>
    <row r="22" ht="15.75" customHeight="1">
      <c r="A22" s="8"/>
      <c r="B22" s="8"/>
      <c r="C22" s="47" t="s">
        <v>16</v>
      </c>
      <c r="D22" s="50">
        <v>10.0</v>
      </c>
      <c r="E22" s="47" t="s">
        <v>37</v>
      </c>
      <c r="F22" s="47" t="s">
        <v>76</v>
      </c>
      <c r="G22" s="8"/>
      <c r="H22" s="47" t="s">
        <v>70</v>
      </c>
      <c r="I22" s="8"/>
      <c r="J22" s="8"/>
      <c r="K22" s="8"/>
      <c r="L22" s="8"/>
      <c r="M22" s="8"/>
      <c r="N22" s="8"/>
      <c r="O22" s="8"/>
      <c r="T22" s="47" t="s">
        <v>51</v>
      </c>
      <c r="U22" s="47" t="s">
        <v>72</v>
      </c>
      <c r="V22" s="47" t="s">
        <v>58</v>
      </c>
      <c r="W22" s="47" t="s">
        <v>56</v>
      </c>
      <c r="AN22" s="47" t="s">
        <v>61</v>
      </c>
      <c r="AP22" s="47" t="s">
        <v>73</v>
      </c>
      <c r="BE22" s="47" t="s">
        <v>75</v>
      </c>
      <c r="BQ22" s="47" t="s">
        <v>74</v>
      </c>
      <c r="BR22" s="47" t="s">
        <v>34</v>
      </c>
    </row>
    <row r="23" ht="15.75" customHeight="1">
      <c r="A23" s="8"/>
      <c r="B23" s="8"/>
      <c r="C23" s="47" t="s">
        <v>16</v>
      </c>
      <c r="D23" s="50">
        <v>10.0</v>
      </c>
      <c r="E23" s="47" t="s">
        <v>37</v>
      </c>
      <c r="F23" s="47" t="s">
        <v>76</v>
      </c>
      <c r="G23" s="8"/>
      <c r="H23" s="47" t="s">
        <v>70</v>
      </c>
      <c r="I23" s="8"/>
      <c r="J23" s="8"/>
      <c r="K23" s="8"/>
      <c r="L23" s="8"/>
      <c r="M23" s="8"/>
      <c r="N23" s="8"/>
      <c r="O23" s="8"/>
      <c r="T23" s="47" t="s">
        <v>51</v>
      </c>
      <c r="U23" s="47" t="s">
        <v>72</v>
      </c>
      <c r="V23" s="47" t="s">
        <v>58</v>
      </c>
      <c r="W23" s="47" t="s">
        <v>56</v>
      </c>
      <c r="AN23" s="47" t="s">
        <v>61</v>
      </c>
      <c r="AP23" s="47" t="s">
        <v>73</v>
      </c>
      <c r="BE23" s="47" t="s">
        <v>75</v>
      </c>
      <c r="BQ23" s="47" t="s">
        <v>74</v>
      </c>
      <c r="BR23" s="47" t="s">
        <v>35</v>
      </c>
    </row>
    <row r="24" ht="15.75" customHeight="1">
      <c r="A24" s="8"/>
      <c r="B24" s="8"/>
      <c r="C24" s="47" t="s">
        <v>36</v>
      </c>
      <c r="D24" s="52">
        <v>1000.0</v>
      </c>
      <c r="E24" s="47" t="s">
        <v>37</v>
      </c>
      <c r="F24" s="47" t="s">
        <v>76</v>
      </c>
      <c r="G24" s="8"/>
      <c r="H24" s="47" t="s">
        <v>73</v>
      </c>
      <c r="I24" s="8"/>
      <c r="J24" s="8"/>
      <c r="K24" s="8"/>
      <c r="L24" s="8"/>
      <c r="M24" s="8"/>
      <c r="N24" s="8"/>
      <c r="O24" s="8"/>
      <c r="T24" s="47" t="s">
        <v>71</v>
      </c>
      <c r="U24" s="47" t="s">
        <v>72</v>
      </c>
      <c r="V24" s="47" t="s">
        <v>57</v>
      </c>
      <c r="W24" s="47" t="s">
        <v>56</v>
      </c>
      <c r="AN24" s="47" t="s">
        <v>30</v>
      </c>
      <c r="AP24" s="47" t="s">
        <v>73</v>
      </c>
      <c r="BE24" s="47" t="s">
        <v>71</v>
      </c>
      <c r="BQ24" s="47" t="s">
        <v>74</v>
      </c>
      <c r="BR24" s="47" t="s">
        <v>35</v>
      </c>
    </row>
    <row r="25" ht="15.75" customHeight="1">
      <c r="A25" s="8"/>
      <c r="B25" s="8"/>
      <c r="C25" s="47" t="s">
        <v>36</v>
      </c>
      <c r="D25" s="52">
        <v>1000.0</v>
      </c>
      <c r="E25" s="47" t="s">
        <v>37</v>
      </c>
      <c r="F25" s="47" t="s">
        <v>76</v>
      </c>
      <c r="G25" s="8"/>
      <c r="H25" s="47" t="s">
        <v>73</v>
      </c>
      <c r="I25" s="8"/>
      <c r="J25" s="8"/>
      <c r="K25" s="8"/>
      <c r="L25" s="8"/>
      <c r="M25" s="8"/>
      <c r="N25" s="8"/>
      <c r="O25" s="8"/>
      <c r="T25" s="47" t="s">
        <v>71</v>
      </c>
      <c r="U25" s="47" t="s">
        <v>72</v>
      </c>
      <c r="V25" s="47" t="s">
        <v>57</v>
      </c>
      <c r="W25" s="47" t="s">
        <v>56</v>
      </c>
      <c r="AN25" s="47" t="s">
        <v>30</v>
      </c>
      <c r="AP25" s="47" t="s">
        <v>73</v>
      </c>
      <c r="BE25" s="47" t="s">
        <v>71</v>
      </c>
      <c r="BQ25" s="47" t="s">
        <v>74</v>
      </c>
      <c r="BR25" s="47" t="s">
        <v>34</v>
      </c>
    </row>
    <row r="26" ht="15.75" customHeight="1">
      <c r="A26" s="8"/>
      <c r="B26" s="8"/>
      <c r="C26" s="47" t="s">
        <v>36</v>
      </c>
      <c r="D26" s="52">
        <v>1000.0</v>
      </c>
      <c r="E26" s="47" t="s">
        <v>37</v>
      </c>
      <c r="F26" s="47" t="s">
        <v>76</v>
      </c>
      <c r="G26" s="8"/>
      <c r="H26" s="47" t="s">
        <v>73</v>
      </c>
      <c r="I26" s="8"/>
      <c r="J26" s="8"/>
      <c r="K26" s="8"/>
      <c r="L26" s="8"/>
      <c r="M26" s="8"/>
      <c r="N26" s="8"/>
      <c r="O26" s="8"/>
      <c r="T26" s="47" t="s">
        <v>71</v>
      </c>
      <c r="U26" s="47" t="s">
        <v>72</v>
      </c>
      <c r="V26" s="47" t="s">
        <v>57</v>
      </c>
      <c r="W26" s="47" t="s">
        <v>56</v>
      </c>
      <c r="AN26" s="47" t="s">
        <v>30</v>
      </c>
      <c r="AP26" s="47" t="s">
        <v>73</v>
      </c>
      <c r="BE26" s="47" t="s">
        <v>71</v>
      </c>
      <c r="BQ26" s="47" t="s">
        <v>74</v>
      </c>
      <c r="BR26" s="47" t="s">
        <v>32</v>
      </c>
    </row>
    <row r="27" ht="15.75" customHeight="1">
      <c r="C27" s="47" t="s">
        <v>39</v>
      </c>
      <c r="D27" s="52">
        <v>-1100.0</v>
      </c>
      <c r="E27" s="47" t="s">
        <v>41</v>
      </c>
      <c r="F27" s="47" t="s">
        <v>77</v>
      </c>
      <c r="H27" s="47" t="s">
        <v>70</v>
      </c>
      <c r="T27" s="47" t="s">
        <v>71</v>
      </c>
      <c r="U27" s="47" t="s">
        <v>72</v>
      </c>
      <c r="V27" s="47" t="s">
        <v>57</v>
      </c>
      <c r="W27" s="47" t="s">
        <v>56</v>
      </c>
      <c r="AN27" s="47" t="s">
        <v>40</v>
      </c>
      <c r="AP27" s="47" t="s">
        <v>70</v>
      </c>
      <c r="BE27" s="47" t="s">
        <v>71</v>
      </c>
      <c r="BQ27" s="47" t="s">
        <v>74</v>
      </c>
      <c r="BR27" s="47" t="s">
        <v>32</v>
      </c>
    </row>
    <row r="28" ht="15.75" customHeight="1">
      <c r="C28" s="47" t="s">
        <v>18</v>
      </c>
      <c r="D28" s="50">
        <v>-10.0</v>
      </c>
      <c r="E28" s="47" t="s">
        <v>41</v>
      </c>
      <c r="F28" s="47" t="s">
        <v>77</v>
      </c>
      <c r="H28" s="47" t="s">
        <v>70</v>
      </c>
      <c r="T28" s="47" t="s">
        <v>51</v>
      </c>
      <c r="U28" s="47" t="s">
        <v>72</v>
      </c>
      <c r="V28" s="47" t="s">
        <v>58</v>
      </c>
      <c r="W28" s="47" t="s">
        <v>56</v>
      </c>
      <c r="AN28" s="47" t="s">
        <v>38</v>
      </c>
      <c r="AP28" s="47" t="s">
        <v>73</v>
      </c>
      <c r="BE28" s="47" t="s">
        <v>78</v>
      </c>
      <c r="BQ28" s="47" t="s">
        <v>74</v>
      </c>
      <c r="BR28" s="47" t="s">
        <v>32</v>
      </c>
    </row>
    <row r="29" ht="15.75" customHeight="1">
      <c r="C29" s="47" t="s">
        <v>18</v>
      </c>
      <c r="D29" s="50">
        <v>-10.0</v>
      </c>
      <c r="E29" s="47" t="s">
        <v>41</v>
      </c>
      <c r="F29" s="47" t="s">
        <v>77</v>
      </c>
      <c r="H29" s="47" t="s">
        <v>70</v>
      </c>
      <c r="T29" s="47" t="s">
        <v>51</v>
      </c>
      <c r="U29" s="47" t="s">
        <v>72</v>
      </c>
      <c r="V29" s="47" t="s">
        <v>58</v>
      </c>
      <c r="W29" s="47" t="s">
        <v>56</v>
      </c>
      <c r="AN29" s="47" t="s">
        <v>38</v>
      </c>
      <c r="AP29" s="47" t="s">
        <v>73</v>
      </c>
      <c r="BE29" s="47" t="s">
        <v>78</v>
      </c>
      <c r="BQ29" s="47" t="s">
        <v>74</v>
      </c>
      <c r="BR29" s="47" t="s">
        <v>34</v>
      </c>
    </row>
    <row r="30" ht="15.75" customHeight="1">
      <c r="C30" s="47" t="s">
        <v>18</v>
      </c>
      <c r="D30" s="50">
        <v>-10.0</v>
      </c>
      <c r="E30" s="47" t="s">
        <v>41</v>
      </c>
      <c r="F30" s="47" t="s">
        <v>77</v>
      </c>
      <c r="H30" s="47" t="s">
        <v>70</v>
      </c>
      <c r="T30" s="47" t="s">
        <v>51</v>
      </c>
      <c r="U30" s="47" t="s">
        <v>72</v>
      </c>
      <c r="V30" s="47" t="s">
        <v>58</v>
      </c>
      <c r="W30" s="47" t="s">
        <v>56</v>
      </c>
      <c r="AN30" s="47" t="s">
        <v>38</v>
      </c>
      <c r="AP30" s="47" t="s">
        <v>73</v>
      </c>
      <c r="BE30" s="47" t="s">
        <v>78</v>
      </c>
      <c r="BQ30" s="47" t="s">
        <v>74</v>
      </c>
      <c r="BR30" s="47" t="s">
        <v>35</v>
      </c>
    </row>
    <row r="31" ht="15.75" customHeight="1">
      <c r="C31" s="47" t="s">
        <v>18</v>
      </c>
      <c r="D31" s="50">
        <v>10.0</v>
      </c>
      <c r="E31" s="47" t="s">
        <v>41</v>
      </c>
      <c r="F31" s="47" t="s">
        <v>77</v>
      </c>
      <c r="H31" s="47" t="s">
        <v>70</v>
      </c>
      <c r="T31" s="47" t="s">
        <v>51</v>
      </c>
      <c r="U31" s="47" t="s">
        <v>72</v>
      </c>
      <c r="V31" s="47" t="s">
        <v>58</v>
      </c>
      <c r="W31" s="47" t="s">
        <v>56</v>
      </c>
      <c r="AN31" s="47" t="s">
        <v>61</v>
      </c>
      <c r="AP31" s="47" t="s">
        <v>73</v>
      </c>
      <c r="BE31" s="47" t="s">
        <v>78</v>
      </c>
      <c r="BQ31" s="47" t="s">
        <v>74</v>
      </c>
      <c r="BR31" s="47" t="s">
        <v>32</v>
      </c>
    </row>
    <row r="32" ht="15.75" customHeight="1">
      <c r="C32" s="47" t="s">
        <v>18</v>
      </c>
      <c r="D32" s="50">
        <v>10.0</v>
      </c>
      <c r="E32" s="47" t="s">
        <v>41</v>
      </c>
      <c r="F32" s="47" t="s">
        <v>77</v>
      </c>
      <c r="H32" s="47" t="s">
        <v>70</v>
      </c>
      <c r="T32" s="47" t="s">
        <v>51</v>
      </c>
      <c r="U32" s="47" t="s">
        <v>72</v>
      </c>
      <c r="V32" s="47" t="s">
        <v>58</v>
      </c>
      <c r="W32" s="47" t="s">
        <v>56</v>
      </c>
      <c r="AN32" s="47" t="s">
        <v>61</v>
      </c>
      <c r="AP32" s="47" t="s">
        <v>73</v>
      </c>
      <c r="BE32" s="47" t="s">
        <v>78</v>
      </c>
      <c r="BQ32" s="47" t="s">
        <v>74</v>
      </c>
      <c r="BR32" s="47" t="s">
        <v>34</v>
      </c>
    </row>
    <row r="33" ht="15.75" customHeight="1">
      <c r="C33" s="47" t="s">
        <v>18</v>
      </c>
      <c r="D33" s="50">
        <v>10.0</v>
      </c>
      <c r="E33" s="47" t="s">
        <v>41</v>
      </c>
      <c r="F33" s="47" t="s">
        <v>77</v>
      </c>
      <c r="H33" s="47" t="s">
        <v>70</v>
      </c>
      <c r="T33" s="47" t="s">
        <v>51</v>
      </c>
      <c r="U33" s="47" t="s">
        <v>72</v>
      </c>
      <c r="V33" s="47" t="s">
        <v>58</v>
      </c>
      <c r="W33" s="47" t="s">
        <v>56</v>
      </c>
      <c r="AN33" s="47" t="s">
        <v>61</v>
      </c>
      <c r="AP33" s="47" t="s">
        <v>73</v>
      </c>
      <c r="BE33" s="47" t="s">
        <v>78</v>
      </c>
      <c r="BQ33" s="47" t="s">
        <v>74</v>
      </c>
      <c r="BR33" s="47" t="s">
        <v>35</v>
      </c>
    </row>
    <row r="34" ht="15.75" customHeight="1">
      <c r="C34" s="47" t="s">
        <v>39</v>
      </c>
      <c r="D34" s="52">
        <v>-1000.0</v>
      </c>
      <c r="E34" s="47" t="s">
        <v>41</v>
      </c>
      <c r="F34" s="47" t="s">
        <v>77</v>
      </c>
      <c r="H34" s="47" t="s">
        <v>70</v>
      </c>
      <c r="T34" s="47" t="s">
        <v>71</v>
      </c>
      <c r="U34" s="47" t="s">
        <v>72</v>
      </c>
      <c r="V34" s="47" t="s">
        <v>57</v>
      </c>
      <c r="W34" s="47" t="s">
        <v>56</v>
      </c>
      <c r="AN34" s="47" t="s">
        <v>40</v>
      </c>
      <c r="AP34" s="47" t="s">
        <v>70</v>
      </c>
      <c r="BE34" s="47" t="s">
        <v>71</v>
      </c>
      <c r="BQ34" s="47" t="s">
        <v>74</v>
      </c>
      <c r="BR34" s="47" t="s">
        <v>35</v>
      </c>
    </row>
    <row r="35" ht="15.75" customHeight="1">
      <c r="C35" s="47" t="s">
        <v>39</v>
      </c>
      <c r="D35" s="52">
        <v>-1000.0</v>
      </c>
      <c r="E35" s="47" t="s">
        <v>41</v>
      </c>
      <c r="F35" s="47" t="s">
        <v>77</v>
      </c>
      <c r="H35" s="47" t="s">
        <v>70</v>
      </c>
      <c r="T35" s="47" t="s">
        <v>71</v>
      </c>
      <c r="U35" s="47" t="s">
        <v>72</v>
      </c>
      <c r="V35" s="47" t="s">
        <v>57</v>
      </c>
      <c r="W35" s="47" t="s">
        <v>56</v>
      </c>
      <c r="AN35" s="47" t="s">
        <v>40</v>
      </c>
      <c r="AP35" s="47" t="s">
        <v>70</v>
      </c>
      <c r="BE35" s="47" t="s">
        <v>71</v>
      </c>
      <c r="BQ35" s="47" t="s">
        <v>74</v>
      </c>
      <c r="BR35" s="47" t="s">
        <v>34</v>
      </c>
    </row>
    <row r="36" ht="15.75" customHeight="1">
      <c r="C36" s="47" t="s">
        <v>39</v>
      </c>
      <c r="D36" s="52">
        <v>-1000.0</v>
      </c>
      <c r="E36" s="47" t="s">
        <v>41</v>
      </c>
      <c r="F36" s="47" t="s">
        <v>77</v>
      </c>
      <c r="H36" s="47" t="s">
        <v>70</v>
      </c>
      <c r="T36" s="47" t="s">
        <v>71</v>
      </c>
      <c r="U36" s="47" t="s">
        <v>72</v>
      </c>
      <c r="V36" s="47" t="s">
        <v>57</v>
      </c>
      <c r="W36" s="47" t="s">
        <v>56</v>
      </c>
      <c r="AN36" s="47" t="s">
        <v>40</v>
      </c>
      <c r="AP36" s="47" t="s">
        <v>70</v>
      </c>
      <c r="BE36" s="47" t="s">
        <v>71</v>
      </c>
      <c r="BQ36" s="47" t="s">
        <v>74</v>
      </c>
      <c r="BR36" s="47" t="s">
        <v>32</v>
      </c>
    </row>
    <row r="37" ht="15.75" customHeight="1">
      <c r="C37" s="47" t="s">
        <v>42</v>
      </c>
      <c r="D37" s="52">
        <v>-1100.0</v>
      </c>
      <c r="E37" s="47" t="s">
        <v>43</v>
      </c>
      <c r="F37" s="47" t="s">
        <v>79</v>
      </c>
      <c r="H37" s="47" t="s">
        <v>70</v>
      </c>
      <c r="T37" s="47" t="s">
        <v>71</v>
      </c>
      <c r="U37" s="47" t="s">
        <v>72</v>
      </c>
      <c r="V37" s="47" t="s">
        <v>57</v>
      </c>
      <c r="W37" s="47" t="s">
        <v>56</v>
      </c>
      <c r="AN37" s="47" t="s">
        <v>40</v>
      </c>
      <c r="AP37" s="47" t="s">
        <v>70</v>
      </c>
      <c r="BE37" s="47" t="s">
        <v>71</v>
      </c>
      <c r="BQ37" s="47" t="s">
        <v>74</v>
      </c>
      <c r="BR37" s="47" t="s">
        <v>32</v>
      </c>
    </row>
    <row r="38" ht="15.75" customHeight="1">
      <c r="C38" s="47" t="s">
        <v>19</v>
      </c>
      <c r="D38" s="50">
        <v>10.0</v>
      </c>
      <c r="E38" s="47" t="s">
        <v>43</v>
      </c>
      <c r="F38" s="47" t="s">
        <v>79</v>
      </c>
      <c r="H38" s="47" t="s">
        <v>73</v>
      </c>
      <c r="T38" s="47" t="s">
        <v>51</v>
      </c>
      <c r="U38" s="47" t="s">
        <v>72</v>
      </c>
      <c r="V38" s="47" t="s">
        <v>58</v>
      </c>
      <c r="W38" s="47" t="s">
        <v>56</v>
      </c>
      <c r="AN38" s="47" t="s">
        <v>33</v>
      </c>
      <c r="AP38" s="47" t="s">
        <v>73</v>
      </c>
      <c r="BE38" s="47" t="s">
        <v>75</v>
      </c>
      <c r="BQ38" s="47" t="s">
        <v>74</v>
      </c>
      <c r="BR38" s="47" t="s">
        <v>32</v>
      </c>
    </row>
    <row r="39" ht="15.75" customHeight="1">
      <c r="C39" s="47" t="s">
        <v>20</v>
      </c>
      <c r="D39" s="50">
        <v>10.0</v>
      </c>
      <c r="E39" s="47" t="s">
        <v>43</v>
      </c>
      <c r="F39" s="47" t="s">
        <v>79</v>
      </c>
      <c r="H39" s="47" t="s">
        <v>73</v>
      </c>
      <c r="T39" s="47" t="s">
        <v>51</v>
      </c>
      <c r="U39" s="47" t="s">
        <v>72</v>
      </c>
      <c r="V39" s="47" t="s">
        <v>58</v>
      </c>
      <c r="W39" s="47" t="s">
        <v>56</v>
      </c>
      <c r="AN39" s="47" t="s">
        <v>33</v>
      </c>
      <c r="AP39" s="47" t="s">
        <v>73</v>
      </c>
      <c r="BE39" s="47" t="s">
        <v>75</v>
      </c>
      <c r="BQ39" s="47" t="s">
        <v>74</v>
      </c>
      <c r="BR39" s="47" t="s">
        <v>32</v>
      </c>
    </row>
    <row r="40" ht="15.75" customHeight="1">
      <c r="C40" s="47" t="s">
        <v>20</v>
      </c>
      <c r="D40" s="50">
        <v>10.0</v>
      </c>
      <c r="E40" s="47" t="s">
        <v>43</v>
      </c>
      <c r="F40" s="47" t="s">
        <v>79</v>
      </c>
      <c r="H40" s="47" t="s">
        <v>73</v>
      </c>
      <c r="T40" s="47" t="s">
        <v>51</v>
      </c>
      <c r="U40" s="47" t="s">
        <v>72</v>
      </c>
      <c r="V40" s="47" t="s">
        <v>58</v>
      </c>
      <c r="W40" s="47" t="s">
        <v>56</v>
      </c>
      <c r="AN40" s="47" t="s">
        <v>33</v>
      </c>
      <c r="AP40" s="47" t="s">
        <v>73</v>
      </c>
      <c r="BE40" s="47" t="s">
        <v>75</v>
      </c>
      <c r="BQ40" s="47" t="s">
        <v>74</v>
      </c>
      <c r="BR40" s="47" t="s">
        <v>34</v>
      </c>
    </row>
    <row r="41" ht="15.75" customHeight="1">
      <c r="C41" s="47" t="s">
        <v>19</v>
      </c>
      <c r="D41" s="50">
        <v>-10.0</v>
      </c>
      <c r="E41" s="47" t="s">
        <v>43</v>
      </c>
      <c r="F41" s="47" t="s">
        <v>79</v>
      </c>
      <c r="H41" s="47" t="s">
        <v>73</v>
      </c>
      <c r="T41" s="47" t="s">
        <v>51</v>
      </c>
      <c r="U41" s="47" t="s">
        <v>72</v>
      </c>
      <c r="V41" s="47" t="s">
        <v>58</v>
      </c>
      <c r="W41" s="47" t="s">
        <v>56</v>
      </c>
      <c r="AN41" s="47" t="s">
        <v>59</v>
      </c>
      <c r="AP41" s="47" t="s">
        <v>73</v>
      </c>
      <c r="BE41" s="47" t="s">
        <v>75</v>
      </c>
      <c r="BQ41" s="47" t="s">
        <v>74</v>
      </c>
      <c r="BR41" s="47" t="s">
        <v>32</v>
      </c>
    </row>
    <row r="42" ht="15.75" customHeight="1">
      <c r="C42" s="47" t="s">
        <v>20</v>
      </c>
      <c r="D42" s="50">
        <v>-10.0</v>
      </c>
      <c r="E42" s="47" t="s">
        <v>43</v>
      </c>
      <c r="F42" s="47" t="s">
        <v>79</v>
      </c>
      <c r="H42" s="47" t="s">
        <v>73</v>
      </c>
      <c r="T42" s="47" t="s">
        <v>51</v>
      </c>
      <c r="U42" s="47" t="s">
        <v>72</v>
      </c>
      <c r="V42" s="47" t="s">
        <v>58</v>
      </c>
      <c r="W42" s="47" t="s">
        <v>56</v>
      </c>
      <c r="AN42" s="47" t="s">
        <v>59</v>
      </c>
      <c r="AP42" s="47" t="s">
        <v>73</v>
      </c>
      <c r="BE42" s="47" t="s">
        <v>75</v>
      </c>
      <c r="BQ42" s="47" t="s">
        <v>74</v>
      </c>
      <c r="BR42" s="47" t="s">
        <v>32</v>
      </c>
    </row>
    <row r="43" ht="15.75" customHeight="1">
      <c r="C43" s="47" t="s">
        <v>20</v>
      </c>
      <c r="D43" s="50">
        <v>-10.0</v>
      </c>
      <c r="E43" s="47" t="s">
        <v>43</v>
      </c>
      <c r="F43" s="47" t="s">
        <v>79</v>
      </c>
      <c r="H43" s="47" t="s">
        <v>73</v>
      </c>
      <c r="T43" s="47" t="s">
        <v>51</v>
      </c>
      <c r="U43" s="47" t="s">
        <v>72</v>
      </c>
      <c r="V43" s="47" t="s">
        <v>58</v>
      </c>
      <c r="W43" s="47" t="s">
        <v>56</v>
      </c>
      <c r="AN43" s="47" t="s">
        <v>59</v>
      </c>
      <c r="AP43" s="47" t="s">
        <v>73</v>
      </c>
      <c r="BE43" s="47" t="s">
        <v>75</v>
      </c>
      <c r="BQ43" s="47" t="s">
        <v>74</v>
      </c>
      <c r="BR43" s="47" t="s">
        <v>34</v>
      </c>
    </row>
    <row r="44" ht="15.75" customHeight="1">
      <c r="C44" s="47" t="s">
        <v>42</v>
      </c>
      <c r="D44" s="52">
        <v>-1000.0</v>
      </c>
      <c r="E44" s="47" t="s">
        <v>43</v>
      </c>
      <c r="F44" s="47" t="s">
        <v>79</v>
      </c>
      <c r="H44" s="47" t="s">
        <v>70</v>
      </c>
      <c r="T44" s="47" t="s">
        <v>71</v>
      </c>
      <c r="U44" s="47" t="s">
        <v>72</v>
      </c>
      <c r="V44" s="47" t="s">
        <v>57</v>
      </c>
      <c r="W44" s="47" t="s">
        <v>56</v>
      </c>
      <c r="AN44" s="47" t="s">
        <v>40</v>
      </c>
      <c r="AP44" s="47" t="s">
        <v>70</v>
      </c>
      <c r="BE44" s="47" t="s">
        <v>71</v>
      </c>
      <c r="BQ44" s="47" t="s">
        <v>74</v>
      </c>
      <c r="BR44" s="47" t="s">
        <v>34</v>
      </c>
    </row>
    <row r="45" ht="15.75" customHeight="1">
      <c r="C45" s="47" t="s">
        <v>42</v>
      </c>
      <c r="D45" s="52">
        <v>-1000.0</v>
      </c>
      <c r="E45" s="47" t="s">
        <v>43</v>
      </c>
      <c r="F45" s="47" t="s">
        <v>79</v>
      </c>
      <c r="H45" s="47" t="s">
        <v>70</v>
      </c>
      <c r="T45" s="47" t="s">
        <v>71</v>
      </c>
      <c r="U45" s="47" t="s">
        <v>72</v>
      </c>
      <c r="V45" s="47" t="s">
        <v>57</v>
      </c>
      <c r="W45" s="47" t="s">
        <v>56</v>
      </c>
      <c r="AN45" s="47" t="s">
        <v>40</v>
      </c>
      <c r="AP45" s="47" t="s">
        <v>70</v>
      </c>
      <c r="BE45" s="47" t="s">
        <v>71</v>
      </c>
      <c r="BQ45" s="47" t="s">
        <v>74</v>
      </c>
      <c r="BR45" s="47" t="s">
        <v>32</v>
      </c>
    </row>
    <row r="46" ht="15.75" customHeight="1">
      <c r="C46" s="47" t="s">
        <v>42</v>
      </c>
      <c r="D46" s="52">
        <v>-1000.0</v>
      </c>
      <c r="E46" s="47" t="s">
        <v>43</v>
      </c>
      <c r="F46" s="47" t="s">
        <v>79</v>
      </c>
      <c r="H46" s="47" t="s">
        <v>70</v>
      </c>
      <c r="T46" s="47" t="s">
        <v>71</v>
      </c>
      <c r="U46" s="47" t="s">
        <v>72</v>
      </c>
      <c r="V46" s="47" t="s">
        <v>57</v>
      </c>
      <c r="W46" s="47" t="s">
        <v>56</v>
      </c>
      <c r="AN46" s="47" t="s">
        <v>40</v>
      </c>
      <c r="AP46" s="47" t="s">
        <v>70</v>
      </c>
      <c r="BE46" s="47" t="s">
        <v>71</v>
      </c>
      <c r="BQ46" s="47" t="s">
        <v>74</v>
      </c>
      <c r="BR46" s="47" t="s">
        <v>32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