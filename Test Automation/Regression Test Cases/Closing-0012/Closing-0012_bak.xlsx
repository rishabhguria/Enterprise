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AutomaticClosing" sheetId="6" r:id="rId6"/>
    <sheet name="VerifyClosedTrades" sheetId="7" r:id="rId7"/>
    <sheet name="UnwindClosing" sheetId="8" r:id="rId8"/>
    <sheet name="GetDataAllocation" sheetId="9" r:id="rId9"/>
    <sheet name="CheckAllocatedGroups" sheetId="10" r:id="rId10"/>
    <sheet name="CheckPortfolioManagement" sheetId="11" r:id="rId11"/>
    <sheet name="VerifyLongPositionsGrid" sheetId="12" r:id="rId12"/>
    <sheet name="VerifyShortPositionsGrid" sheetId="13" r:id="rId13"/>
  </sheets>
  <calcPr calcId="145621"/>
</workbook>
</file>

<file path=xl/calcChain.xml><?xml version="1.0" encoding="utf-8"?>
<calcChain xmlns="http://schemas.openxmlformats.org/spreadsheetml/2006/main">
  <c r="BK5" i="11" l="1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I4" i="11"/>
  <c r="FA4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GJ5" i="10"/>
  <c r="GB5" i="10"/>
  <c r="FT5" i="10"/>
  <c r="FL5" i="10"/>
  <c r="FD5" i="10"/>
  <c r="EV5" i="10"/>
  <c r="EN5" i="10"/>
  <c r="EF5" i="10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CC4" i="13"/>
  <c r="Q4" i="13"/>
  <c r="DK5" i="12"/>
  <c r="CM5" i="12"/>
  <c r="BP5" i="12"/>
  <c r="AT5" i="12"/>
  <c r="AB5" i="12"/>
  <c r="L5" i="12"/>
  <c r="ET4" i="12"/>
  <c r="ED4" i="12"/>
  <c r="DN4" i="12"/>
  <c r="CX4" i="12"/>
  <c r="CH4" i="12"/>
  <c r="BT4" i="12"/>
  <c r="BJ4" i="12"/>
  <c r="AZ4" i="12"/>
  <c r="AN4" i="12"/>
  <c r="AD4" i="12"/>
  <c r="T4" i="12"/>
  <c r="H4" i="12"/>
  <c r="FK5" i="11"/>
  <c r="FB5" i="11"/>
  <c r="ES5" i="11"/>
  <c r="EI5" i="11"/>
  <c r="DZ5" i="11"/>
  <c r="DQ5" i="11"/>
  <c r="DH5" i="11"/>
  <c r="CY5" i="11"/>
  <c r="CP5" i="11"/>
  <c r="CG5" i="11"/>
  <c r="BW5" i="11"/>
  <c r="BN5" i="11"/>
  <c r="BE5" i="11"/>
  <c r="AV5" i="11"/>
  <c r="AM5" i="11"/>
  <c r="AD5" i="11"/>
  <c r="U5" i="11"/>
  <c r="K5" i="11"/>
  <c r="B5" i="11"/>
  <c r="FF4" i="11"/>
  <c r="EW4" i="11"/>
  <c r="EN4" i="11"/>
  <c r="EE4" i="11"/>
  <c r="DV4" i="11"/>
  <c r="DL4" i="11"/>
  <c r="DC4" i="11"/>
  <c r="CT4" i="11"/>
  <c r="CK4" i="11"/>
  <c r="CB4" i="11"/>
  <c r="BS4" i="11"/>
  <c r="BJ4" i="11"/>
  <c r="AZ4" i="11"/>
  <c r="AQ4" i="11"/>
  <c r="AH4" i="11"/>
  <c r="Y4" i="11"/>
  <c r="P4" i="11"/>
  <c r="G4" i="11"/>
  <c r="GK5" i="10"/>
  <c r="GA5" i="10"/>
  <c r="FR5" i="10"/>
  <c r="FI5" i="10"/>
  <c r="EZ5" i="10"/>
  <c r="EQ5" i="10"/>
  <c r="EH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GF4" i="10"/>
  <c r="FX4" i="10"/>
  <c r="FP4" i="10"/>
  <c r="FH4" i="10"/>
  <c r="EZ4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GI5" i="9"/>
  <c r="GA5" i="9"/>
  <c r="FS5" i="9"/>
  <c r="FK5" i="9"/>
  <c r="FC5" i="9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BU4" i="13"/>
  <c r="I4" i="13"/>
  <c r="DF5" i="12"/>
  <c r="CH5" i="12"/>
  <c r="BO5" i="12"/>
  <c r="AR5" i="12"/>
  <c r="AA5" i="12"/>
  <c r="K5" i="12"/>
  <c r="ES4" i="12"/>
  <c r="EC4" i="12"/>
  <c r="DM4" i="12"/>
  <c r="CW4" i="12"/>
  <c r="CG4" i="12"/>
  <c r="BS4" i="12"/>
  <c r="BI4" i="12"/>
  <c r="AX4" i="12"/>
  <c r="AM4" i="12"/>
  <c r="AC4" i="12"/>
  <c r="R4" i="12"/>
  <c r="G4" i="12"/>
  <c r="FJ5" i="11"/>
  <c r="FA5" i="11"/>
  <c r="EQ5" i="11"/>
  <c r="EH5" i="11"/>
  <c r="DY5" i="11"/>
  <c r="DP5" i="11"/>
  <c r="DG5" i="11"/>
  <c r="CX5" i="11"/>
  <c r="CO5" i="11"/>
  <c r="CE5" i="11"/>
  <c r="BV5" i="11"/>
  <c r="BM5" i="11"/>
  <c r="BD5" i="11"/>
  <c r="AU5" i="11"/>
  <c r="AL5" i="11"/>
  <c r="AC5" i="11"/>
  <c r="S5" i="11"/>
  <c r="J5" i="11"/>
  <c r="A5" i="11"/>
  <c r="FE4" i="11"/>
  <c r="EV4" i="11"/>
  <c r="EM4" i="11"/>
  <c r="ED4" i="11"/>
  <c r="DT4" i="11"/>
  <c r="DK4" i="11"/>
  <c r="DB4" i="11"/>
  <c r="CS4" i="11"/>
  <c r="CJ4" i="11"/>
  <c r="CA4" i="11"/>
  <c r="BR4" i="11"/>
  <c r="BH4" i="11"/>
  <c r="AY4" i="11"/>
  <c r="AP4" i="11"/>
  <c r="AG4" i="11"/>
  <c r="X4" i="11"/>
  <c r="O4" i="11"/>
  <c r="F4" i="11"/>
  <c r="GI5" i="10"/>
  <c r="FZ5" i="10"/>
  <c r="FQ5" i="10"/>
  <c r="FH5" i="10"/>
  <c r="EY5" i="10"/>
  <c r="EP5" i="10"/>
  <c r="EG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GM4" i="10"/>
  <c r="GE4" i="10"/>
  <c r="FW4" i="10"/>
  <c r="FO4" i="10"/>
  <c r="FG4" i="10"/>
  <c r="EY4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GH5" i="9"/>
  <c r="FZ5" i="9"/>
  <c r="FR5" i="9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BM4" i="13"/>
  <c r="DC5" i="12"/>
  <c r="CF5" i="12"/>
  <c r="BJ5" i="12"/>
  <c r="AQ5" i="12"/>
  <c r="V5" i="12"/>
  <c r="F5" i="12"/>
  <c r="EN4" i="12"/>
  <c r="DX4" i="12"/>
  <c r="DH4" i="12"/>
  <c r="CR4" i="12"/>
  <c r="CB4" i="12"/>
  <c r="BR4" i="12"/>
  <c r="BH4" i="12"/>
  <c r="AV4" i="12"/>
  <c r="AL4" i="12"/>
  <c r="AB4" i="12"/>
  <c r="P4" i="12"/>
  <c r="F4" i="12"/>
  <c r="FI5" i="11"/>
  <c r="EY5" i="11"/>
  <c r="EP5" i="11"/>
  <c r="EG5" i="11"/>
  <c r="DX5" i="11"/>
  <c r="DO5" i="11"/>
  <c r="DF5" i="11"/>
  <c r="CW5" i="11"/>
  <c r="CM5" i="11"/>
  <c r="CD5" i="11"/>
  <c r="BU5" i="11"/>
  <c r="BL5" i="11"/>
  <c r="BC5" i="11"/>
  <c r="AT5" i="11"/>
  <c r="AK5" i="11"/>
  <c r="AA5" i="11"/>
  <c r="R5" i="11"/>
  <c r="I5" i="11"/>
  <c r="FM4" i="11"/>
  <c r="FD4" i="11"/>
  <c r="EU4" i="11"/>
  <c r="EL4" i="11"/>
  <c r="EB4" i="11"/>
  <c r="DS4" i="11"/>
  <c r="DJ4" i="11"/>
  <c r="DA4" i="11"/>
  <c r="CR4" i="11"/>
  <c r="CI4" i="11"/>
  <c r="BZ4" i="11"/>
  <c r="BP4" i="11"/>
  <c r="BG4" i="11"/>
  <c r="AX4" i="11"/>
  <c r="AO4" i="11"/>
  <c r="AF4" i="11"/>
  <c r="W4" i="11"/>
  <c r="N4" i="11"/>
  <c r="D4" i="11"/>
  <c r="GH5" i="10"/>
  <c r="FY5" i="10"/>
  <c r="FP5" i="10"/>
  <c r="FG5" i="10"/>
  <c r="EX5" i="10"/>
  <c r="EO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GL4" i="10"/>
  <c r="GD4" i="10"/>
  <c r="FV4" i="10"/>
  <c r="FN4" i="10"/>
  <c r="FF4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GG5" i="9"/>
  <c r="FY5" i="9"/>
  <c r="FQ5" i="9"/>
  <c r="FI5" i="9"/>
  <c r="FA5" i="9"/>
  <c r="ES5" i="9"/>
  <c r="EK5" i="9"/>
  <c r="EC5" i="9"/>
  <c r="DU5" i="9"/>
  <c r="DM5" i="9"/>
  <c r="DE5" i="9"/>
  <c r="CW5" i="9"/>
  <c r="CO5" i="9"/>
  <c r="BE4" i="13"/>
  <c r="EQ5" i="12"/>
  <c r="CX5" i="12"/>
  <c r="CE5" i="12"/>
  <c r="BH5" i="12"/>
  <c r="AL5" i="12"/>
  <c r="U5" i="12"/>
  <c r="E5" i="12"/>
  <c r="EM4" i="12"/>
  <c r="DW4" i="12"/>
  <c r="DG4" i="12"/>
  <c r="CQ4" i="12"/>
  <c r="CA4" i="12"/>
  <c r="BQ4" i="12"/>
  <c r="BF4" i="12"/>
  <c r="AU4" i="12"/>
  <c r="AK4" i="12"/>
  <c r="Z4" i="12"/>
  <c r="O4" i="12"/>
  <c r="E4" i="12"/>
  <c r="FG5" i="11"/>
  <c r="EX5" i="11"/>
  <c r="EO5" i="11"/>
  <c r="EF5" i="11"/>
  <c r="DW5" i="11"/>
  <c r="DN5" i="11"/>
  <c r="DE5" i="11"/>
  <c r="CU5" i="11"/>
  <c r="CL5" i="11"/>
  <c r="CC5" i="11"/>
  <c r="BT5" i="11"/>
  <c r="BB5" i="11"/>
  <c r="AS5" i="11"/>
  <c r="AI5" i="11"/>
  <c r="Z5" i="11"/>
  <c r="Q5" i="11"/>
  <c r="H5" i="11"/>
  <c r="FL4" i="11"/>
  <c r="FC4" i="11"/>
  <c r="ET4" i="11"/>
  <c r="EJ4" i="11"/>
  <c r="EA4" i="11"/>
  <c r="DR4" i="11"/>
  <c r="DI4" i="11"/>
  <c r="CZ4" i="11"/>
  <c r="CQ4" i="11"/>
  <c r="CH4" i="11"/>
  <c r="BX4" i="11"/>
  <c r="BO4" i="11"/>
  <c r="BF4" i="11"/>
  <c r="AW4" i="11"/>
  <c r="AN4" i="11"/>
  <c r="AE4" i="11"/>
  <c r="V4" i="11"/>
  <c r="L4" i="11"/>
  <c r="C4" i="11"/>
  <c r="GG5" i="10"/>
  <c r="FX5" i="10"/>
  <c r="FO5" i="10"/>
  <c r="FF5" i="10"/>
  <c r="EW5" i="10"/>
  <c r="EM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GK4" i="10"/>
  <c r="GC4" i="10"/>
  <c r="FU4" i="10"/>
  <c r="FM4" i="10"/>
  <c r="FE4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GF5" i="9"/>
  <c r="FX5" i="9"/>
  <c r="AW4" i="13"/>
  <c r="EI5" i="12"/>
  <c r="CV5" i="12"/>
  <c r="BZ5" i="12"/>
  <c r="BG5" i="12"/>
  <c r="AJ5" i="12"/>
  <c r="T5" i="12"/>
  <c r="D5" i="12"/>
  <c r="EL4" i="12"/>
  <c r="DV4" i="12"/>
  <c r="DF4" i="12"/>
  <c r="CP4" i="12"/>
  <c r="BZ4" i="12"/>
  <c r="BP4" i="12"/>
  <c r="BD4" i="12"/>
  <c r="AT4" i="12"/>
  <c r="AJ4" i="12"/>
  <c r="X4" i="12"/>
  <c r="N4" i="12"/>
  <c r="D4" i="12"/>
  <c r="FF5" i="11"/>
  <c r="EW5" i="11"/>
  <c r="EN5" i="11"/>
  <c r="EE5" i="11"/>
  <c r="DV5" i="11"/>
  <c r="DM5" i="11"/>
  <c r="DC5" i="11"/>
  <c r="CT5" i="11"/>
  <c r="CK5" i="11"/>
  <c r="CB5" i="11"/>
  <c r="BS5" i="11"/>
  <c r="BJ5" i="11"/>
  <c r="BA5" i="11"/>
  <c r="AQ5" i="11"/>
  <c r="AH5" i="11"/>
  <c r="Y5" i="11"/>
  <c r="P5" i="11"/>
  <c r="G5" i="11"/>
  <c r="FK4" i="11"/>
  <c r="FB4" i="11"/>
  <c r="ER4" i="11"/>
  <c r="EI4" i="11"/>
  <c r="DZ4" i="11"/>
  <c r="DQ4" i="11"/>
  <c r="DH4" i="11"/>
  <c r="CY4" i="11"/>
  <c r="CP4" i="11"/>
  <c r="CF4" i="11"/>
  <c r="BW4" i="11"/>
  <c r="BN4" i="11"/>
  <c r="BE4" i="11"/>
  <c r="AV4" i="11"/>
  <c r="AM4" i="11"/>
  <c r="AD4" i="11"/>
  <c r="T4" i="11"/>
  <c r="K4" i="11"/>
  <c r="B4" i="11"/>
  <c r="GF5" i="10"/>
  <c r="FW5" i="10"/>
  <c r="FN5" i="10"/>
  <c r="FE5" i="10"/>
  <c r="EU5" i="10"/>
  <c r="EL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GJ4" i="10"/>
  <c r="GB4" i="10"/>
  <c r="FT4" i="10"/>
  <c r="FL4" i="10"/>
  <c r="FD4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GM5" i="9"/>
  <c r="GE5" i="9"/>
  <c r="FW5" i="9"/>
  <c r="FO5" i="9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AO4" i="13"/>
  <c r="EA5" i="12"/>
  <c r="CU5" i="12"/>
  <c r="BX5" i="12"/>
  <c r="BB5" i="12"/>
  <c r="AI5" i="12"/>
  <c r="S5" i="12"/>
  <c r="C5" i="12"/>
  <c r="EK4" i="12"/>
  <c r="DU4" i="12"/>
  <c r="DE4" i="12"/>
  <c r="CO4" i="12"/>
  <c r="BY4" i="12"/>
  <c r="BN4" i="12"/>
  <c r="BC4" i="12"/>
  <c r="AS4" i="12"/>
  <c r="AH4" i="12"/>
  <c r="W4" i="12"/>
  <c r="M4" i="12"/>
  <c r="B4" i="12"/>
  <c r="FE5" i="11"/>
  <c r="EV5" i="11"/>
  <c r="EM5" i="11"/>
  <c r="ED5" i="11"/>
  <c r="DU5" i="11"/>
  <c r="DK5" i="11"/>
  <c r="DB5" i="11"/>
  <c r="CS5" i="11"/>
  <c r="CJ5" i="11"/>
  <c r="CA5" i="11"/>
  <c r="BR5" i="11"/>
  <c r="BI5" i="11"/>
  <c r="AY5" i="11"/>
  <c r="AP5" i="11"/>
  <c r="AG5" i="11"/>
  <c r="X5" i="11"/>
  <c r="O5" i="11"/>
  <c r="F5" i="11"/>
  <c r="FJ4" i="11"/>
  <c r="EZ4" i="11"/>
  <c r="EQ4" i="11"/>
  <c r="EH4" i="11"/>
  <c r="DY4" i="11"/>
  <c r="DP4" i="11"/>
  <c r="DG4" i="11"/>
  <c r="CX4" i="11"/>
  <c r="CN4" i="11"/>
  <c r="CE4" i="11"/>
  <c r="BV4" i="11"/>
  <c r="BM4" i="11"/>
  <c r="BD4" i="11"/>
  <c r="AU4" i="11"/>
  <c r="AL4" i="11"/>
  <c r="AB4" i="11"/>
  <c r="S4" i="11"/>
  <c r="J4" i="11"/>
  <c r="GE5" i="10"/>
  <c r="FV5" i="10"/>
  <c r="FM5" i="10"/>
  <c r="FC5" i="10"/>
  <c r="ET5" i="10"/>
  <c r="EK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GI4" i="10"/>
  <c r="GA4" i="10"/>
  <c r="FS4" i="10"/>
  <c r="FK4" i="10"/>
  <c r="FC4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GL5" i="9"/>
  <c r="GD5" i="9"/>
  <c r="FV5" i="9"/>
  <c r="FN5" i="9"/>
  <c r="FF5" i="9"/>
  <c r="EX5" i="9"/>
  <c r="EP5" i="9"/>
  <c r="EH5" i="9"/>
  <c r="DZ5" i="9"/>
  <c r="DR5" i="9"/>
  <c r="DJ5" i="9"/>
  <c r="DB5" i="9"/>
  <c r="CT5" i="9"/>
  <c r="AG4" i="13"/>
  <c r="DS5" i="12"/>
  <c r="CP5" i="12"/>
  <c r="BW5" i="12"/>
  <c r="AZ5" i="12"/>
  <c r="AD5" i="12"/>
  <c r="N5" i="12"/>
  <c r="EV4" i="12"/>
  <c r="EF4" i="12"/>
  <c r="DP4" i="12"/>
  <c r="CZ4" i="12"/>
  <c r="CJ4" i="12"/>
  <c r="BX4" i="12"/>
  <c r="BL4" i="12"/>
  <c r="BB4" i="12"/>
  <c r="AR4" i="12"/>
  <c r="AF4" i="12"/>
  <c r="V4" i="12"/>
  <c r="L4" i="12"/>
  <c r="FM5" i="11"/>
  <c r="FD5" i="11"/>
  <c r="EU5" i="11"/>
  <c r="EL5" i="11"/>
  <c r="EC5" i="11"/>
  <c r="DS5" i="11"/>
  <c r="DJ5" i="11"/>
  <c r="DA5" i="11"/>
  <c r="CR5" i="11"/>
  <c r="CI5" i="11"/>
  <c r="BZ5" i="11"/>
  <c r="BQ5" i="11"/>
  <c r="BG5" i="11"/>
  <c r="AX5" i="11"/>
  <c r="AO5" i="11"/>
  <c r="AF5" i="11"/>
  <c r="W5" i="11"/>
  <c r="N5" i="11"/>
  <c r="E5" i="11"/>
  <c r="FH4" i="11"/>
  <c r="EY4" i="11"/>
  <c r="EP4" i="11"/>
  <c r="EG4" i="11"/>
  <c r="DX4" i="11"/>
  <c r="DO4" i="11"/>
  <c r="DF4" i="11"/>
  <c r="CV4" i="11"/>
  <c r="CM4" i="11"/>
  <c r="CD4" i="11"/>
  <c r="BU4" i="11"/>
  <c r="BL4" i="11"/>
  <c r="BC4" i="11"/>
  <c r="AT4" i="11"/>
  <c r="AJ4" i="11"/>
  <c r="AA4" i="11"/>
  <c r="R4" i="11"/>
  <c r="I4" i="11"/>
  <c r="GM5" i="10"/>
  <c r="GD5" i="10"/>
  <c r="FU5" i="10"/>
  <c r="FK5" i="10"/>
  <c r="FB5" i="10"/>
  <c r="ES5" i="10"/>
  <c r="EJ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GH4" i="10"/>
  <c r="FZ4" i="10"/>
  <c r="FR4" i="10"/>
  <c r="FJ4" i="10"/>
  <c r="FB4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GK5" i="9"/>
  <c r="GC5" i="9"/>
  <c r="FU5" i="9"/>
  <c r="FM5" i="9"/>
  <c r="FE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Y4" i="13"/>
  <c r="DN5" i="12"/>
  <c r="CN5" i="12"/>
  <c r="BR5" i="12"/>
  <c r="AY5" i="12"/>
  <c r="AC5" i="12"/>
  <c r="M5" i="12"/>
  <c r="EU4" i="12"/>
  <c r="EE4" i="12"/>
  <c r="DO4" i="12"/>
  <c r="CY4" i="12"/>
  <c r="CI4" i="12"/>
  <c r="BV4" i="12"/>
  <c r="BK4" i="12"/>
  <c r="BA4" i="12"/>
  <c r="AP4" i="12"/>
  <c r="AE4" i="12"/>
  <c r="U4" i="12"/>
  <c r="J4" i="12"/>
  <c r="FL5" i="11"/>
  <c r="FC5" i="11"/>
  <c r="ET5" i="11"/>
  <c r="EK5" i="11"/>
  <c r="EA5" i="11"/>
  <c r="DR5" i="11"/>
  <c r="DI5" i="11"/>
  <c r="CZ5" i="11"/>
  <c r="CQ5" i="11"/>
  <c r="CH5" i="11"/>
  <c r="BY5" i="11"/>
  <c r="BO5" i="11"/>
  <c r="BF5" i="11"/>
  <c r="AW5" i="11"/>
  <c r="AN5" i="11"/>
  <c r="AE5" i="11"/>
  <c r="V5" i="11"/>
  <c r="M5" i="11"/>
  <c r="C5" i="11"/>
  <c r="FG4" i="11"/>
  <c r="EX4" i="11"/>
  <c r="EO4" i="11"/>
  <c r="EF4" i="11"/>
  <c r="DW4" i="11"/>
  <c r="DN4" i="11"/>
  <c r="DD4" i="11"/>
  <c r="CU4" i="11"/>
  <c r="CL4" i="11"/>
  <c r="CC4" i="11"/>
  <c r="BT4" i="11"/>
  <c r="BK4" i="11"/>
  <c r="BB4" i="11"/>
  <c r="AR4" i="11"/>
  <c r="AI4" i="11"/>
  <c r="Z4" i="11"/>
  <c r="Q4" i="11"/>
  <c r="H4" i="11"/>
  <c r="GL5" i="10"/>
  <c r="GC5" i="10"/>
  <c r="FS5" i="10"/>
  <c r="FJ5" i="10"/>
  <c r="FA5" i="10"/>
  <c r="ER5" i="10"/>
  <c r="EI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GG4" i="10"/>
  <c r="FY4" i="10"/>
  <c r="FQ4" i="10"/>
  <c r="FI4" i="10"/>
  <c r="FA4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GJ5" i="9"/>
  <c r="GB5" i="9"/>
  <c r="FT5" i="9"/>
  <c r="FL5" i="9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FP5" i="9"/>
  <c r="DD5" i="9"/>
  <c r="BX5" i="9"/>
  <c r="BA5" i="9"/>
  <c r="AK5" i="9"/>
  <c r="Z5" i="9"/>
  <c r="P5" i="9"/>
  <c r="H5" i="9"/>
  <c r="GM4" i="9"/>
  <c r="GE4" i="9"/>
  <c r="FW4" i="9"/>
  <c r="FO4" i="9"/>
  <c r="FG4" i="9"/>
  <c r="EY4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FH5" i="9"/>
  <c r="CV5" i="9"/>
  <c r="BV5" i="9"/>
  <c r="AZ5" i="9"/>
  <c r="AJ5" i="9"/>
  <c r="Y5" i="9"/>
  <c r="O5" i="9"/>
  <c r="G5" i="9"/>
  <c r="GL4" i="9"/>
  <c r="GD4" i="9"/>
  <c r="FV4" i="9"/>
  <c r="FN4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EZ5" i="9"/>
  <c r="CN5" i="9"/>
  <c r="BQ5" i="9"/>
  <c r="AX5" i="9"/>
  <c r="AH5" i="9"/>
  <c r="X5" i="9"/>
  <c r="N5" i="9"/>
  <c r="F5" i="9"/>
  <c r="GK4" i="9"/>
  <c r="GC4" i="9"/>
  <c r="FU4" i="9"/>
  <c r="FM4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ER5" i="9"/>
  <c r="CL5" i="9"/>
  <c r="BP5" i="9"/>
  <c r="AS5" i="9"/>
  <c r="AG5" i="9"/>
  <c r="V5" i="9"/>
  <c r="M5" i="9"/>
  <c r="E5" i="9"/>
  <c r="GJ4" i="9"/>
  <c r="GB4" i="9"/>
  <c r="FT4" i="9"/>
  <c r="FL4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EJ5" i="9"/>
  <c r="CG5" i="9"/>
  <c r="BN5" i="9"/>
  <c r="AR5" i="9"/>
  <c r="AF5" i="9"/>
  <c r="U5" i="9"/>
  <c r="L5" i="9"/>
  <c r="D5" i="9"/>
  <c r="GI4" i="9"/>
  <c r="GA4" i="9"/>
  <c r="FS4" i="9"/>
  <c r="FK4" i="9"/>
  <c r="FC4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EB5" i="9"/>
  <c r="CF5" i="9"/>
  <c r="BI5" i="9"/>
  <c r="AP5" i="9"/>
  <c r="AD5" i="9"/>
  <c r="T5" i="9"/>
  <c r="K5" i="9"/>
  <c r="C5" i="9"/>
  <c r="GH4" i="9"/>
  <c r="FZ4" i="9"/>
  <c r="FR4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DT5" i="9"/>
  <c r="CD5" i="9"/>
  <c r="BH5" i="9"/>
  <c r="AO5" i="9"/>
  <c r="AC5" i="9"/>
  <c r="R5" i="9"/>
  <c r="J5" i="9"/>
  <c r="B5" i="9"/>
  <c r="GG4" i="9"/>
  <c r="FY4" i="9"/>
  <c r="FQ4" i="9"/>
  <c r="FI4" i="9"/>
  <c r="FA4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DL5" i="9"/>
  <c r="BY5" i="9"/>
  <c r="BF5" i="9"/>
  <c r="AL5" i="9"/>
  <c r="AB5" i="9"/>
  <c r="Q5" i="9"/>
  <c r="I5" i="9"/>
  <c r="A5" i="9"/>
  <c r="GF4" i="9"/>
  <c r="FX4" i="9"/>
  <c r="FP4" i="9"/>
  <c r="FH4" i="9"/>
  <c r="EZ4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AU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AM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E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AA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W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S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O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F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E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D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D815" i="3"/>
  <c r="E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C815" i="3"/>
  <c r="D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I814" i="3"/>
  <c r="C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H814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G814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A814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L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K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H731" i="3"/>
  <c r="H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G731" i="3"/>
  <c r="G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L730" i="3"/>
  <c r="F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K730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J730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D730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C730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B730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E645" i="3"/>
  <c r="E644" i="3"/>
  <c r="D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D645" i="3"/>
  <c r="A644" i="3"/>
  <c r="C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C645" i="3"/>
  <c r="L643" i="3"/>
  <c r="B643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A645" i="3"/>
  <c r="K643" i="3"/>
  <c r="A643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I644" i="3"/>
  <c r="J643" i="3"/>
  <c r="L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H644" i="3"/>
  <c r="I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G644" i="3"/>
  <c r="H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F644" i="3"/>
  <c r="E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L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K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J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H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D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B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135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C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G717" i="1"/>
  <c r="G716" i="1"/>
  <c r="J715" i="1"/>
  <c r="A715" i="1"/>
  <c r="D714" i="1"/>
  <c r="G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F717" i="1"/>
  <c r="F716" i="1"/>
  <c r="I715" i="1"/>
  <c r="L714" i="1"/>
  <c r="C714" i="1"/>
  <c r="F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C717" i="1"/>
  <c r="E716" i="1"/>
  <c r="H715" i="1"/>
  <c r="K714" i="1"/>
  <c r="B714" i="1"/>
  <c r="E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B717" i="1"/>
  <c r="D716" i="1"/>
  <c r="G715" i="1"/>
  <c r="J714" i="1"/>
  <c r="A714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L716" i="1"/>
  <c r="C716" i="1"/>
  <c r="F715" i="1"/>
  <c r="I714" i="1"/>
  <c r="K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K716" i="1"/>
  <c r="B716" i="1"/>
  <c r="E715" i="1"/>
  <c r="G714" i="1"/>
  <c r="J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J716" i="1"/>
  <c r="A716" i="1"/>
  <c r="C715" i="1"/>
  <c r="F714" i="1"/>
  <c r="I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I716" i="1"/>
  <c r="K715" i="1"/>
  <c r="B715" i="1"/>
  <c r="E714" i="1"/>
  <c r="H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J549" i="1"/>
  <c r="B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C549" i="1"/>
  <c r="A547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B549" i="1"/>
  <c r="L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G548" i="1"/>
  <c r="K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548" i="1"/>
  <c r="J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K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J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C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F377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B377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J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F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G8" i="1"/>
  <c r="C207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C7" i="1"/>
  <c r="B207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K7" i="1"/>
  <c r="A207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K5" i="1"/>
  <c r="J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K9" i="1"/>
  <c r="G4" i="1"/>
  <c r="I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11" i="1"/>
  <c r="C5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G10" i="1"/>
  <c r="C9" i="1"/>
  <c r="G6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B4" i="1"/>
  <c r="J2" i="12" l="1"/>
  <c r="J2" i="13"/>
  <c r="J2" i="10"/>
  <c r="J2" i="11"/>
  <c r="J2" i="9"/>
  <c r="J2" i="7"/>
  <c r="J2" i="8"/>
  <c r="J2" i="5"/>
  <c r="J2" i="6"/>
  <c r="J2" i="4"/>
</calcChain>
</file>

<file path=xl/sharedStrings.xml><?xml version="1.0" encoding="utf-8"?>
<sst xmlns="http://schemas.openxmlformats.org/spreadsheetml/2006/main" count="171" uniqueCount="43">
  <si>
    <t>Modules Info</t>
  </si>
  <si>
    <t>Master Data Info</t>
  </si>
  <si>
    <t>Settings</t>
  </si>
  <si>
    <t>Module Step Setting File</t>
  </si>
  <si>
    <t>Modules</t>
  </si>
  <si>
    <t>Module</t>
  </si>
  <si>
    <t>1ME5nnmNmgGcG-gtQosTv7DydLzJUA3iWN2GBgspatg8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</si>
  <si>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</si>
  <si>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</si>
  <si>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</si>
  <si>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</si>
  <si>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</si>
  <si>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</si>
  <si>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</si>
  <si>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</si>
  <si>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</si>
  <si>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</si>
  <si>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</si>
  <si>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</si>
  <si>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</si>
  <si>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</si>
  <si>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</si>
  <si>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Historical</t>
  </si>
  <si>
    <t>AutomaticClosing</t>
  </si>
  <si>
    <t>HIFO</t>
  </si>
  <si>
    <t>None</t>
  </si>
  <si>
    <t>UnitCost</t>
  </si>
  <si>
    <t>VerifyClosedTrades</t>
  </si>
  <si>
    <t>Long</t>
  </si>
  <si>
    <t>UnwindClosing</t>
  </si>
  <si>
    <t>Strategy Unallocated</t>
  </si>
  <si>
    <t>Equity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</si>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</sst>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14" fontId="4" fillId="0" borderId="0" xfId="0" applyNumberFormat="1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14" fontId="5" fillId="0" borderId="0" xfId="0" applyNumberFormat="1" applyFont="1" applyAlignment="1"/>
    <xf numFmtId="14" fontId="4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3" fillId="0" borderId="0" xfId="0" applyNumberFormat="1" applyFont="1"/>
    <xf numFmtId="0" fontId="4" fillId="0" borderId="5" xfId="0" applyFont="1" applyBorder="1" applyAlignment="1"/>
    <xf numFmtId="0" fontId="4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44" t="s">
        <v>0</v>
      </c>
      <c r="B1" s="45"/>
      <c r="C1" s="45"/>
      <c r="D1" s="45"/>
      <c r="E1" s="45"/>
      <c r="F1" s="46"/>
    </row>
    <row r="2" spans="1:12" ht="15.75" customHeight="1" x14ac:dyDescent="0.2">
      <c r="A2" s="2"/>
      <c r="B2" s="2"/>
      <c r="C2" s="2"/>
      <c r="D2" s="2"/>
      <c r="E2" s="2"/>
      <c r="F2" s="2"/>
    </row>
    <row r="3" spans="1:12" ht="15.75" customHeight="1" x14ac:dyDescent="0.2">
      <c r="A3" s="3" t="s">
        <v>4</v>
      </c>
      <c r="B3" s="6"/>
      <c r="C3" s="8"/>
      <c r="D3" s="8"/>
      <c r="E3" s="8"/>
      <c r="F3" s="8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IFERROR(__xludf.DUMMYFUNCTION("""COMPUTED_VALUE"""),"1g8wLprruaWRC_5pQcovqkv8ZCiMt5fspCOACibdkz7g")</f>
        <v>1g8wLprruaWRC_5pQcovqkv8ZCiMt5fspCOACibdkz7g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IFERROR(__xludf.DUMMYFUNCTION("""COMPUTED_VALUE"""),"1aecq-HMDoDkIInONjPC11z5TBFHyJhv4ro66e2ZOphg")</f>
        <v>1aecq-HMDoDkIInONjPC11z5TBFHyJhv4ro66e2ZOphg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IFERROR(__xludf.DUMMYFUNCTION("""COMPUTED_VALUE"""),"1eDZq-_vllq4jwvwpk9qGnwQUhlb-sFvyFKPBriT2dA0")</f>
        <v>1eDZq-_vllq4jwvwpk9qGnwQUhlb-sFvyFKPBriT2dA0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IFERROR(__xludf.DUMMYFUNCTION("""COMPUTED_VALUE"""),"1FBTO3wCB7odq-jpQMbYHgSrAL5-rFO2_kp9Kr2iXqXE")</f>
        <v>1FBTO3wCB7odq-jpQMbYHgSrAL5-rFO2_kp9Kr2iXqXE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IFERROR(__xludf.DUMMYFUNCTION("""COMPUTED_VALUE"""),"1G0ZkXDrIDX_loGmAyLs_Shy8hExtTELtFXERbX-HdPo")</f>
        <v>1G0ZkXDrIDX_loGmAyLs_Shy8hExtTELtFXERbX-HdPo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IFERROR(__xludf.DUMMYFUNCTION("""COMPUTED_VALUE"""),"1YgVZ1jEVgjUF1Dp8FAj_W_zLEZCyqvNMlWJIg0Tmkq4")</f>
        <v>1YgVZ1jEVgjUF1Dp8FAj_W_zLEZCyqvNMlWJIg0Tmkq4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IFERROR(__xludf.DUMMYFUNCTION("""COMPUTED_VALUE"""),"1MyB61T39MDAUyQqCUJLATzUT2f5UlE8nFq4ltWy_DJ4")</f>
        <v>1MyB61T39MDAUyQqCUJLATzUT2f5UlE8nFq4ltWy_DJ4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IFERROR(__xludf.DUMMYFUNCTION("""COMPUTED_VALUE"""),"16qheLbvgC92hKxalWDlpWfHBMyDDVqHERUCc7bQiO2A")</f>
        <v>16qheLbvgC92hKxalWDlpWfHBMyDDVqHERUCc7bQiO2A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IFERROR(__xludf.DUMMYFUNCTION("""COMPUTED_VALUE"""),"1zLd3ju-mV8f6PZiQUYLU-cAgAUwLwyoIAKuu0WgG2zI")</f>
        <v>1zLd3ju-mV8f6PZiQUYLU-cAgAUwLwyoIAKuu0WgG2zI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IFERROR(__xludf.DUMMYFUNCTION("""COMPUTED_VALUE"""),"1sjDsI5FIL_l_G6osMJQ7e8auBgYd3R3JDaKWKV_8Og0")</f>
        <v>1sjDsI5FIL_l_G6osMJQ7e8auBgYd3R3JDaKWKV_8Og0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IFERROR(__xludf.DUMMYFUNCTION("""COMPUTED_VALUE"""),"1xn1P_Z-3N4d2BC1SUPly2HiVZazly5ZQcS18BfaTyho")</f>
        <v>1xn1P_Z-3N4d2BC1SUPly2HiVZazly5ZQcS18BfaTyho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IFERROR(__xludf.DUMMYFUNCTION("""COMPUTED_VALUE"""),"1vlvYPsiFAWjsnFrbkGn_fAvkwF00V3e7htalalU6QN4")</f>
        <v>1vlvYPsiFAWjsnFrbkGn_fAvkwF00V3e7htalalU6QN4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IFERROR(__xludf.DUMMYFUNCTION("""COMPUTED_VALUE"""),"1o2rCg2FuoAOT5Pl8i4iFP_TwpPm0UB1dd49GbpkytfM")</f>
        <v>1o2rCg2FuoAOT5Pl8i4iFP_TwpPm0UB1dd49GbpkytfM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IFERROR(__xludf.DUMMYFUNCTION("""COMPUTED_VALUE"""),"1_v2niCJ9VGNvgEBpvz030BFqEISSUhYRHyWcAJAn_Eg")</f>
        <v>1_v2niCJ9VGNvgEBpvz030BFqEISSUhYRHyWcAJAn_Eg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IFERROR(__xludf.DUMMYFUNCTION("""COMPUTED_VALUE"""),"1hsRs1-LY0akTrMe91ArnbLtk6GUy_bKxVwMYCaiMs-8")</f>
        <v>1hsRs1-LY0akTrMe91ArnbLtk6GUy_bKxVwMYCaiMs-8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IFERROR(__xludf.DUMMYFUNCTION("""COMPUTED_VALUE"""),"14rwUHTx4auE_hf60WN-tNOx3atNg7QGvErWNwVQIRqE")</f>
        <v>14rwUHTx4auE_hf60WN-tNOx3atNg7QGvErWNwVQIRqE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IFERROR(__xludf.DUMMYFUNCTION("""COMPUTED_VALUE"""),"1amshi8Ns36lsDpccBK0y_9bL_pQ2rHdGNYypcgzceUg")</f>
        <v>1amshi8Ns36lsDpccBK0y_9bL_pQ2rHdGNYypcgzceUg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IFERROR(__xludf.DUMMYFUNCTION("""COMPUTED_VALUE"""),"1YKttwHsdIskNDoo0Sl7HF2DWikROW-KA05qfT3GLIyI")</f>
        <v>1YKttwHsdIskNDoo0Sl7HF2DWikROW-KA05qfT3GLIyI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IFERROR(__xludf.DUMMYFUNCTION("""COMPUTED_VALUE"""),"1YJ2rTp-OqQTGjubvs_cBC6fl0l94pyHI2eaLJzbddS4")</f>
        <v>1YJ2rTp-OqQTGjubvs_cBC6fl0l94pyHI2eaLJzbddS4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IFERROR(__xludf.DUMMYFUNCTION("""COMPUTED_VALUE"""),"1mLyEfNTVFd65cnE6GfgCRD6TdpKg1BgqNIDjHCFzyO4")</f>
        <v>1mLyEfNTVFd65cnE6GfgCRD6TdpKg1BgqNIDjHCFzyO4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IFERROR(__xludf.DUMMYFUNCTION("""COMPUTED_VALUE"""),"1M8d9TyOhMnA65NSIYvS6dR68SH5RL6oKahd6uz7yp6c")</f>
        <v>1M8d9TyOhMnA65NSIYvS6dR68SH5RL6oKahd6uz7yp6c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IFERROR(__xludf.DUMMYFUNCTION("""COMPUTED_VALUE"""),"1Q5uOVYo1NMRks6hQRJuV8XWMPb6VFEAbSzpgP1dot1I")</f>
        <v>1Q5uOVYo1NMRks6hQRJuV8XWMPb6VFEAbSzpgP1dot1I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IFERROR(__xludf.DUMMYFUNCTION("""COMPUTED_VALUE"""),"1iqfUyYqyebXIeNBGljH7-T8whBcywTlkBBU3dBZV06s")</f>
        <v>1iqfUyYqyebXIeNBGljH7-T8whBcywTlkBBU3dBZV06s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IFERROR(__xludf.DUMMYFUNCTION("""COMPUTED_VALUE"""),"1u0XMlZJy_Slp7uXMwirinW7StOOdTcWD-D8V07sO0VA")</f>
        <v>1u0XMlZJy_Slp7uXMwirinW7StOOdTcWD-D8V07sO0VA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IFERROR(__xludf.DUMMYFUNCTION("""COMPUTED_VALUE"""),"1mh3Z5PifhJ3yzX8TPeoc3H3nteNiA0V2tWFse0rVChE")</f>
        <v>1mh3Z5PifhJ3yzX8TPeoc3H3nteNiA0V2tWFse0rVChE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IFERROR(__xludf.DUMMYFUNCTION("""COMPUTED_VALUE"""),"1vmZ6v1OyZ8SSi8bqqjK3ap3KtM_yPA_SEcIQgYiRInY")</f>
        <v>1vmZ6v1OyZ8SSi8bqqjK3ap3KtM_yPA_SEcIQgYiRInY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IFERROR(__xludf.DUMMYFUNCTION("""COMPUTED_VALUE"""),"1OiI1Pi_JAFOFi8ByMaD3_qqEXSv6yQMo_u6aGTozbl8")</f>
        <v>1OiI1Pi_JAFOFi8ByMaD3_qqEXSv6yQMo_u6aGTozbl8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IFERROR(__xludf.DUMMYFUNCTION("""COMPUTED_VALUE"""),"1ubfvE9sHq5KpJ9NazeH96CrVMJqAuol5Ya9GPjxWrgI")</f>
        <v>1ubfvE9sHq5KpJ9NazeH96CrVMJqAuol5Ya9GPjxWrgI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2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7" t="s">
        <v>2</v>
      </c>
      <c r="B1" s="45"/>
      <c r="C1" s="46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3</v>
      </c>
      <c r="B3" s="5" t="s">
        <v>6</v>
      </c>
      <c r="C3" s="1"/>
    </row>
    <row r="4" spans="1:3" ht="15.75" customHeight="1" x14ac:dyDescent="0.2">
      <c r="A4" s="4" t="s">
        <v>8</v>
      </c>
      <c r="B4" s="5" t="s">
        <v>9</v>
      </c>
      <c r="C4" s="1"/>
    </row>
    <row r="5" spans="1:3" ht="15.75" customHeight="1" x14ac:dyDescent="0.2">
      <c r="A5" s="7"/>
      <c r="B5" s="1"/>
      <c r="C5" s="1"/>
    </row>
    <row r="6" spans="1:3" ht="15.75" customHeight="1" x14ac:dyDescent="0.2">
      <c r="A6" s="7"/>
      <c r="B6" s="1"/>
      <c r="C6" s="1"/>
    </row>
    <row r="7" spans="1:3" ht="15.75" customHeight="1" x14ac:dyDescent="0.2">
      <c r="A7" s="7"/>
      <c r="B7" s="1"/>
      <c r="C7" s="1"/>
    </row>
    <row r="8" spans="1:3" ht="15.75" customHeight="1" x14ac:dyDescent="0.2">
      <c r="A8" s="7"/>
      <c r="B8" s="1"/>
      <c r="C8" s="1"/>
    </row>
    <row r="9" spans="1:3" ht="15.75" customHeight="1" x14ac:dyDescent="0.2">
      <c r="A9" s="7"/>
      <c r="B9" s="1"/>
      <c r="C9" s="1"/>
    </row>
    <row r="10" spans="1:3" ht="15.75" customHeight="1" x14ac:dyDescent="0.2">
      <c r="A10" s="7"/>
      <c r="B10" s="1"/>
      <c r="C10" s="1"/>
    </row>
    <row r="11" spans="1:3" ht="15.75" customHeight="1" x14ac:dyDescent="0.2">
      <c r="A11" s="7"/>
      <c r="B11" s="1"/>
      <c r="C11" s="1"/>
    </row>
    <row r="12" spans="1:3" ht="15.75" customHeight="1" x14ac:dyDescent="0.2">
      <c r="A12" s="7"/>
      <c r="B12" s="1"/>
      <c r="C12" s="1"/>
    </row>
    <row r="13" spans="1:3" ht="15.75" customHeight="1" x14ac:dyDescent="0.2">
      <c r="A13" s="7"/>
      <c r="B13" s="1"/>
      <c r="C13" s="1"/>
    </row>
    <row r="14" spans="1:3" ht="15.75" customHeight="1" x14ac:dyDescent="0.2">
      <c r="A14" s="7"/>
      <c r="B14" s="1"/>
      <c r="C14" s="1"/>
    </row>
    <row r="15" spans="1:3" ht="15.75" customHeight="1" x14ac:dyDescent="0.2">
      <c r="A15" s="7"/>
      <c r="B15" s="1"/>
      <c r="C15" s="1"/>
    </row>
    <row r="16" spans="1:3" ht="15.75" customHeight="1" x14ac:dyDescent="0.2">
      <c r="A16" s="7"/>
      <c r="B16" s="1"/>
      <c r="C16" s="1"/>
    </row>
    <row r="17" spans="1:3" ht="15.75" customHeight="1" x14ac:dyDescent="0.2">
      <c r="A17" s="7"/>
      <c r="B17" s="1"/>
      <c r="C17" s="1"/>
    </row>
    <row r="18" spans="1:3" ht="15.75" customHeight="1" x14ac:dyDescent="0.2">
      <c r="A18" s="7"/>
      <c r="B18" s="1"/>
      <c r="C18" s="1"/>
    </row>
    <row r="19" spans="1:3" ht="15.75" customHeight="1" x14ac:dyDescent="0.2">
      <c r="A19" s="7"/>
      <c r="B19" s="1"/>
      <c r="C19" s="1"/>
    </row>
    <row r="20" spans="1:3" ht="15.75" customHeight="1" x14ac:dyDescent="0.2">
      <c r="A20" s="7"/>
      <c r="B20" s="1"/>
      <c r="C20" s="1"/>
    </row>
    <row r="21" spans="1:3" ht="15.75" customHeight="1" x14ac:dyDescent="0.2">
      <c r="A21" s="7"/>
      <c r="B21" s="1"/>
      <c r="C21" s="1"/>
    </row>
    <row r="22" spans="1:3" ht="15.75" customHeight="1" x14ac:dyDescent="0.2">
      <c r="A22" s="7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4" t="s">
        <v>1</v>
      </c>
      <c r="B1" s="45"/>
      <c r="C1" s="45"/>
      <c r="D1" s="45"/>
      <c r="E1" s="45"/>
      <c r="F1" s="46"/>
    </row>
    <row r="2" spans="1:26" ht="15" customHeight="1" x14ac:dyDescent="0.2">
      <c r="A2" s="2"/>
      <c r="B2" s="2"/>
      <c r="C2" s="2"/>
      <c r="D2" s="2"/>
      <c r="E2" s="2"/>
      <c r="F2" s="2"/>
    </row>
    <row r="3" spans="1:26" ht="15" customHeight="1" x14ac:dyDescent="0.2">
      <c r="A3" s="4" t="s">
        <v>5</v>
      </c>
      <c r="B3" s="9" t="s">
        <v>7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1b5S4Xpp4fgZ1ez6cK92QFnVBylqz8jhwxdAyEvwDqUI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12</v>
      </c>
      <c r="D3" s="3" t="s">
        <v>7</v>
      </c>
      <c r="E3" s="16" t="s">
        <v>13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4" t="s">
        <v>16</v>
      </c>
      <c r="C6" s="25" t="s">
        <v>17</v>
      </c>
      <c r="D6" s="26">
        <v>120</v>
      </c>
      <c r="E6" s="27"/>
      <c r="F6" s="25" t="s">
        <v>18</v>
      </c>
      <c r="G6" s="27"/>
      <c r="H6" s="27"/>
      <c r="I6" s="27"/>
      <c r="J6" s="28">
        <v>12</v>
      </c>
      <c r="K6" s="27"/>
      <c r="L6" s="27"/>
      <c r="M6" s="27"/>
      <c r="N6" s="29">
        <v>42786</v>
      </c>
      <c r="O6" s="1"/>
    </row>
    <row r="7" spans="1:154" ht="15.75" customHeight="1" x14ac:dyDescent="0.2">
      <c r="A7" s="1"/>
      <c r="B7" s="24" t="s">
        <v>16</v>
      </c>
      <c r="C7" s="25" t="s">
        <v>19</v>
      </c>
      <c r="D7" s="30">
        <v>100</v>
      </c>
      <c r="E7" s="27"/>
      <c r="F7" s="25" t="s">
        <v>18</v>
      </c>
      <c r="G7" s="27"/>
      <c r="H7" s="27"/>
      <c r="I7" s="27"/>
      <c r="J7" s="28">
        <v>12</v>
      </c>
      <c r="K7" s="27"/>
      <c r="L7" s="27"/>
      <c r="M7" s="27"/>
      <c r="N7" s="29">
        <v>42788</v>
      </c>
      <c r="O7" s="1"/>
    </row>
    <row r="8" spans="1:154" ht="15.75" customHeight="1" x14ac:dyDescent="0.2">
      <c r="A8" s="1"/>
      <c r="B8" s="24" t="s">
        <v>16</v>
      </c>
      <c r="C8" s="25" t="s">
        <v>17</v>
      </c>
      <c r="D8" s="28">
        <v>120</v>
      </c>
      <c r="E8" s="27"/>
      <c r="F8" s="25" t="s">
        <v>18</v>
      </c>
      <c r="G8" s="27"/>
      <c r="H8" s="27"/>
      <c r="I8" s="27"/>
      <c r="J8" s="28">
        <v>13</v>
      </c>
      <c r="K8" s="27"/>
      <c r="L8" s="27"/>
      <c r="M8" s="27"/>
      <c r="N8" s="29">
        <v>42787</v>
      </c>
      <c r="O8" s="1"/>
    </row>
    <row r="9" spans="1:154" ht="15.75" customHeight="1" x14ac:dyDescent="0.2">
      <c r="A9" s="1"/>
      <c r="B9" s="24" t="s">
        <v>16</v>
      </c>
      <c r="C9" s="25" t="s">
        <v>17</v>
      </c>
      <c r="D9" s="28">
        <v>120</v>
      </c>
      <c r="E9" s="27"/>
      <c r="F9" s="25" t="s">
        <v>18</v>
      </c>
      <c r="G9" s="27"/>
      <c r="H9" s="27"/>
      <c r="I9" s="27"/>
      <c r="J9" s="28">
        <v>15</v>
      </c>
      <c r="K9" s="27"/>
      <c r="L9" s="27"/>
      <c r="M9" s="27"/>
      <c r="N9" s="29">
        <v>42788</v>
      </c>
      <c r="O9" s="1"/>
    </row>
    <row r="10" spans="1:154" ht="15.75" customHeight="1" x14ac:dyDescent="0.2">
      <c r="A10" s="1"/>
      <c r="B10" s="24" t="s">
        <v>16</v>
      </c>
      <c r="C10" s="25" t="s">
        <v>19</v>
      </c>
      <c r="D10" s="30">
        <v>100</v>
      </c>
      <c r="E10" s="27"/>
      <c r="F10" s="25" t="s">
        <v>18</v>
      </c>
      <c r="G10" s="27"/>
      <c r="H10" s="27"/>
      <c r="I10" s="27"/>
      <c r="J10" s="28">
        <v>12</v>
      </c>
      <c r="K10" s="27"/>
      <c r="L10" s="27"/>
      <c r="M10" s="27"/>
      <c r="N10" s="31">
        <v>42786</v>
      </c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20</v>
      </c>
      <c r="D3" s="3" t="s">
        <v>7</v>
      </c>
      <c r="E3" s="16" t="s">
        <v>21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3" t="s">
        <v>22</v>
      </c>
      <c r="C6" s="31">
        <v>42786</v>
      </c>
      <c r="D6" s="31">
        <v>42788</v>
      </c>
      <c r="E6" s="25" t="s">
        <v>18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str">
        <f ca="1">VLOOKUP($E$3,_MasterData!B4:D1000,3,FALSE)</f>
        <v>1zwv-aZp-DRCpq8bqLR0XRiyt0av-GAm0ORqbhnV-FKI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20</v>
      </c>
      <c r="D3" s="3" t="s">
        <v>7</v>
      </c>
      <c r="E3" s="16" t="s">
        <v>23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b">
        <v>0</v>
      </c>
      <c r="C6" s="5" t="b">
        <v>0</v>
      </c>
      <c r="D6" s="5" t="s">
        <v>24</v>
      </c>
      <c r="E6" s="5" t="s">
        <v>25</v>
      </c>
      <c r="F6" s="5" t="s">
        <v>26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20</v>
      </c>
      <c r="D3" s="3" t="s">
        <v>7</v>
      </c>
      <c r="E3" s="16" t="s">
        <v>27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C6" s="34">
        <v>42786</v>
      </c>
      <c r="D6" s="25" t="s">
        <v>18</v>
      </c>
      <c r="E6" s="35"/>
      <c r="F6" s="27"/>
      <c r="G6" s="27"/>
      <c r="H6" s="24" t="s">
        <v>16</v>
      </c>
      <c r="I6" s="30">
        <v>100</v>
      </c>
      <c r="J6" s="28">
        <v>12</v>
      </c>
      <c r="K6" s="28">
        <v>12</v>
      </c>
      <c r="L6" s="27"/>
      <c r="M6" s="27"/>
      <c r="N6" s="27"/>
      <c r="O6" s="25" t="s">
        <v>28</v>
      </c>
      <c r="P6" s="27"/>
      <c r="Q6" s="27" t="s">
        <v>19</v>
      </c>
      <c r="R6" s="36" t="s">
        <v>24</v>
      </c>
    </row>
    <row r="7" spans="1:154" ht="15.75" customHeight="1" x14ac:dyDescent="0.2">
      <c r="A7" s="1"/>
      <c r="C7" s="34">
        <v>42788</v>
      </c>
      <c r="D7" s="25" t="s">
        <v>18</v>
      </c>
      <c r="E7" s="27"/>
      <c r="F7" s="27"/>
      <c r="G7" s="27"/>
      <c r="H7" s="24" t="s">
        <v>16</v>
      </c>
      <c r="I7" s="30">
        <v>100</v>
      </c>
      <c r="J7" s="28">
        <v>15</v>
      </c>
      <c r="K7" s="28">
        <v>12</v>
      </c>
      <c r="L7" s="27"/>
      <c r="M7" s="27"/>
      <c r="N7" s="27"/>
      <c r="O7" s="25" t="s">
        <v>28</v>
      </c>
      <c r="P7" s="27"/>
      <c r="Q7" s="27" t="s">
        <v>19</v>
      </c>
      <c r="R7" s="36" t="s">
        <v>24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20</v>
      </c>
      <c r="D3" s="3" t="s">
        <v>7</v>
      </c>
      <c r="E3" s="16" t="s">
        <v>29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31">
        <v>42786</v>
      </c>
      <c r="D6" s="33" t="s">
        <v>18</v>
      </c>
      <c r="E6" s="25" t="s">
        <v>30</v>
      </c>
      <c r="F6" s="25" t="s">
        <v>28</v>
      </c>
      <c r="G6" s="25" t="s">
        <v>31</v>
      </c>
      <c r="H6" s="24" t="s">
        <v>16</v>
      </c>
      <c r="I6" s="30">
        <v>100</v>
      </c>
      <c r="J6" s="28">
        <v>12</v>
      </c>
      <c r="K6" s="28">
        <v>12</v>
      </c>
      <c r="L6" s="27"/>
      <c r="M6" s="27"/>
      <c r="N6" s="27"/>
      <c r="O6" s="25" t="s">
        <v>28</v>
      </c>
      <c r="P6" s="27"/>
      <c r="Q6" s="27" t="s">
        <v>19</v>
      </c>
      <c r="R6" s="36" t="s">
        <v>24</v>
      </c>
      <c r="S6" s="27"/>
      <c r="T6" s="27"/>
    </row>
    <row r="7" spans="1:154" ht="15.75" customHeight="1" x14ac:dyDescent="0.2">
      <c r="A7" s="1"/>
      <c r="B7" s="1"/>
      <c r="C7" s="31">
        <v>42788</v>
      </c>
      <c r="D7" s="25" t="s">
        <v>18</v>
      </c>
      <c r="E7" s="25" t="s">
        <v>30</v>
      </c>
      <c r="F7" s="25" t="s">
        <v>28</v>
      </c>
      <c r="G7" s="25" t="s">
        <v>31</v>
      </c>
      <c r="H7" s="24" t="s">
        <v>16</v>
      </c>
      <c r="I7" s="30">
        <v>100</v>
      </c>
      <c r="J7" s="28">
        <v>15</v>
      </c>
      <c r="K7" s="28">
        <v>12</v>
      </c>
      <c r="L7" s="27"/>
      <c r="M7" s="27"/>
      <c r="N7" s="27"/>
      <c r="O7" s="25" t="s">
        <v>28</v>
      </c>
      <c r="P7" s="27"/>
      <c r="Q7" s="27" t="s">
        <v>19</v>
      </c>
      <c r="R7" s="36" t="s">
        <v>24</v>
      </c>
      <c r="S7" s="27"/>
      <c r="T7" s="27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M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5" width="14.42578125" customWidth="1"/>
  </cols>
  <sheetData>
    <row r="1" spans="1:195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95" ht="15.75" customHeight="1" x14ac:dyDescent="0.2">
      <c r="A3" s="15"/>
      <c r="B3" s="3" t="s">
        <v>5</v>
      </c>
      <c r="C3" s="16" t="s">
        <v>32</v>
      </c>
      <c r="D3" s="3" t="s">
        <v>7</v>
      </c>
      <c r="E3" s="16" t="s">
        <v>33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</row>
    <row r="4" spans="1:195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  <c r="FN4" s="19" t="str">
        <f ca="1">IFERROR(__xludf.DUMMYFUNCTION("""COMPUTED_VALUE"""),"")</f>
        <v/>
      </c>
      <c r="FO4" s="19" t="str">
        <f ca="1">IFERROR(__xludf.DUMMYFUNCTION("""COMPUTED_VALUE"""),"")</f>
        <v/>
      </c>
      <c r="FP4" s="19" t="str">
        <f ca="1">IFERROR(__xludf.DUMMYFUNCTION("""COMPUTED_VALUE"""),"")</f>
        <v/>
      </c>
      <c r="FQ4" s="19" t="str">
        <f ca="1">IFERROR(__xludf.DUMMYFUNCTION("""COMPUTED_VALUE"""),"")</f>
        <v/>
      </c>
      <c r="FR4" s="19" t="str">
        <f ca="1">IFERROR(__xludf.DUMMYFUNCTION("""COMPUTED_VALUE"""),"")</f>
        <v/>
      </c>
      <c r="FS4" s="19" t="str">
        <f ca="1">IFERROR(__xludf.DUMMYFUNCTION("""COMPUTED_VALUE"""),"")</f>
        <v/>
      </c>
      <c r="FT4" s="19" t="str">
        <f ca="1">IFERROR(__xludf.DUMMYFUNCTION("""COMPUTED_VALUE"""),"")</f>
        <v/>
      </c>
      <c r="FU4" s="19" t="str">
        <f ca="1">IFERROR(__xludf.DUMMYFUNCTION("""COMPUTED_VALUE"""),"")</f>
        <v/>
      </c>
      <c r="FV4" s="19" t="str">
        <f ca="1">IFERROR(__xludf.DUMMYFUNCTION("""COMPUTED_VALUE"""),"")</f>
        <v/>
      </c>
      <c r="FW4" s="19" t="str">
        <f ca="1">IFERROR(__xludf.DUMMYFUNCTION("""COMPUTED_VALUE"""),"")</f>
        <v/>
      </c>
      <c r="FX4" s="19" t="str">
        <f ca="1">IFERROR(__xludf.DUMMYFUNCTION("""COMPUTED_VALUE"""),"")</f>
        <v/>
      </c>
      <c r="FY4" s="19" t="str">
        <f ca="1">IFERROR(__xludf.DUMMYFUNCTION("""COMPUTED_VALUE"""),"")</f>
        <v/>
      </c>
      <c r="FZ4" s="19" t="str">
        <f ca="1">IFERROR(__xludf.DUMMYFUNCTION("""COMPUTED_VALUE"""),"")</f>
        <v/>
      </c>
      <c r="GA4" s="19" t="str">
        <f ca="1">IFERROR(__xludf.DUMMYFUNCTION("""COMPUTED_VALUE"""),"")</f>
        <v/>
      </c>
      <c r="GB4" s="19" t="str">
        <f ca="1">IFERROR(__xludf.DUMMYFUNCTION("""COMPUTED_VALUE"""),"")</f>
        <v/>
      </c>
      <c r="GC4" s="19" t="str">
        <f ca="1">IFERROR(__xludf.DUMMYFUNCTION("""COMPUTED_VALUE"""),"")</f>
        <v/>
      </c>
      <c r="GD4" s="19" t="str">
        <f ca="1">IFERROR(__xludf.DUMMYFUNCTION("""COMPUTED_VALUE"""),"")</f>
        <v/>
      </c>
      <c r="GE4" s="19" t="str">
        <f ca="1">IFERROR(__xludf.DUMMYFUNCTION("""COMPUTED_VALUE"""),"")</f>
        <v/>
      </c>
      <c r="GF4" s="19" t="str">
        <f ca="1">IFERROR(__xludf.DUMMYFUNCTION("""COMPUTED_VALUE"""),"")</f>
        <v/>
      </c>
      <c r="GG4" s="19" t="str">
        <f ca="1">IFERROR(__xludf.DUMMYFUNCTION("""COMPUTED_VALUE"""),"")</f>
        <v/>
      </c>
      <c r="GH4" s="19" t="str">
        <f ca="1">IFERROR(__xludf.DUMMYFUNCTION("""COMPUTED_VALUE"""),"")</f>
        <v/>
      </c>
      <c r="GI4" s="19" t="str">
        <f ca="1">IFERROR(__xludf.DUMMYFUNCTION("""COMPUTED_VALUE"""),"")</f>
        <v/>
      </c>
      <c r="GJ4" s="19" t="str">
        <f ca="1">IFERROR(__xludf.DUMMYFUNCTION("""COMPUTED_VALUE"""),"")</f>
        <v/>
      </c>
      <c r="GK4" s="19" t="str">
        <f ca="1">IFERROR(__xludf.DUMMYFUNCTION("""COMPUTED_VALUE"""),"")</f>
        <v/>
      </c>
      <c r="GL4" s="19" t="str">
        <f ca="1">IFERROR(__xludf.DUMMYFUNCTION("""COMPUTED_VALUE"""),"")</f>
        <v/>
      </c>
      <c r="GM4" s="19" t="str">
        <f ca="1">IFERROR(__xludf.DUMMYFUNCTION("""COMPUTED_VALUE"""),"")</f>
        <v/>
      </c>
    </row>
    <row r="5" spans="1:195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  <c r="EY5" s="23" t="str">
        <f ca="1">IFERROR(__xludf.DUMMYFUNCTION("""COMPUTED_VALUE"""),"")</f>
        <v/>
      </c>
      <c r="EZ5" s="23" t="str">
        <f ca="1">IFERROR(__xludf.DUMMYFUNCTION("""COMPUTED_VALUE"""),"")</f>
        <v/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  <c r="FN5" s="23" t="str">
        <f ca="1">IFERROR(__xludf.DUMMYFUNCTION("""COMPUTED_VALUE"""),"")</f>
        <v/>
      </c>
      <c r="FO5" s="23" t="str">
        <f ca="1">IFERROR(__xludf.DUMMYFUNCTION("""COMPUTED_VALUE"""),"")</f>
        <v/>
      </c>
      <c r="FP5" s="23" t="str">
        <f ca="1">IFERROR(__xludf.DUMMYFUNCTION("""COMPUTED_VALUE"""),"")</f>
        <v/>
      </c>
      <c r="FQ5" s="23" t="str">
        <f ca="1">IFERROR(__xludf.DUMMYFUNCTION("""COMPUTED_VALUE"""),"")</f>
        <v/>
      </c>
      <c r="FR5" s="23" t="str">
        <f ca="1">IFERROR(__xludf.DUMMYFUNCTION("""COMPUTED_VALUE"""),"")</f>
        <v/>
      </c>
      <c r="FS5" s="23" t="str">
        <f ca="1">IFERROR(__xludf.DUMMYFUNCTION("""COMPUTED_VALUE"""),"")</f>
        <v/>
      </c>
      <c r="FT5" s="23" t="str">
        <f ca="1">IFERROR(__xludf.DUMMYFUNCTION("""COMPUTED_VALUE"""),"")</f>
        <v/>
      </c>
      <c r="FU5" s="23" t="str">
        <f ca="1">IFERROR(__xludf.DUMMYFUNCTION("""COMPUTED_VALUE"""),"")</f>
        <v/>
      </c>
      <c r="FV5" s="23" t="str">
        <f ca="1">IFERROR(__xludf.DUMMYFUNCTION("""COMPUTED_VALUE"""),"")</f>
        <v/>
      </c>
      <c r="FW5" s="23" t="str">
        <f ca="1">IFERROR(__xludf.DUMMYFUNCTION("""COMPUTED_VALUE"""),"")</f>
        <v/>
      </c>
      <c r="FX5" s="23" t="str">
        <f ca="1">IFERROR(__xludf.DUMMYFUNCTION("""COMPUTED_VALUE"""),"")</f>
        <v/>
      </c>
      <c r="FY5" s="23" t="str">
        <f ca="1">IFERROR(__xludf.DUMMYFUNCTION("""COMPUTED_VALUE"""),"")</f>
        <v/>
      </c>
      <c r="FZ5" s="23" t="str">
        <f ca="1">IFERROR(__xludf.DUMMYFUNCTION("""COMPUTED_VALUE"""),"")</f>
        <v/>
      </c>
      <c r="GA5" s="23" t="str">
        <f ca="1">IFERROR(__xludf.DUMMYFUNCTION("""COMPUTED_VALUE"""),"")</f>
        <v/>
      </c>
      <c r="GB5" s="23" t="str">
        <f ca="1">IFERROR(__xludf.DUMMYFUNCTION("""COMPUTED_VALUE"""),"")</f>
        <v/>
      </c>
      <c r="GC5" s="23" t="str">
        <f ca="1">IFERROR(__xludf.DUMMYFUNCTION("""COMPUTED_VALUE"""),"")</f>
        <v/>
      </c>
      <c r="GD5" s="23" t="str">
        <f ca="1">IFERROR(__xludf.DUMMYFUNCTION("""COMPUTED_VALUE"""),"")</f>
        <v/>
      </c>
      <c r="GE5" s="23" t="str">
        <f ca="1">IFERROR(__xludf.DUMMYFUNCTION("""COMPUTED_VALUE"""),"")</f>
        <v/>
      </c>
      <c r="GF5" s="23" t="str">
        <f ca="1">IFERROR(__xludf.DUMMYFUNCTION("""COMPUTED_VALUE"""),"")</f>
        <v/>
      </c>
      <c r="GG5" s="23" t="str">
        <f ca="1">IFERROR(__xludf.DUMMYFUNCTION("""COMPUTED_VALUE"""),"")</f>
        <v/>
      </c>
      <c r="GH5" s="23" t="str">
        <f ca="1">IFERROR(__xludf.DUMMYFUNCTION("""COMPUTED_VALUE"""),"")</f>
        <v/>
      </c>
      <c r="GI5" s="23" t="str">
        <f ca="1">IFERROR(__xludf.DUMMYFUNCTION("""COMPUTED_VALUE"""),"")</f>
        <v/>
      </c>
      <c r="GJ5" s="23" t="str">
        <f ca="1">IFERROR(__xludf.DUMMYFUNCTION("""COMPUTED_VALUE"""),"")</f>
        <v/>
      </c>
      <c r="GK5" s="23" t="str">
        <f ca="1">IFERROR(__xludf.DUMMYFUNCTION("""COMPUTED_VALUE"""),"")</f>
        <v/>
      </c>
      <c r="GL5" s="23" t="str">
        <f ca="1">IFERROR(__xludf.DUMMYFUNCTION("""COMPUTED_VALUE"""),"")</f>
        <v/>
      </c>
      <c r="GM5" s="23" t="str">
        <f ca="1">IFERROR(__xludf.DUMMYFUNCTION("""COMPUTED_VALUE"""),"")</f>
        <v/>
      </c>
    </row>
    <row r="6" spans="1:195" ht="15.75" customHeight="1" x14ac:dyDescent="0.2">
      <c r="A6" s="5"/>
      <c r="B6" s="33" t="s">
        <v>22</v>
      </c>
      <c r="C6" s="31">
        <v>42786</v>
      </c>
      <c r="D6" s="31">
        <v>42791</v>
      </c>
      <c r="E6" s="3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95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95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95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95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95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95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95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95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95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95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M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5" width="14.42578125" customWidth="1"/>
  </cols>
  <sheetData>
    <row r="1" spans="1:195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95" ht="15.75" customHeight="1" x14ac:dyDescent="0.2">
      <c r="A3" s="15"/>
      <c r="B3" s="3" t="s">
        <v>5</v>
      </c>
      <c r="C3" s="16" t="s">
        <v>32</v>
      </c>
      <c r="D3" s="3" t="s">
        <v>7</v>
      </c>
      <c r="E3" s="16" t="s">
        <v>34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</row>
    <row r="4" spans="1:195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  <c r="FN4" s="19" t="str">
        <f ca="1">IFERROR(__xludf.DUMMYFUNCTION("""COMPUTED_VALUE"""),"")</f>
        <v/>
      </c>
      <c r="FO4" s="19" t="str">
        <f ca="1">IFERROR(__xludf.DUMMYFUNCTION("""COMPUTED_VALUE"""),"")</f>
        <v/>
      </c>
      <c r="FP4" s="19" t="str">
        <f ca="1">IFERROR(__xludf.DUMMYFUNCTION("""COMPUTED_VALUE"""),"")</f>
        <v/>
      </c>
      <c r="FQ4" s="19" t="str">
        <f ca="1">IFERROR(__xludf.DUMMYFUNCTION("""COMPUTED_VALUE"""),"")</f>
        <v/>
      </c>
      <c r="FR4" s="19" t="str">
        <f ca="1">IFERROR(__xludf.DUMMYFUNCTION("""COMPUTED_VALUE"""),"")</f>
        <v/>
      </c>
      <c r="FS4" s="19" t="str">
        <f ca="1">IFERROR(__xludf.DUMMYFUNCTION("""COMPUTED_VALUE"""),"")</f>
        <v/>
      </c>
      <c r="FT4" s="19" t="str">
        <f ca="1">IFERROR(__xludf.DUMMYFUNCTION("""COMPUTED_VALUE"""),"")</f>
        <v/>
      </c>
      <c r="FU4" s="19" t="str">
        <f ca="1">IFERROR(__xludf.DUMMYFUNCTION("""COMPUTED_VALUE"""),"")</f>
        <v/>
      </c>
      <c r="FV4" s="19" t="str">
        <f ca="1">IFERROR(__xludf.DUMMYFUNCTION("""COMPUTED_VALUE"""),"")</f>
        <v/>
      </c>
      <c r="FW4" s="19" t="str">
        <f ca="1">IFERROR(__xludf.DUMMYFUNCTION("""COMPUTED_VALUE"""),"")</f>
        <v/>
      </c>
      <c r="FX4" s="19" t="str">
        <f ca="1">IFERROR(__xludf.DUMMYFUNCTION("""COMPUTED_VALUE"""),"")</f>
        <v/>
      </c>
      <c r="FY4" s="19" t="str">
        <f ca="1">IFERROR(__xludf.DUMMYFUNCTION("""COMPUTED_VALUE"""),"")</f>
        <v/>
      </c>
      <c r="FZ4" s="19" t="str">
        <f ca="1">IFERROR(__xludf.DUMMYFUNCTION("""COMPUTED_VALUE"""),"")</f>
        <v/>
      </c>
      <c r="GA4" s="19" t="str">
        <f ca="1">IFERROR(__xludf.DUMMYFUNCTION("""COMPUTED_VALUE"""),"")</f>
        <v/>
      </c>
      <c r="GB4" s="19" t="str">
        <f ca="1">IFERROR(__xludf.DUMMYFUNCTION("""COMPUTED_VALUE"""),"")</f>
        <v/>
      </c>
      <c r="GC4" s="19" t="str">
        <f ca="1">IFERROR(__xludf.DUMMYFUNCTION("""COMPUTED_VALUE"""),"")</f>
        <v/>
      </c>
      <c r="GD4" s="19" t="str">
        <f ca="1">IFERROR(__xludf.DUMMYFUNCTION("""COMPUTED_VALUE"""),"")</f>
        <v/>
      </c>
      <c r="GE4" s="19" t="str">
        <f ca="1">IFERROR(__xludf.DUMMYFUNCTION("""COMPUTED_VALUE"""),"")</f>
        <v/>
      </c>
      <c r="GF4" s="19" t="str">
        <f ca="1">IFERROR(__xludf.DUMMYFUNCTION("""COMPUTED_VALUE"""),"")</f>
        <v/>
      </c>
      <c r="GG4" s="19" t="str">
        <f ca="1">IFERROR(__xludf.DUMMYFUNCTION("""COMPUTED_VALUE"""),"")</f>
        <v/>
      </c>
      <c r="GH4" s="19" t="str">
        <f ca="1">IFERROR(__xludf.DUMMYFUNCTION("""COMPUTED_VALUE"""),"")</f>
        <v/>
      </c>
      <c r="GI4" s="19" t="str">
        <f ca="1">IFERROR(__xludf.DUMMYFUNCTION("""COMPUTED_VALUE"""),"")</f>
        <v/>
      </c>
      <c r="GJ4" s="19" t="str">
        <f ca="1">IFERROR(__xludf.DUMMYFUNCTION("""COMPUTED_VALUE"""),"")</f>
        <v/>
      </c>
      <c r="GK4" s="19" t="str">
        <f ca="1">IFERROR(__xludf.DUMMYFUNCTION("""COMPUTED_VALUE"""),"")</f>
        <v/>
      </c>
      <c r="GL4" s="19" t="str">
        <f ca="1">IFERROR(__xludf.DUMMYFUNCTION("""COMPUTED_VALUE"""),"")</f>
        <v/>
      </c>
      <c r="GM4" s="19" t="str">
        <f ca="1">IFERROR(__xludf.DUMMYFUNCTION("""COMPUTED_VALUE"""),"")</f>
        <v/>
      </c>
    </row>
    <row r="5" spans="1:195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  <c r="EY5" s="23" t="str">
        <f ca="1">IFERROR(__xludf.DUMMYFUNCTION("""COMPUTED_VALUE"""),"")</f>
        <v/>
      </c>
      <c r="EZ5" s="23" t="str">
        <f ca="1">IFERROR(__xludf.DUMMYFUNCTION("""COMPUTED_VALUE"""),"")</f>
        <v/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  <c r="FN5" s="23" t="str">
        <f ca="1">IFERROR(__xludf.DUMMYFUNCTION("""COMPUTED_VALUE"""),"")</f>
        <v/>
      </c>
      <c r="FO5" s="23" t="str">
        <f ca="1">IFERROR(__xludf.DUMMYFUNCTION("""COMPUTED_VALUE"""),"")</f>
        <v/>
      </c>
      <c r="FP5" s="23" t="str">
        <f ca="1">IFERROR(__xludf.DUMMYFUNCTION("""COMPUTED_VALUE"""),"")</f>
        <v/>
      </c>
      <c r="FQ5" s="23" t="str">
        <f ca="1">IFERROR(__xludf.DUMMYFUNCTION("""COMPUTED_VALUE"""),"")</f>
        <v/>
      </c>
      <c r="FR5" s="23" t="str">
        <f ca="1">IFERROR(__xludf.DUMMYFUNCTION("""COMPUTED_VALUE"""),"")</f>
        <v/>
      </c>
      <c r="FS5" s="23" t="str">
        <f ca="1">IFERROR(__xludf.DUMMYFUNCTION("""COMPUTED_VALUE"""),"")</f>
        <v/>
      </c>
      <c r="FT5" s="23" t="str">
        <f ca="1">IFERROR(__xludf.DUMMYFUNCTION("""COMPUTED_VALUE"""),"")</f>
        <v/>
      </c>
      <c r="FU5" s="23" t="str">
        <f ca="1">IFERROR(__xludf.DUMMYFUNCTION("""COMPUTED_VALUE"""),"")</f>
        <v/>
      </c>
      <c r="FV5" s="23" t="str">
        <f ca="1">IFERROR(__xludf.DUMMYFUNCTION("""COMPUTED_VALUE"""),"")</f>
        <v/>
      </c>
      <c r="FW5" s="23" t="str">
        <f ca="1">IFERROR(__xludf.DUMMYFUNCTION("""COMPUTED_VALUE"""),"")</f>
        <v/>
      </c>
      <c r="FX5" s="23" t="str">
        <f ca="1">IFERROR(__xludf.DUMMYFUNCTION("""COMPUTED_VALUE"""),"")</f>
        <v/>
      </c>
      <c r="FY5" s="23" t="str">
        <f ca="1">IFERROR(__xludf.DUMMYFUNCTION("""COMPUTED_VALUE"""),"")</f>
        <v/>
      </c>
      <c r="FZ5" s="23" t="str">
        <f ca="1">IFERROR(__xludf.DUMMYFUNCTION("""COMPUTED_VALUE"""),"")</f>
        <v/>
      </c>
      <c r="GA5" s="23" t="str">
        <f ca="1">IFERROR(__xludf.DUMMYFUNCTION("""COMPUTED_VALUE"""),"")</f>
        <v/>
      </c>
      <c r="GB5" s="23" t="str">
        <f ca="1">IFERROR(__xludf.DUMMYFUNCTION("""COMPUTED_VALUE"""),"")</f>
        <v/>
      </c>
      <c r="GC5" s="23" t="str">
        <f ca="1">IFERROR(__xludf.DUMMYFUNCTION("""COMPUTED_VALUE"""),"")</f>
        <v/>
      </c>
      <c r="GD5" s="23" t="str">
        <f ca="1">IFERROR(__xludf.DUMMYFUNCTION("""COMPUTED_VALUE"""),"")</f>
        <v/>
      </c>
      <c r="GE5" s="23" t="str">
        <f ca="1">IFERROR(__xludf.DUMMYFUNCTION("""COMPUTED_VALUE"""),"")</f>
        <v/>
      </c>
      <c r="GF5" s="23" t="str">
        <f ca="1">IFERROR(__xludf.DUMMYFUNCTION("""COMPUTED_VALUE"""),"")</f>
        <v/>
      </c>
      <c r="GG5" s="23" t="str">
        <f ca="1">IFERROR(__xludf.DUMMYFUNCTION("""COMPUTED_VALUE"""),"")</f>
        <v/>
      </c>
      <c r="GH5" s="23" t="str">
        <f ca="1">IFERROR(__xludf.DUMMYFUNCTION("""COMPUTED_VALUE"""),"")</f>
        <v/>
      </c>
      <c r="GI5" s="23" t="str">
        <f ca="1">IFERROR(__xludf.DUMMYFUNCTION("""COMPUTED_VALUE"""),"")</f>
        <v/>
      </c>
      <c r="GJ5" s="23" t="str">
        <f ca="1">IFERROR(__xludf.DUMMYFUNCTION("""COMPUTED_VALUE"""),"")</f>
        <v/>
      </c>
      <c r="GK5" s="23" t="str">
        <f ca="1">IFERROR(__xludf.DUMMYFUNCTION("""COMPUTED_VALUE"""),"")</f>
        <v/>
      </c>
      <c r="GL5" s="23" t="str">
        <f ca="1">IFERROR(__xludf.DUMMYFUNCTION("""COMPUTED_VALUE"""),"")</f>
        <v/>
      </c>
      <c r="GM5" s="23" t="str">
        <f ca="1">IFERROR(__xludf.DUMMYFUNCTION("""COMPUTED_VALUE"""),"")</f>
        <v/>
      </c>
    </row>
    <row r="6" spans="1:195" ht="15.75" customHeight="1" x14ac:dyDescent="0.2">
      <c r="A6" s="5"/>
      <c r="B6" s="33" t="s">
        <v>18</v>
      </c>
      <c r="C6" s="27"/>
      <c r="D6" s="35"/>
      <c r="E6" s="28">
        <v>120</v>
      </c>
      <c r="F6" s="27"/>
      <c r="G6" s="27"/>
      <c r="H6" s="27"/>
      <c r="I6" s="38"/>
      <c r="J6" s="27"/>
      <c r="K6" s="27"/>
      <c r="L6" s="28"/>
      <c r="M6" s="27"/>
      <c r="N6" s="27"/>
      <c r="O6" s="27"/>
      <c r="P6" s="27"/>
      <c r="Q6" s="27"/>
      <c r="R6" s="27"/>
      <c r="S6" s="36" t="s">
        <v>35</v>
      </c>
      <c r="T6" s="27"/>
      <c r="V6" s="27"/>
      <c r="W6" s="27"/>
      <c r="X6" s="27"/>
      <c r="Y6" s="27"/>
      <c r="Z6" s="27"/>
      <c r="AA6" s="27"/>
      <c r="AB6" s="27"/>
      <c r="AC6" s="27"/>
      <c r="AD6" s="27"/>
      <c r="AE6" s="28">
        <v>120</v>
      </c>
      <c r="AF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>
        <v>120</v>
      </c>
      <c r="BK6" s="27"/>
      <c r="BL6" s="27"/>
      <c r="BN6" s="27"/>
      <c r="BO6" s="27" t="s">
        <v>36</v>
      </c>
      <c r="BP6" s="27"/>
      <c r="BQ6" s="27"/>
      <c r="BR6" s="27"/>
      <c r="BS6" s="27"/>
      <c r="BT6" s="24" t="s">
        <v>16</v>
      </c>
      <c r="CA6" s="27"/>
      <c r="CB6" s="27"/>
      <c r="CC6" s="27"/>
      <c r="CD6" s="27"/>
      <c r="CE6" s="29">
        <v>42786</v>
      </c>
      <c r="CF6" s="27"/>
      <c r="CG6" s="27"/>
      <c r="CH6" s="27"/>
      <c r="CJ6" s="36"/>
      <c r="CK6" s="27"/>
      <c r="CL6" s="27"/>
      <c r="CM6" s="27"/>
      <c r="CN6" s="27"/>
      <c r="CO6" s="27"/>
      <c r="CP6" s="27"/>
      <c r="CQ6" s="27"/>
      <c r="CR6" s="27"/>
      <c r="CS6" s="27"/>
      <c r="CT6" s="27"/>
    </row>
    <row r="7" spans="1:195" ht="15.75" customHeight="1" x14ac:dyDescent="0.2">
      <c r="A7" s="1"/>
      <c r="B7" s="25" t="s">
        <v>18</v>
      </c>
      <c r="C7" s="27"/>
      <c r="D7" s="27"/>
      <c r="E7" s="30">
        <v>100</v>
      </c>
      <c r="F7" s="27"/>
      <c r="G7" s="27"/>
      <c r="H7" s="27"/>
      <c r="I7" s="38"/>
      <c r="J7" s="27"/>
      <c r="K7" s="27"/>
      <c r="L7" s="28"/>
      <c r="M7" s="27"/>
      <c r="N7" s="27"/>
      <c r="O7" s="27"/>
      <c r="P7" s="27"/>
      <c r="Q7" s="27"/>
      <c r="R7" s="27"/>
      <c r="S7" s="27" t="s">
        <v>37</v>
      </c>
      <c r="T7" s="27"/>
      <c r="V7" s="27"/>
      <c r="W7" s="27"/>
      <c r="X7" s="27"/>
      <c r="Y7" s="27"/>
      <c r="Z7" s="27"/>
      <c r="AA7" s="27"/>
      <c r="AB7" s="27"/>
      <c r="AC7" s="27"/>
      <c r="AD7" s="27"/>
      <c r="AE7" s="30">
        <v>100</v>
      </c>
      <c r="AF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30">
        <v>100</v>
      </c>
      <c r="BK7" s="27"/>
      <c r="BL7" s="27"/>
      <c r="BN7" s="27"/>
      <c r="BO7" s="27" t="s">
        <v>19</v>
      </c>
      <c r="BP7" s="27"/>
      <c r="BQ7" s="27"/>
      <c r="BR7" s="27"/>
      <c r="BS7" s="27"/>
      <c r="BT7" s="24" t="s">
        <v>16</v>
      </c>
      <c r="CA7" s="27"/>
      <c r="CB7" s="27"/>
      <c r="CC7" s="27"/>
      <c r="CD7" s="27"/>
      <c r="CE7" s="39">
        <v>42788</v>
      </c>
      <c r="CF7" s="27"/>
      <c r="CG7" s="27"/>
      <c r="CH7" s="27"/>
      <c r="CJ7" s="36"/>
      <c r="CK7" s="27"/>
      <c r="CL7" s="27"/>
      <c r="CM7" s="27"/>
      <c r="CN7" s="27"/>
      <c r="CO7" s="27"/>
      <c r="CP7" s="27"/>
      <c r="CQ7" s="27"/>
      <c r="CR7" s="27"/>
      <c r="CS7" s="27"/>
      <c r="CT7" s="27"/>
    </row>
    <row r="8" spans="1:195" ht="15.75" customHeight="1" x14ac:dyDescent="0.2">
      <c r="A8" s="1"/>
      <c r="B8" s="5" t="s">
        <v>18</v>
      </c>
      <c r="C8" s="1"/>
      <c r="D8" s="1"/>
      <c r="E8" s="5">
        <v>120</v>
      </c>
      <c r="F8" s="1"/>
      <c r="G8" s="1"/>
      <c r="H8" s="1"/>
      <c r="I8" s="1"/>
      <c r="J8" s="1"/>
      <c r="K8" s="1"/>
      <c r="L8" s="1"/>
      <c r="M8" s="1"/>
      <c r="N8" s="1"/>
      <c r="O8" s="1"/>
      <c r="S8" s="32" t="s">
        <v>38</v>
      </c>
      <c r="AE8" s="5">
        <v>120</v>
      </c>
      <c r="BJ8" s="5">
        <v>120</v>
      </c>
      <c r="BO8" s="32" t="s">
        <v>36</v>
      </c>
      <c r="BT8" s="24" t="s">
        <v>16</v>
      </c>
      <c r="CE8" s="40">
        <v>42787</v>
      </c>
      <c r="CJ8" s="32"/>
    </row>
    <row r="9" spans="1:195" ht="15.75" customHeight="1" x14ac:dyDescent="0.2">
      <c r="A9" s="1"/>
      <c r="B9" s="5" t="s">
        <v>18</v>
      </c>
      <c r="C9" s="1"/>
      <c r="D9" s="1"/>
      <c r="E9" s="5">
        <v>120</v>
      </c>
      <c r="F9" s="1"/>
      <c r="G9" s="1"/>
      <c r="H9" s="1"/>
      <c r="I9" s="1"/>
      <c r="J9" s="1"/>
      <c r="K9" s="1"/>
      <c r="L9" s="1"/>
      <c r="M9" s="1"/>
      <c r="N9" s="1"/>
      <c r="O9" s="1"/>
      <c r="S9" s="32" t="s">
        <v>35</v>
      </c>
      <c r="AE9" s="5">
        <v>120</v>
      </c>
      <c r="BJ9" s="5">
        <v>120</v>
      </c>
      <c r="BO9" s="32" t="s">
        <v>36</v>
      </c>
      <c r="BT9" s="24" t="s">
        <v>16</v>
      </c>
      <c r="CE9" s="29">
        <v>42788</v>
      </c>
      <c r="CJ9" s="32"/>
    </row>
    <row r="10" spans="1:195" ht="15.75" customHeight="1" x14ac:dyDescent="0.2">
      <c r="A10" s="1"/>
      <c r="B10" s="5" t="s">
        <v>18</v>
      </c>
      <c r="C10" s="1"/>
      <c r="D10" s="1"/>
      <c r="E10" s="5">
        <v>100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S10" s="32" t="s">
        <v>37</v>
      </c>
      <c r="AE10" s="5">
        <v>100</v>
      </c>
      <c r="BJ10" s="5">
        <v>100</v>
      </c>
      <c r="BO10" s="32" t="s">
        <v>19</v>
      </c>
      <c r="BT10" s="24" t="s">
        <v>16</v>
      </c>
      <c r="CE10" s="29">
        <v>42786</v>
      </c>
      <c r="CJ10" s="32"/>
    </row>
    <row r="11" spans="1:195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CI11" s="41"/>
    </row>
    <row r="12" spans="1:195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CI12" s="41"/>
    </row>
    <row r="13" spans="1:195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95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95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95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E1" workbookViewId="0">
      <selection activeCell="BM8" sqref="BM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69" ht="15.75" customHeight="1" x14ac:dyDescent="0.2">
      <c r="A3" s="15"/>
      <c r="B3" s="3" t="s">
        <v>5</v>
      </c>
      <c r="C3" s="16" t="s">
        <v>39</v>
      </c>
      <c r="D3" s="3" t="s">
        <v>7</v>
      </c>
      <c r="E3" s="16" t="s">
        <v>40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 x14ac:dyDescent="0.2">
      <c r="A6" s="5"/>
      <c r="B6" s="5"/>
      <c r="C6" s="24" t="s">
        <v>16</v>
      </c>
      <c r="D6" s="26">
        <v>20</v>
      </c>
      <c r="E6" s="25" t="s">
        <v>18</v>
      </c>
      <c r="F6" s="27"/>
      <c r="G6" s="28">
        <v>12</v>
      </c>
      <c r="H6" s="27"/>
      <c r="I6" s="38"/>
      <c r="J6" s="27"/>
      <c r="K6" s="27"/>
      <c r="L6" s="27"/>
      <c r="M6" s="27"/>
      <c r="N6" s="27"/>
      <c r="O6" s="27"/>
      <c r="P6" s="27"/>
      <c r="Q6" s="27"/>
      <c r="R6" s="27"/>
      <c r="S6" s="27" t="s">
        <v>30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 t="s">
        <v>17</v>
      </c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</row>
    <row r="7" spans="1:169" ht="15.75" customHeight="1" x14ac:dyDescent="0.2">
      <c r="A7" s="1"/>
      <c r="B7" s="1"/>
      <c r="C7" s="24" t="s">
        <v>16</v>
      </c>
      <c r="D7" s="28">
        <v>20</v>
      </c>
      <c r="E7" s="25" t="s">
        <v>18</v>
      </c>
      <c r="F7" s="27"/>
      <c r="G7" s="28">
        <v>15</v>
      </c>
      <c r="H7" s="27"/>
      <c r="I7" s="38"/>
      <c r="J7" s="27"/>
      <c r="K7" s="27"/>
      <c r="L7" s="27"/>
      <c r="M7" s="27"/>
      <c r="N7" s="27"/>
      <c r="O7" s="27"/>
      <c r="P7" s="27"/>
      <c r="Q7" s="27"/>
      <c r="R7" s="27"/>
      <c r="S7" s="27" t="s">
        <v>30</v>
      </c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 t="s">
        <v>17</v>
      </c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</row>
    <row r="8" spans="1:169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9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20</v>
      </c>
      <c r="D3" s="3" t="s">
        <v>7</v>
      </c>
      <c r="E3" s="16" t="s">
        <v>41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42" t="s">
        <v>18</v>
      </c>
      <c r="C6" s="1"/>
      <c r="D6" s="5"/>
      <c r="E6" s="37"/>
      <c r="F6" s="1"/>
      <c r="G6" s="1"/>
      <c r="H6" s="1"/>
      <c r="I6" s="5">
        <v>12</v>
      </c>
      <c r="J6" s="1"/>
      <c r="K6" s="1"/>
      <c r="L6" s="1"/>
      <c r="M6" s="5">
        <v>120</v>
      </c>
      <c r="N6" s="1"/>
      <c r="O6" s="1"/>
      <c r="P6" s="32" t="s">
        <v>17</v>
      </c>
      <c r="R6" s="32" t="s">
        <v>16</v>
      </c>
    </row>
    <row r="7" spans="1:154" ht="15.75" customHeight="1" x14ac:dyDescent="0.2">
      <c r="A7" s="1"/>
      <c r="B7" s="43" t="s">
        <v>18</v>
      </c>
      <c r="C7" s="1"/>
      <c r="D7" s="1"/>
      <c r="E7" s="1"/>
      <c r="F7" s="1"/>
      <c r="G7" s="1"/>
      <c r="H7" s="1"/>
      <c r="I7" s="5">
        <v>13</v>
      </c>
      <c r="J7" s="1"/>
      <c r="K7" s="1"/>
      <c r="L7" s="1"/>
      <c r="M7" s="5">
        <v>120</v>
      </c>
      <c r="N7" s="1"/>
      <c r="O7" s="1"/>
      <c r="P7" s="32" t="s">
        <v>17</v>
      </c>
      <c r="R7" s="32" t="s">
        <v>16</v>
      </c>
    </row>
    <row r="8" spans="1:154" ht="15.75" customHeight="1" x14ac:dyDescent="0.2">
      <c r="A8" s="1"/>
      <c r="B8" s="43" t="s">
        <v>18</v>
      </c>
      <c r="C8" s="1"/>
      <c r="D8" s="1"/>
      <c r="E8" s="1"/>
      <c r="F8" s="1"/>
      <c r="G8" s="1"/>
      <c r="H8" s="1"/>
      <c r="I8" s="5">
        <v>15</v>
      </c>
      <c r="J8" s="1"/>
      <c r="K8" s="1"/>
      <c r="L8" s="1"/>
      <c r="M8" s="5">
        <v>120</v>
      </c>
      <c r="N8" s="1"/>
      <c r="O8" s="1"/>
      <c r="P8" s="32" t="s">
        <v>17</v>
      </c>
      <c r="R8" s="32" t="s">
        <v>16</v>
      </c>
    </row>
    <row r="9" spans="1:154" ht="15.75" customHeight="1" x14ac:dyDescent="0.2">
      <c r="A9" s="1"/>
      <c r="B9" s="4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4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4" t="s">
        <v>11</v>
      </c>
      <c r="C1" s="45"/>
      <c r="D1" s="45"/>
      <c r="E1" s="45"/>
      <c r="F1" s="45"/>
      <c r="G1" s="45"/>
      <c r="H1" s="46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 ca="1"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5</v>
      </c>
      <c r="C3" s="16" t="s">
        <v>20</v>
      </c>
      <c r="D3" s="3" t="s">
        <v>7</v>
      </c>
      <c r="E3" s="16" t="s">
        <v>42</v>
      </c>
      <c r="F3" s="3" t="s">
        <v>14</v>
      </c>
      <c r="G3" s="7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1"/>
      <c r="D6" s="5"/>
      <c r="E6" s="37"/>
      <c r="F6" s="1"/>
      <c r="G6" s="1"/>
      <c r="H6" s="1"/>
      <c r="I6" s="5">
        <v>12</v>
      </c>
      <c r="J6" s="1"/>
      <c r="K6" s="1"/>
      <c r="L6" s="1"/>
      <c r="M6" s="5">
        <v>100</v>
      </c>
      <c r="N6" s="1"/>
      <c r="O6" s="1"/>
      <c r="P6" s="32" t="s">
        <v>19</v>
      </c>
      <c r="R6" s="32" t="s">
        <v>16</v>
      </c>
    </row>
    <row r="7" spans="1:154" ht="15.75" customHeight="1" x14ac:dyDescent="0.2">
      <c r="A7" s="1"/>
      <c r="B7" s="5" t="s">
        <v>18</v>
      </c>
      <c r="C7" s="1"/>
      <c r="D7" s="1"/>
      <c r="E7" s="1"/>
      <c r="F7" s="1"/>
      <c r="G7" s="1"/>
      <c r="H7" s="1"/>
      <c r="I7" s="5">
        <v>12</v>
      </c>
      <c r="J7" s="1"/>
      <c r="K7" s="1"/>
      <c r="L7" s="1"/>
      <c r="M7" s="5">
        <v>100</v>
      </c>
      <c r="N7" s="1"/>
      <c r="O7" s="1"/>
      <c r="P7" s="32" t="s">
        <v>19</v>
      </c>
      <c r="R7" s="32" t="s">
        <v>16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GetDataClosing</vt:lpstr>
      <vt:lpstr>AutomaticClosing</vt:lpstr>
      <vt:lpstr>VerifyClosedTrades</vt:lpstr>
      <vt:lpstr>UnwindClosing</vt:lpstr>
      <vt:lpstr>GetDataAllocation</vt:lpstr>
      <vt:lpstr>CheckAllocatedGroups</vt:lpstr>
      <vt:lpstr>CheckPortfolioManagement</vt:lpstr>
      <vt:lpstr>VerifyLongPositionsGrid</vt:lpstr>
      <vt:lpstr>VerifyShortPositionsGrid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2021-08-04T09:33:30Z</dcterms:modified>
</cp:coreProperties>
</file>