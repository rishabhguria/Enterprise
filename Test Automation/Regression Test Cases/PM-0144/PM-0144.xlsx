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PricingInput" sheetId="7" r:id="rId9"/>
    <sheet state="visible" name="CheckPortfolioManagement" sheetId="8" r:id="rId10"/>
    <sheet state="visible" name="UpdateMarkPrice" sheetId="9" r:id="rId11"/>
  </sheets>
  <definedNames/>
  <calcPr/>
</workbook>
</file>

<file path=xl/sharedStrings.xml><?xml version="1.0" encoding="utf-8"?>
<sst xmlns="http://schemas.openxmlformats.org/spreadsheetml/2006/main" count="123" uniqueCount="53">
  <si>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</si>
  <si>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</si>
  <si>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</si>
  <si>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</si>
  <si>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</si>
  <si>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</si>
  <si>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</si>
  <si>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</si>
  <si>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</si>
  <si>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</si>
  <si>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</si>
  <si>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</si>
  <si>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</si>
  <si>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</si>
  <si>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</si>
  <si>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</si>
  <si>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</si>
  <si>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</si>
  <si>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</si>
  <si>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</si>
  <si>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</si>
  <si>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</si>
  <si>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Buy to Open</t>
  </si>
  <si>
    <t>Allocation1</t>
  </si>
  <si>
    <t>DailyValuation</t>
  </si>
  <si>
    <t>GetMarkPriceData</t>
  </si>
  <si>
    <t>PricingInput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</si>
  <si>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</si>
  <si>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</si>
  <si>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</si>
  <si>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</si>
  <si>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</si>
  <si>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</si>
  <si>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</si>
  <si>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</si>
  <si>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AMEX</t>
  </si>
  <si>
    <t>USD</t>
  </si>
  <si>
    <t>BrokerNotes</t>
  </si>
  <si>
    <t>DefaultNotes</t>
  </si>
  <si>
    <t>Undefined</t>
  </si>
  <si>
    <t>jpearce</t>
  </si>
  <si>
    <t>XLE US EQUITY</t>
  </si>
  <si>
    <t>UK</t>
  </si>
  <si>
    <t>Yes</t>
  </si>
  <si>
    <t>Short</t>
  </si>
  <si>
    <t>FIMAT</t>
  </si>
  <si>
    <t>EquityOption</t>
  </si>
  <si>
    <t>OPTS</t>
  </si>
  <si>
    <t>Equity Put</t>
  </si>
  <si>
    <t>PUT</t>
  </si>
  <si>
    <t>XLE US 06/19/10 P52 Equity</t>
  </si>
  <si>
    <t>ITM</t>
  </si>
  <si>
    <t>UpdateMarkPrice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</si>
</sst>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19</v>
      </c>
      <c r="C6" s="33" t="s">
        <v>20</v>
      </c>
      <c r="D6" s="34">
        <v>100.0</v>
      </c>
      <c r="E6" s="34">
        <v>100.0</v>
      </c>
      <c r="F6" s="33" t="s">
        <v>21</v>
      </c>
      <c r="G6" s="33"/>
      <c r="H6" s="33"/>
      <c r="I6" s="33"/>
      <c r="J6" s="34">
        <v>10.0</v>
      </c>
      <c r="K6" s="33"/>
      <c r="L6" s="33"/>
      <c r="M6" s="33"/>
      <c r="N6" s="32">
        <f>today()-1</f>
        <v>45015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16</v>
      </c>
      <c r="C7" s="35" t="s">
        <v>22</v>
      </c>
      <c r="D7" s="34">
        <v>100.0</v>
      </c>
      <c r="E7" s="34">
        <v>100.0</v>
      </c>
      <c r="F7" s="31" t="s">
        <v>23</v>
      </c>
      <c r="G7" s="33"/>
      <c r="H7" s="33"/>
      <c r="I7" s="33"/>
      <c r="J7" s="34">
        <v>10.0</v>
      </c>
      <c r="K7" s="33"/>
      <c r="L7" s="33"/>
      <c r="M7" s="33"/>
      <c r="N7" s="32">
        <f>today()</f>
        <v>45016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45015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19</v>
      </c>
      <c r="C6" s="36">
        <v>90.0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19</v>
      </c>
      <c r="D6" s="13">
        <v>100.0</v>
      </c>
      <c r="E6" s="13" t="s">
        <v>21</v>
      </c>
      <c r="F6" s="13" t="s">
        <v>29</v>
      </c>
      <c r="G6" s="13">
        <v>10.0</v>
      </c>
      <c r="H6" s="13" t="s">
        <v>30</v>
      </c>
      <c r="I6" s="13"/>
      <c r="J6" s="13"/>
      <c r="K6" s="13"/>
      <c r="L6" s="13"/>
      <c r="M6" s="13"/>
      <c r="N6" s="13"/>
      <c r="O6" s="13"/>
      <c r="R6" s="9" t="s">
        <v>31</v>
      </c>
      <c r="S6" s="9" t="s">
        <v>32</v>
      </c>
      <c r="T6" s="9" t="s">
        <v>33</v>
      </c>
      <c r="U6" s="9" t="s">
        <v>34</v>
      </c>
      <c r="V6" s="9" t="s">
        <v>35</v>
      </c>
      <c r="W6" s="9" t="s">
        <v>36</v>
      </c>
      <c r="X6" s="9">
        <v>1.0</v>
      </c>
      <c r="Y6" s="9">
        <v>1.0</v>
      </c>
      <c r="AL6" s="9">
        <v>1.0</v>
      </c>
      <c r="AM6" s="9">
        <v>1.0</v>
      </c>
      <c r="AN6" s="9" t="s">
        <v>20</v>
      </c>
      <c r="AP6" s="9" t="s">
        <v>30</v>
      </c>
      <c r="AQ6" s="9" t="s">
        <v>19</v>
      </c>
      <c r="AR6" s="9">
        <v>90.0</v>
      </c>
      <c r="AS6" s="9">
        <v>1.0</v>
      </c>
      <c r="AT6" s="9" t="s">
        <v>37</v>
      </c>
      <c r="AU6" s="9" t="s">
        <v>38</v>
      </c>
      <c r="AV6" s="9">
        <v>1.0</v>
      </c>
      <c r="BC6" s="9">
        <v>1.0</v>
      </c>
      <c r="BD6" s="9">
        <v>0.0</v>
      </c>
      <c r="BE6" s="9" t="s">
        <v>33</v>
      </c>
      <c r="BF6" s="9" t="s">
        <v>39</v>
      </c>
      <c r="BQ6" s="9" t="s">
        <v>40</v>
      </c>
      <c r="BR6" s="9" t="s">
        <v>31</v>
      </c>
      <c r="BU6" s="9" t="s">
        <v>33</v>
      </c>
      <c r="BZ6" s="9">
        <v>90.0</v>
      </c>
      <c r="CA6" s="9">
        <v>90.0</v>
      </c>
      <c r="CP6" s="9" t="s">
        <v>41</v>
      </c>
      <c r="CS6" s="9">
        <v>10.0</v>
      </c>
      <c r="DJ6" s="9" t="s">
        <v>20</v>
      </c>
      <c r="DM6" s="9">
        <v>1.0</v>
      </c>
      <c r="DP6" s="9" t="s">
        <v>30</v>
      </c>
      <c r="DR6" s="9" t="s">
        <v>42</v>
      </c>
      <c r="EA6" s="9" t="s">
        <v>43</v>
      </c>
      <c r="EB6" s="9" t="s">
        <v>39</v>
      </c>
      <c r="EC6" s="9" t="s">
        <v>39</v>
      </c>
      <c r="ED6" s="9" t="s">
        <v>36</v>
      </c>
      <c r="EL6" s="9" t="s">
        <v>44</v>
      </c>
      <c r="EV6" s="9" t="s">
        <v>30</v>
      </c>
      <c r="FD6" s="9">
        <v>0.0</v>
      </c>
      <c r="FG6" s="9">
        <v>0.0</v>
      </c>
    </row>
    <row r="7" ht="15.75" customHeight="1">
      <c r="A7" s="8"/>
      <c r="B7" s="8"/>
      <c r="C7" s="13" t="s">
        <v>16</v>
      </c>
      <c r="D7" s="13">
        <v>100.0</v>
      </c>
      <c r="E7" s="13" t="s">
        <v>23</v>
      </c>
      <c r="F7" s="13" t="s">
        <v>29</v>
      </c>
      <c r="G7" s="13">
        <v>10.0</v>
      </c>
      <c r="H7" s="13" t="s">
        <v>30</v>
      </c>
      <c r="I7" s="13"/>
      <c r="J7" s="13"/>
      <c r="K7" s="13"/>
      <c r="L7" s="13"/>
      <c r="M7" s="13"/>
      <c r="N7" s="13"/>
      <c r="O7" s="13"/>
      <c r="R7" s="9" t="s">
        <v>45</v>
      </c>
      <c r="S7" s="9" t="s">
        <v>32</v>
      </c>
      <c r="T7" s="9" t="s">
        <v>46</v>
      </c>
      <c r="U7" s="9" t="s">
        <v>34</v>
      </c>
      <c r="V7" s="9" t="s">
        <v>47</v>
      </c>
      <c r="W7" s="9" t="s">
        <v>36</v>
      </c>
      <c r="X7" s="9">
        <v>100.0</v>
      </c>
      <c r="Y7" s="9">
        <v>1.0</v>
      </c>
      <c r="AL7" s="9">
        <v>-1.0</v>
      </c>
      <c r="AM7" s="9">
        <v>1.0</v>
      </c>
      <c r="AN7" s="9" t="s">
        <v>22</v>
      </c>
      <c r="AP7" s="9" t="s">
        <v>30</v>
      </c>
      <c r="AQ7" s="9" t="s">
        <v>19</v>
      </c>
      <c r="AR7" s="9">
        <v>90.0</v>
      </c>
      <c r="AS7" s="9">
        <v>1.0</v>
      </c>
      <c r="AT7" s="9" t="s">
        <v>37</v>
      </c>
      <c r="AU7" s="9" t="s">
        <v>38</v>
      </c>
      <c r="AV7" s="9">
        <v>1.0</v>
      </c>
      <c r="BC7" s="9">
        <v>1.0</v>
      </c>
      <c r="BD7" s="9">
        <v>-100000.0</v>
      </c>
      <c r="BE7" s="9" t="s">
        <v>48</v>
      </c>
      <c r="BF7" s="9" t="s">
        <v>39</v>
      </c>
      <c r="BO7" s="9">
        <v>-100000.0</v>
      </c>
      <c r="BQ7" s="9" t="s">
        <v>40</v>
      </c>
      <c r="BR7" s="9" t="s">
        <v>31</v>
      </c>
      <c r="BU7" s="9" t="s">
        <v>49</v>
      </c>
      <c r="CI7" s="9">
        <v>900000.0</v>
      </c>
      <c r="CP7" s="9" t="s">
        <v>50</v>
      </c>
      <c r="CS7" s="9">
        <v>10.0</v>
      </c>
      <c r="DJ7" s="9" t="s">
        <v>22</v>
      </c>
      <c r="DM7" s="9">
        <v>1.0</v>
      </c>
      <c r="DP7" s="9" t="s">
        <v>44</v>
      </c>
      <c r="DR7" s="9" t="s">
        <v>42</v>
      </c>
      <c r="EA7" s="9" t="s">
        <v>43</v>
      </c>
      <c r="EB7" s="9" t="s">
        <v>39</v>
      </c>
      <c r="EC7" s="9" t="s">
        <v>39</v>
      </c>
      <c r="ED7" s="9" t="s">
        <v>36</v>
      </c>
      <c r="EL7" s="9" t="s">
        <v>44</v>
      </c>
      <c r="EV7" s="9" t="s">
        <v>44</v>
      </c>
      <c r="FC7" s="9" t="s">
        <v>51</v>
      </c>
      <c r="FD7" s="9">
        <v>0.0</v>
      </c>
      <c r="FF7" s="9">
        <v>10.0</v>
      </c>
      <c r="FG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19</v>
      </c>
      <c r="C6" s="36">
        <v>90.0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