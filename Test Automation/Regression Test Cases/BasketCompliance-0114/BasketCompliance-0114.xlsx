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CreateComplianceOrder" sheetId="5" r:id="rId7"/>
    <sheet state="visible" name="VerifyAlertHistory" sheetId="6" r:id="rId8"/>
    <sheet state="visible" name="VerifyComplianceOrder" sheetId="7" r:id="rId9"/>
    <sheet state="visible" name="ApproveorRejectpendingapproval" sheetId="8" r:id="rId10"/>
    <sheet state="visible" name="VerifyOrder" sheetId="9" r:id="rId11"/>
    <sheet state="visible" name="SetCompliancePermission" sheetId="10" r:id="rId12"/>
  </sheets>
  <definedNames/>
  <calcPr/>
</workbook>
</file>

<file path=xl/sharedStrings.xml><?xml version="1.0" encoding="utf-8"?>
<sst xmlns="http://schemas.openxmlformats.org/spreadsheetml/2006/main" count="145" uniqueCount="68">
  <si>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</si>
  <si>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</si>
  <si>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</si>
  <si>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</si>
  <si>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</si>
  <si>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</si>
  <si>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</si>
  <si>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</si>
  <si>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</si>
  <si>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</si>
  <si>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</si>
  <si>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</si>
  <si>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</si>
  <si>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</si>
  <si>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</si>
  <si>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</si>
  <si>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Support2</t>
  </si>
  <si>
    <t>Nirvana@1</t>
  </si>
  <si>
    <t>TradingTicket</t>
  </si>
  <si>
    <t>CreateComplianceOrder</t>
  </si>
  <si>
    <t>GOOG</t>
  </si>
  <si>
    <t>Buy</t>
  </si>
  <si>
    <t>Allocation1</t>
  </si>
  <si>
    <t>Yes</t>
  </si>
  <si>
    <t>CreateOrder</t>
  </si>
  <si>
    <t>Compliance</t>
  </si>
  <si>
    <t>VerifyAlertHistory</t>
  </si>
  <si>
    <t>Trade</t>
  </si>
  <si>
    <t>PreTrade</t>
  </si>
  <si>
    <t>Enter Summary</t>
  </si>
  <si>
    <t>quantity: 1200.00 symbol: GOOG</t>
  </si>
  <si>
    <t>Trade passed as rule is overriden by user (jpearce</t>
  </si>
  <si>
    <t>Stage</t>
  </si>
  <si>
    <t>Quantity_Check_Rule_1000</t>
  </si>
  <si>
    <t>Quantity Check Rule</t>
  </si>
  <si>
    <t>Symbol: GOOG  quantity: 1200.00 Symbol: GOOG</t>
  </si>
  <si>
    <t>Account_Symbol</t>
  </si>
  <si>
    <t>quantity: 1200.00 symbol: GOOG AccountShortName: Allocation1</t>
  </si>
  <si>
    <t>Allocation1-GOOG</t>
  </si>
  <si>
    <t>Symbol</t>
  </si>
  <si>
    <t>VerifyComplianceOrder</t>
  </si>
  <si>
    <t>Requires Approval</t>
  </si>
  <si>
    <t>If Quantity not equals to -1234, Symbol equals to "GOOG", Then block the trade.</t>
  </si>
  <si>
    <t>quantity: 1,200.00, symbol: GOOG, AccountShortName: Allocation1</t>
  </si>
  <si>
    <t>Compliance Officer - Please Approve</t>
  </si>
  <si>
    <t>Soft with Notes</t>
  </si>
  <si>
    <t>If Quantity not equals to -123466, Symbol equals to "GOOG", Then block the trade.</t>
  </si>
  <si>
    <t>quantity: 1,200.00, symbol: GOOG</t>
  </si>
  <si>
    <t>Soft</t>
  </si>
  <si>
    <t>If Quantity not equals to -1234, Then block the trade.</t>
  </si>
  <si>
    <t>Symbol: GOOG , quantity: 1,200.00, Symbol: GOOG</t>
  </si>
  <si>
    <t>ApproveorRejectpendingapproval</t>
  </si>
  <si>
    <t>Single Trade</t>
  </si>
  <si>
    <t>Buy 1,200 GOOG @10, Notional USD 12,000</t>
  </si>
  <si>
    <t>DefaultNotes</t>
  </si>
  <si>
    <t>jgulbrandsen</t>
  </si>
  <si>
    <t>MS</t>
  </si>
  <si>
    <t>Pending Approval</t>
  </si>
  <si>
    <t>Approve</t>
  </si>
  <si>
    <t>Blotter</t>
  </si>
  <si>
    <t>VerifyOrder</t>
  </si>
  <si>
    <t>New</t>
  </si>
  <si>
    <t>Market</t>
  </si>
  <si>
    <t>Admin</t>
  </si>
  <si>
    <t>SetCompliancePermission</t>
  </si>
  <si>
    <t>REQUIRES APPROVAL</t>
  </si>
  <si>
    <t>SOFT WITH NOTES</t>
  </si>
  <si>
    <t>SOFT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</si>
</sst>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m/dd/yyyy h:mm:ss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  <font>
      <b/>
      <sz val="9.0"/>
      <color rgb="FF000000"/>
      <name val="&quot;Segoe UI&quot;"/>
    </font>
  </fonts>
  <fills count="12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4863A0"/>
        <bgColor rgb="FF4863A0"/>
      </patternFill>
    </fill>
    <fill>
      <patternFill patternType="solid">
        <fgColor rgb="FFCBD6E0"/>
        <bgColor rgb="FFCBD6E0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6" fontId="13" numFmtId="0" xfId="0" applyAlignment="1" applyFill="1" applyFont="1">
      <alignment horizontal="left" readingOrder="0" shrinkToFit="0" vertical="top" wrapText="0"/>
    </xf>
    <xf borderId="0" fillId="7" fontId="13" numFmtId="0" xfId="0" applyAlignment="1" applyFill="1" applyFont="1">
      <alignment horizontal="left" readingOrder="0" shrinkToFit="0" vertical="top" wrapText="0"/>
    </xf>
    <xf borderId="0" fillId="8" fontId="14" numFmtId="0" xfId="0" applyAlignment="1" applyFill="1" applyFont="1">
      <alignment horizontal="left" shrinkToFit="0" vertical="top" wrapText="0"/>
    </xf>
    <xf borderId="0" fillId="9" fontId="13" numFmtId="0" xfId="0" applyAlignment="1" applyFill="1" applyFont="1">
      <alignment horizontal="left" readingOrder="0" shrinkToFit="0" vertical="top" wrapText="0"/>
    </xf>
    <xf borderId="0" fillId="10" fontId="14" numFmtId="0" xfId="0" applyAlignment="1" applyFill="1" applyFont="1">
      <alignment horizontal="left" shrinkToFit="0" vertical="top" wrapText="0"/>
    </xf>
    <xf borderId="0" fillId="10" fontId="15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vertical="bottom"/>
    </xf>
    <xf borderId="5" fillId="10" fontId="3" numFmtId="165" xfId="0" applyAlignment="1" applyBorder="1" applyFont="1" applyNumberFormat="1">
      <alignment vertical="top"/>
    </xf>
    <xf borderId="5" fillId="10" fontId="14" numFmtId="0" xfId="0" applyAlignment="1" applyBorder="1" applyFont="1">
      <alignment horizontal="right" vertical="top"/>
    </xf>
    <xf borderId="5" fillId="10" fontId="15" numFmtId="0" xfId="0" applyAlignment="1" applyBorder="1" applyFont="1">
      <alignment horizontal="right" readingOrder="0" shrinkToFit="0" vertical="top" wrapText="0"/>
    </xf>
    <xf borderId="5" fillId="10" fontId="3" numFmtId="0" xfId="0" applyAlignment="1" applyBorder="1" applyFont="1">
      <alignment vertical="top"/>
    </xf>
    <xf borderId="5" fillId="10" fontId="16" numFmtId="0" xfId="0" applyAlignment="1" applyBorder="1" applyFont="1">
      <alignment horizontal="right" vertical="top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0" fillId="10" fontId="14" numFmtId="0" xfId="0" applyAlignment="1" applyFont="1">
      <alignment horizontal="right" readingOrder="0" shrinkToFit="0" vertical="top" wrapText="0"/>
    </xf>
    <xf borderId="0" fillId="8" fontId="14" numFmtId="0" xfId="0" applyAlignment="1" applyFont="1">
      <alignment horizontal="right" readingOrder="0" shrinkToFit="0" vertical="top" wrapText="0"/>
    </xf>
    <xf borderId="0" fillId="10" fontId="14" numFmtId="0" xfId="0" applyAlignment="1" applyFont="1">
      <alignment horizontal="left" readingOrder="0" shrinkToFit="0" vertical="top" wrapText="0"/>
    </xf>
    <xf borderId="5" fillId="11" fontId="15" numFmtId="0" xfId="0" applyAlignment="1" applyBorder="1" applyFill="1" applyFont="1">
      <alignment shrinkToFit="0" vertical="bottom" wrapText="0"/>
    </xf>
    <xf borderId="0" fillId="8" fontId="14" numFmtId="0" xfId="0" applyAlignment="1" applyFont="1">
      <alignment horizontal="left" readingOrder="0" shrinkToFit="0" vertical="top" wrapText="0"/>
    </xf>
    <xf borderId="0" fillId="11" fontId="15" numFmtId="0" xfId="0" applyAlignment="1" applyFont="1">
      <alignment vertical="bottom"/>
    </xf>
    <xf borderId="0" fillId="8" fontId="15" numFmtId="0" xfId="0" applyAlignment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IFERROR(__xludf.DUMMYFUNCTION("""COMPUTED_VALUE"""),"1daWmaCLtl5-u8RrR38duUYZoUwwRdmQNmQUk-UFSbh8")</f>
        <v>1daWmaCLtl5-u8RrR38duUYZoUwwRdmQNmQUk-UFSbh8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IFERROR(__xludf.DUMMYFUNCTION("""COMPUTED_VALUE"""),"1gPMin1udTRZeqwLV9tSHt5nU8vpqc3NVx2Q0Tg0-p7Y")</f>
        <v>1gPMin1udTRZeqwLV9tSHt5nU8vpqc3NVx2Q0Tg0-p7Y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IFERROR(__xludf.DUMMYFUNCTION("""COMPUTED_VALUE"""),"12-zLeaphbhmHtw8rRK5ThIs7me8PklDclwlNwfPbXK4")</f>
        <v>12-zLeaphbhmHtw8rRK5ThIs7me8PklDclwlNwfPbXK4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IFERROR(__xludf.DUMMYFUNCTION("""COMPUTED_VALUE"""),"1PQwArcRUuaOQiz5S2jeaenwj9qNZTWgzfhAlHT-Pd1E")</f>
        <v>1PQwArcRUuaOQiz5S2jeaenwj9qNZTWgzfhAlHT-Pd1E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IFERROR(__xludf.DUMMYFUNCTION("""COMPUTED_VALUE"""),"18KFx8YJjXeehMrsrxPVrAlsqv5cDNM4sL10WRca5NKM")</f>
        <v>18KFx8YJjXeehMrsrxPVrAlsqv5cDNM4sL10WRca5NKM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IFERROR(__xludf.DUMMYFUNCTION("""COMPUTED_VALUE"""),"1rmMKHzR6LMbriTLpSwsWo5h7qfkUwKO5MIi-cWWx8-k")</f>
        <v>1rmMKHzR6LMbriTLpSwsWo5h7qfkUwKO5MIi-cWWx8-k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IFERROR(__xludf.DUMMYFUNCTION("""COMPUTED_VALUE"""),"1QwZRlBhhx0osi-B1PdxvO3P3W3BAXkDzM2yrJmnO__c")</f>
        <v>1QwZRlBhhx0osi-B1PdxvO3P3W3BAXkDzM2yrJmnO__c</v>
      </c>
    </row>
    <row r="428" ht="15.75" customHeight="1">
      <c r="A428" t="str">
        <f>IFERROR(__xludf.DUMMYFUNCTION("""COMPUTED_VALUE"""),"CorporateAction ")</f>
        <v>CorporateAction </v>
      </c>
      <c r="B428" t="str">
        <f>IFERROR(__xludf.DUMMYFUNCTION("""COMPUTED_VALUE"""),"VerifyAndSaveCorpAction")</f>
        <v>VerifyAndSaveCorpAction</v>
      </c>
      <c r="C428" t="str">
        <f>IFERROR(__xludf.DUMMYFUNCTION("""COMPUTED_VALUE"""),"146PST8sP3dOm_SLLf4EP05WMQk8v95fnGk_VMEIiZeQ")</f>
        <v>146PST8sP3dOm_SLLf4EP05WMQk8v95fnGk_VMEIiZeQ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IFERROR(__xludf.DUMMYFUNCTION("""COMPUTED_VALUE"""),"17MMLrGtrNy7Qk2KDYSM_5mxeBqL4fj27RTyoqb753r4")</f>
        <v>17MMLrGtrNy7Qk2KDYSM_5mxeBqL4fj27RTyoqb753r4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IFERROR(__xludf.DUMMYFUNCTION("""COMPUTED_VALUE"""),"12YzpBbctXJ7tt5Rs3yVMyYiFexSCsLCSFZxRmOTGAnA")</f>
        <v>12YzpBbctXJ7tt5Rs3yVMyYiFexSCsLCSFZxRmOTGAnA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IFERROR(__xludf.DUMMYFUNCTION("""COMPUTED_VALUE"""),"11h9NAV7B59X8ff2awrMfG6bGhrk-CohPIDGmN5O1Z0s")</f>
        <v>11h9NAV7B59X8ff2awrMfG6bGhrk-CohPIDGmN5O1Z0s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IFERROR(__xludf.DUMMYFUNCTION("""COMPUTED_VALUE"""),"1NIGFq7xyMD3dCAzBn7Aybj88-zVYS-uQkEl_uOTRFLk")</f>
        <v>1NIGFq7xyMD3dCAzBn7Aybj88-zVYS-uQkEl_uOTRFLk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IFERROR(__xludf.DUMMYFUNCTION("""COMPUTED_VALUE"""),"1uyEgk_IU7WhZZ2gCVbVNLBNZhgXB_2p-G9ibtBRvqYE")</f>
        <v>1uyEgk_IU7WhZZ2gCVbVNLBNZhgXB_2p-G9ibtBRvqYE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IFERROR(__xludf.DUMMYFUNCTION("""COMPUTED_VALUE"""),"15GaszFrxEJPxL05WiuB3JgAc-7Uig-iyDZRrmgpAvyQ")</f>
        <v>15GaszFrxEJPxL05WiuB3JgAc-7Uig-iyDZRrmgpAvyQ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IFERROR(__xludf.DUMMYFUNCTION("""COMPUTED_VALUE"""),"1H3NF3ekEB_jtnQ6nAPayaHaGtx_2kLuKvJ9qyzd2I2I")</f>
        <v>1H3NF3ekEB_jtnQ6nAPayaHaGtx_2kLuKvJ9qyzd2I2I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IFERROR(__xludf.DUMMYFUNCTION("""COMPUTED_VALUE"""),"1sBgTfLxjF-eLDEQovNIQXxVdy87Sx0Cb24sVDh10pXM")</f>
        <v>1sBgTfLxjF-eLDEQovNIQXxVdy87Sx0Cb24sVDh10pXM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IFERROR(__xludf.DUMMYFUNCTION("""COMPUTED_VALUE"""),"1n-h3PT-RQ62N_5RLlf__-_nBt6pX6gTeokAqyHCUydw")</f>
        <v>1n-h3PT-RQ62N_5RLlf__-_nBt6pX6gTeokAqyHCUydw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IFERROR(__xludf.DUMMYFUNCTION("""COMPUTED_VALUE"""),"1bL3Mc9ko2ABUfRaygcH05a75HlVgOJoZg1ZR8VFCx2s")</f>
        <v>1bL3Mc9ko2ABUfRaygcH05a75HlVgOJoZg1ZR8VFCx2s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IFERROR(__xludf.DUMMYFUNCTION("""COMPUTED_VALUE"""),"1p3N5fuIHZooLiXra7t901Un-5BX1Dub2GwRau5xmnzY")</f>
        <v>1p3N5fuIHZooLiXra7t901Un-5BX1Dub2GwRau5xmnzY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IFERROR(__xludf.DUMMYFUNCTION("""COMPUTED_VALUE"""),"1g8yHX3NgTZ69qR9sJuH4OwZDcdDQ4zNzTUIz8i9c8Wc")</f>
        <v>1g8yHX3NgTZ69qR9sJuH4OwZDcdDQ4zNzTUIz8i9c8Wc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IFERROR(__xludf.DUMMYFUNCTION("""COMPUTED_VALUE"""),"1YmNAq8VlKqlQdZW8Qb-4HKEvna5uWGWWZ257kBzZ3g8")</f>
        <v>1YmNAq8VlKqlQdZW8Qb-4HKEvna5uWGWWZ257kBzZ3g8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IFERROR(__xludf.DUMMYFUNCTION("""COMPUTED_VALUE"""),"1aoefQ2rn_ekQSQ5w1OA5dDn-kkC5Mhjygz9lUK_INpw")</f>
        <v>1aoefQ2rn_ekQSQ5w1OA5dDn-kkC5Mhjygz9lUK_INpw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IFERROR(__xludf.DUMMYFUNCTION("""COMPUTED_VALUE"""),"1zLKKBGrkdJnOK0je8SVf7FNy8N74M1Y58Ijeg4-2PoM")</f>
        <v>1zLKKBGrkdJnOK0je8SVf7FNy8N74M1Y58Ijeg4-2PoM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IFERROR(__xludf.DUMMYFUNCTION("""COMPUTED_VALUE"""),"1yl-Ggnzc6WlzcJkjk53PzqzifLSUFBSUWedGjO2j1sI")</f>
        <v>1yl-Ggnzc6WlzcJkjk53PzqzifLSUFBSUWedGjO2j1sI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IFERROR(__xludf.DUMMYFUNCTION("""COMPUTED_VALUE"""),"1BioDAFgRK9uBg8Ftw35Xfp5pj4WxwmmYzwIJBuO-DwQ")</f>
        <v>1BioDAFgRK9uBg8Ftw35Xfp5pj4WxwmmYzwIJBuO-DwQ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IFERROR(__xludf.DUMMYFUNCTION("""COMPUTED_VALUE"""),"16Qb8L4YsI0WqV4SeARzc48bRpwR2V4Z0MV8OYoCFGhk")</f>
        <v>16Qb8L4YsI0WqV4SeARzc48bRpwR2V4Z0MV8OYoCFGhk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IFERROR(__xludf.DUMMYFUNCTION("""COMPUTED_VALUE"""),"1DTWgrx0dU8hFuUe5pmBqyj4Lg5WTlhIj6qkrNZ9ICjk")</f>
        <v>1DTWgrx0dU8hFuUe5pmBqyj4Lg5WTlhIj6qkrNZ9ICjk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IFERROR(__xludf.DUMMYFUNCTION("""COMPUTED_VALUE"""),"15i1dY6hiW1m4QYwSjhx4JAOW2WLNuZU-m8pp-a1afIc")</f>
        <v>15i1dY6hiW1m4QYwSjhx4JAOW2WLNuZU-m8pp-a1afIc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IFERROR(__xludf.DUMMYFUNCTION("""COMPUTED_VALUE"""),"1FoMj8Y6YQKmNanRt2lm2Bh_abv6-z3QHsKHrSZf0fzk")</f>
        <v>1FoMj8Y6YQKmNanRt2lm2Bh_abv6-z3QHsKHrSZf0fzk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IFERROR(__xludf.DUMMYFUNCTION("""COMPUTED_VALUE"""),"1kJHggZBmha8GLtaL5ZV_B3BS4Gwe7Lz8xw9VxE7dOZo")</f>
        <v>1kJHggZBmha8GLtaL5ZV_B3BS4Gwe7Lz8xw9VxE7dOZo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IFERROR(__xludf.DUMMYFUNCTION("""COMPUTED_VALUE"""),"1oXhOfdNQe4jyRJ2C0rhWTdFRGTIOV39EEnimfabEDfg")</f>
        <v>1oXhOfdNQe4jyRJ2C0rhWTdFRGTIOV39EEnimfabEDfg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IFERROR(__xludf.DUMMYFUNCTION("""COMPUTED_VALUE"""),"1oCioVWRpfyuyVxfO16G2yJ720gXGkma0qGlK4ZyrYg4")</f>
        <v>1oCioVWRpfyuyVxfO16G2yJ720gXGkma0qGlK4ZyrYg4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IFERROR(__xludf.DUMMYFUNCTION("""COMPUTED_VALUE"""),"10uiIcQww3gObeTuZg8B6hz4zaM4MJICGafz7PPnEHAs")</f>
        <v>10uiIcQww3gObeTuZg8B6hz4zaM4MJICGafz7PPnEHAs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IFERROR(__xludf.DUMMYFUNCTION("""COMPUTED_VALUE"""),"18Q05MSktNTIHVgTsRKNrAGtMDLi69cwqazVhf_5vGUs")</f>
        <v>18Q05MSktNTIHVgTsRKNrAGtMDLi69cwqazVhf_5vGUs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IFERROR(__xludf.DUMMYFUNCTION("""COMPUTED_VALUE"""),"1lE_cU-tlZ7oe5H_dwFeCKyUTo0QAax5WNCxb0aT0h3k")</f>
        <v>1lE_cU-tlZ7oe5H_dwFeCKyUTo0QAax5WNCxb0aT0h3k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IFERROR(__xludf.DUMMYFUNCTION("""COMPUTED_VALUE"""),"1d_eucCmN5G9f8_NiLaxsLdEikfWW-iKoCQ7vev7O0zU")</f>
        <v>1d_eucCmN5G9f8_NiLaxsLdEikfWW-iKoCQ7vev7O0zU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IFERROR(__xludf.DUMMYFUNCTION("""COMPUTED_VALUE"""),"1o5yFjfxSDwUZg4TV7tpFK_WjNSoNTnfL0wboLVCUm1c")</f>
        <v>1o5yFjfxSDwUZg4TV7tpFK_WjNSoNTnfL0wboLVCUm1c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IFERROR(__xludf.DUMMYFUNCTION("""COMPUTED_VALUE"""),"1bucapBjYv7lpkviHI-0ZpKwEa06hE9XLTYxCAkiqv1Y")</f>
        <v>1bucapBjYv7lpkviHI-0ZpKwEa06hE9XLTYxCAkiqv1Y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IFERROR(__xludf.DUMMYFUNCTION("""COMPUTED_VALUE"""),"1wpKxeuT5ngykDq8oxD8v-gkl_lDsqPEk3FXZl1BBGNU")</f>
        <v>1wpKxeuT5ngykDq8oxD8v-gkl_lDsqPEk3FXZl1BBGNU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IFERROR(__xludf.DUMMYFUNCTION("""COMPUTED_VALUE"""),"188Cj5Oajs1RWZqRf1bLDBac-8Msm8v6wy-DudfpzAZU")</f>
        <v>188Cj5Oajs1RWZqRf1bLDBac-8Msm8v6wy-DudfpzAZU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IFERROR(__xludf.DUMMYFUNCTION("""COMPUTED_VALUE"""),"1QjBxJ-nrJcTpAkTasi94_sVisBgMGti7OMQXSW2qseQ")</f>
        <v>1QjBxJ-nrJcTpAkTasi94_sVisBgMGti7OMQXSW2qseQ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IFERROR(__xludf.DUMMYFUNCTION("""COMPUTED_VALUE"""),"1AQwPv2q79wcTa3HlFCQkHG7umwMKlkwPJ1HUBORVfsc")</f>
        <v>1AQwPv2q79wcTa3HlFCQkHG7umwMKlkwPJ1HUBORVfsc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IFERROR(__xludf.DUMMYFUNCTION("""COMPUTED_VALUE"""),"1HyQP4Vrh5_w30EPDJEhjFufpoV-ySJfmHbrzDDK_XLA")</f>
        <v>1HyQP4Vrh5_w30EPDJEhjFufpoV-ySJfmHbrzDDK_XLA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IFERROR(__xludf.DUMMYFUNCTION("""COMPUTED_VALUE"""),"1-86nRBAwVMofYmwMdMDgXGJGcmif9ZGSu6dQcsjk8mA")</f>
        <v>1-86nRBAwVMofYmwMdMDgXGJGcmif9ZGSu6dQcsjk8mA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IFERROR(__xludf.DUMMYFUNCTION("""COMPUTED_VALUE"""),"1Te-cBRFv_FKkvhELasch4HdUPvbgmGvyaL6GSm8rfJ8")</f>
        <v>1Te-cBRFv_FKkvhELasch4HdUPvbgmGvyaL6GSm8rfJ8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IFERROR(__xludf.DUMMYFUNCTION("""COMPUTED_VALUE"""),"1dJTHiT90Stsu7bgBQnfHKxlF7IvmTIhNFC2w3EdJlw0")</f>
        <v>1dJTHiT90Stsu7bgBQnfHKxlF7IvmTIhNFC2w3EdJlw0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IFERROR(__xludf.DUMMYFUNCTION("""COMPUTED_VALUE"""),"1euGFLIds_3eA9FuJ69reigrp7frEDEtKK3dBvh99T0k")</f>
        <v>1euGFLIds_3eA9FuJ69reigrp7frEDEtKK3dBvh99T0k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IFERROR(__xludf.DUMMYFUNCTION("""COMPUTED_VALUE"""),"1wafvyb438EvqeluBWDpXJE8X9Q8gOn3Ijw3caT3wgio")</f>
        <v>1wafvyb438EvqeluBWDpXJE8X9Q8gOn3Ijw3caT3wgio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IFERROR(__xludf.DUMMYFUNCTION("""COMPUTED_VALUE"""),"1l4Egceegv_mDnvE4M_HcBbuAgQh8NhlmPu_10KloWAg")</f>
        <v>1l4Egceegv_mDnvE4M_HcBbuAgQh8NhlmPu_10KloWAg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IFERROR(__xludf.DUMMYFUNCTION("""COMPUTED_VALUE"""),"18PF0rNHvoiKp_FuUlo8mthi46lV23xFlAq576GQRdnk")</f>
        <v>18PF0rNHvoiKp_FuUlo8mthi46lV23xFlAq576GQRdnk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IFERROR(__xludf.DUMMYFUNCTION("""COMPUTED_VALUE"""),"19Yxtc0mG-kYgx9XiMj2EmICwIzmI7MHhVW5H8sXjfqc")</f>
        <v>19Yxtc0mG-kYgx9XiMj2EmICwIzmI7MHhVW5H8sXjfqc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IFERROR(__xludf.DUMMYFUNCTION("""COMPUTED_VALUE"""),"1leOcJPhSPuUZuc26liYTUkBEgS0ZkyPgfsQ2q70vYYU")</f>
        <v>1leOcJPhSPuUZuc26liYTUkBEgS0ZkyPgfsQ2q70vYYU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IFERROR(__xludf.DUMMYFUNCTION("""COMPUTED_VALUE"""),"1EV6M1kdYbGffiAWDGUsHZDUm9EMHjyVnQif2Bq_w5YQ")</f>
        <v>1EV6M1kdYbGffiAWDGUsHZDUm9EMHjyVnQif2Bq_w5YQ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IFERROR(__xludf.DUMMYFUNCTION("""COMPUTED_VALUE"""),"1NWy1tNLHXUklTVeScryRsYAkdc5-LJ3oDBhQkv8WT8M")</f>
        <v>1NWy1tNLHXUklTVeScryRsYAkdc5-LJ3oDBhQkv8WT8M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IFERROR(__xludf.DUMMYFUNCTION("""COMPUTED_VALUE"""),"1bVPxA0zNj_p7pg9E8mTgLU7yGIrp_WO7jQMtzLb9etg")</f>
        <v>1bVPxA0zNj_p7pg9E8mTgLU7yGIrp_WO7jQMtzLb9etg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IFERROR(__xludf.DUMMYFUNCTION("""COMPUTED_VALUE"""),"1pI0OFiaN7-udDb32hud9I-wifPd3OsRMQPJXWrVRGYE")</f>
        <v>1pI0OFiaN7-udDb32hud9I-wifPd3OsRMQPJXWrVRGYE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IFERROR(__xludf.DUMMYFUNCTION("""COMPUTED_VALUE"""),"1MR0CqV87GTUrjVmW-u4lucv_hu_DKW9AesdoirhhPoE")</f>
        <v>1MR0CqV87GTUrjVmW-u4lucv_hu_DKW9AesdoirhhPoE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IFERROR(__xludf.DUMMYFUNCTION("""COMPUTED_VALUE"""),"1VZd-w4B9IFs_jtM2q4yseIyXmK7riLhK8i1YlvU3OJ4")</f>
        <v>1VZd-w4B9IFs_jtM2q4yseIyXmK7riLhK8i1YlvU3OJ4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IFERROR(__xludf.DUMMYFUNCTION("""COMPUTED_VALUE"""),"1kyDKqBSEYxIlVdn2RdP-ZHnw5fK3SeBCqbpEqQfktbQ")</f>
        <v>1kyDKqBSEYxIlVdn2RdP-ZHnw5fK3SeBCqbpEqQfktbQ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IFERROR(__xludf.DUMMYFUNCTION("""COMPUTED_VALUE"""),"1dFUyUk6aFrwRW0TKRMWTlK9vFTp49OVXBqXSHz95DkI")</f>
        <v>1dFUyUk6aFrwRW0TKRMWTlK9vFTp49OVXBqXSHz95DkI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IFERROR(__xludf.DUMMYFUNCTION("""COMPUTED_VALUE"""),"1-xB5jbzgNDsYwxNItM2igLx6ybosKhYJDG45Cf1B00s")</f>
        <v>1-xB5jbzgNDsYwxNItM2igLx6ybosKhYJDG45Cf1B00s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IFERROR(__xludf.DUMMYFUNCTION("""COMPUTED_VALUE"""),"1j3XobpWhCBX14E7l14SxsGfD41uorXKq0Dzi78xEAl0")</f>
        <v>1j3XobpWhCBX14E7l14SxsGfD41uorXKq0Dzi78xEAl0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IFERROR(__xludf.DUMMYFUNCTION("""COMPUTED_VALUE"""),"1CGteHSn0TR35mDibHM_mvLDac-OHhb53IYGxYOU4O8c")</f>
        <v>1CGteHSn0TR35mDibHM_mvLDac-OHhb53IYGxYOU4O8c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IFERROR(__xludf.DUMMYFUNCTION("""COMPUTED_VALUE"""),"1N8yfRgpk29yJ2RajAJrKlhzej1Vm_fg2kmJVyjXLrvg")</f>
        <v>1N8yfRgpk29yJ2RajAJrKlhzej1Vm_fg2kmJVyjXLrvg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IFERROR(__xludf.DUMMYFUNCTION("""COMPUTED_VALUE"""),"1cUNtTiujid_O-E1ZKZwAgG6FILaEpJPyU8e7KNenYXI")</f>
        <v>1cUNtTiujid_O-E1ZKZwAgG6FILaEpJPyU8e7KNenYXI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IFERROR(__xludf.DUMMYFUNCTION("""COMPUTED_VALUE"""),"1WxElTsVLEdnCe639nqI7szGn5lHG-xxKjGMKw890Nxs")</f>
        <v>1WxElTsVLEdnCe639nqI7szGn5lHG-xxKjGMKw890Nxs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IFERROR(__xludf.DUMMYFUNCTION("""COMPUTED_VALUE"""),"1gMSDalyxsP_enjWpKNvUKpnf9DVP87AgNzPibA-eyb0")</f>
        <v>1gMSDalyxsP_enjWpKNvUKpnf9DVP87AgNzPibA-eyb0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IFERROR(__xludf.DUMMYFUNCTION("""COMPUTED_VALUE"""),"1XgMq7YXIsXKsvwpomSkKrDlipk4Y-ffMAHhllAES020")</f>
        <v>1XgMq7YXIsXKsvwpomSkKrDlipk4Y-ffMAHhllAES020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IFERROR(__xludf.DUMMYFUNCTION("""COMPUTED_VALUE"""),"1Ovwt1TBMu4eX_5xPIErUMp0szT3pOQv-xpOMc_u8oTQ")</f>
        <v>1Ovwt1TBMu4eX_5xPIErUMp0szT3pOQv-xpOMc_u8oTQ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IFERROR(__xludf.DUMMYFUNCTION("""COMPUTED_VALUE"""),"1MffewIlf1S9vLrAIh3aiDyNp7gGbrYIPJ5afHeDrnVY")</f>
        <v>1MffewIlf1S9vLrAIh3aiDyNp7gGbrYIPJ5afHeDrnVY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IFERROR(__xludf.DUMMYFUNCTION("""COMPUTED_VALUE"""),"1g5KDLoyLmVz3yEiZzqea5rWpYDsJy0U5SKzio29JwFw")</f>
        <v>1g5KDLoyLmVz3yEiZzqea5rWpYDsJy0U5SKzio29JwFw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IFERROR(__xludf.DUMMYFUNCTION("""COMPUTED_VALUE"""),"1OmAaisxsenYaDlJ4dEuvm14OJefiALIjp5WHk5BiW4M")</f>
        <v>1OmAaisxsenYaDlJ4dEuvm14OJefiALIjp5WHk5BiW4M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IFERROR(__xludf.DUMMYFUNCTION("""COMPUTED_VALUE"""),"1u5co1GxTETT-t-Y-D0bp3gH4_470l1tV19b2Ge9cabM")</f>
        <v>1u5co1GxTETT-t-Y-D0bp3gH4_470l1tV19b2Ge9cabM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IFERROR(__xludf.DUMMYFUNCTION("""COMPUTED_VALUE"""),"1Q0qEAvdybmeczJnkPdgP8k0_TaW0HOeRFexMckMR-18")</f>
        <v>1Q0qEAvdybmeczJnkPdgP8k0_TaW0HOeRFexMckMR-18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IFERROR(__xludf.DUMMYFUNCTION("""COMPUTED_VALUE"""),"1_wE7yP7PUnttaLCmZoDnxxzk_PFNSFCOma_pC4ViU6E")</f>
        <v>1_wE7yP7PUnttaLCmZoDnxxzk_PFNSFCOma_pC4ViU6E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IFERROR(__xludf.DUMMYFUNCTION("""COMPUTED_VALUE"""),"1JxgHW7rNshltHJ_tYhcbx1WTeF-Ge0ipf7IzTYHWuGc")</f>
        <v>1JxgHW7rNshltHJ_tYhcbx1WTeF-Ge0ipf7IzTYHWuGc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IFERROR(__xludf.DUMMYFUNCTION("""COMPUTED_VALUE"""),"1EfN5-n0Flku86UC55Hrfb0fwDOOr0WS_pPckzAO-Nuk")</f>
        <v>1EfN5-n0Flku86UC55Hrfb0fwDOOr0WS_pPckzAO-Nuk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IFERROR(__xludf.DUMMYFUNCTION("""COMPUTED_VALUE"""),"1rtkxweRxmt7T-ctvx_6DrnlqP57bpTIP6Ieul7_mP6A")</f>
        <v>1rtkxweRxmt7T-ctvx_6DrnlqP57bpTIP6Ieul7_mP6A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IFERROR(__xludf.DUMMYFUNCTION("""COMPUTED_VALUE"""),"1bYrBAoKW9vS-yV7iY_o_bSeBsS4YGKCqurg8f5zUrJ8")</f>
        <v>1bYrBAoKW9vS-yV7iY_o_bSeBsS4YGKCqurg8f5zUrJ8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IFERROR(__xludf.DUMMYFUNCTION("""COMPUTED_VALUE"""),"1jh-uMffIi0EiSv0QmaxSeDY5pD0Bo-YUzVPlNlIB5sk")</f>
        <v>1jh-uMffIi0EiSv0QmaxSeDY5pD0Bo-YUzVPlNlIB5sk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IFERROR(__xludf.DUMMYFUNCTION("""COMPUTED_VALUE"""),"18prvJHsrb-rcZzLiFugnRouMTG2v1w23-4XsA6vdq28")</f>
        <v>18prvJHsrb-rcZzLiFugnRouMTG2v1w23-4XsA6vdq28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IFERROR(__xludf.DUMMYFUNCTION("""COMPUTED_VALUE"""),"10Qkq27hhdOEj1Wsc8HDmoaYNRjZvZz3hYs_g-o2srD4")</f>
        <v>10Qkq27hhdOEj1Wsc8HDmoaYNRjZvZz3hYs_g-o2srD4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IFERROR(__xludf.DUMMYFUNCTION("""COMPUTED_VALUE"""),"12JlWbwTibBQxTu6k-LfAtZm3Ge3zv_5pTxfwGMUw41Y")</f>
        <v>12JlWbwTibBQxTu6k-LfAtZm3Ge3zv_5pTxfwGMUw41Y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IFERROR(__xludf.DUMMYFUNCTION("""COMPUTED_VALUE"""),"1y-8IjqY0F-JaHDEQlN0WPEnzbLFvyaXbrTNH8_TVTks")</f>
        <v>1y-8IjqY0F-JaHDEQlN0WPEnzbLFvyaXbrTNH8_TVTks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IFERROR(__xludf.DUMMYFUNCTION("""COMPUTED_VALUE"""),"1nR5JdSa_bHe_xGX50gs4EzgjOu_OvNU3Jr03lpqD0xw")</f>
        <v>1nR5JdSa_bHe_xGX50gs4EzgjOu_OvNU3Jr03lpqD0xw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IFERROR(__xludf.DUMMYFUNCTION("""COMPUTED_VALUE"""),"1y76YUxz2PJo3dkDwBM0DtU6wDkbeltscHEvWIbis6PU")</f>
        <v>1y76YUxz2PJo3dkDwBM0DtU6wDkbeltscHEvWIbis6PU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IFERROR(__xludf.DUMMYFUNCTION("""COMPUTED_VALUE"""),"1yt7YEJD5SbOmQGT4lGjpllft89GAxVsEpZGz0MjiwoE")</f>
        <v>1yt7YEJD5SbOmQGT4lGjpllft89GAxVsEpZGz0MjiwoE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IFERROR(__xludf.DUMMYFUNCTION("""COMPUTED_VALUE"""),"1NAb2WMfxxO3WY8IHkZpmM2CEoQJdLSaSUKkJGXbMhpM")</f>
        <v>1NAb2WMfxxO3WY8IHkZpmM2CEoQJdLSaSUKkJGXbMhpM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IFERROR(__xludf.DUMMYFUNCTION("""COMPUTED_VALUE"""),"1jzzm_gfQ-iQdhfat681yxboDYvsF3ICqvTE6xBuUuPw")</f>
        <v>1jzzm_gfQ-iQdhfat681yxboDYvsF3ICqvTE6xBuUuPw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IFERROR(__xludf.DUMMYFUNCTION("""COMPUTED_VALUE"""),"1QDVVpmU4OpSVy0QKxTmM6zg2QX4-s7c-SloWYxSfj2I")</f>
        <v>1QDVVpmU4OpSVy0QKxTmM6zg2QX4-s7c-SloWYxSfj2I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IFERROR(__xludf.DUMMYFUNCTION("""COMPUTED_VALUE"""),"1r_n-pmrLMgF_C8aeuNDr7tWOA0Y7GBcfWpC4prA7BYY")</f>
        <v>1r_n-pmrLMgF_C8aeuNDr7tWOA0Y7GBcfWpC4prA7BYY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IFERROR(__xludf.DUMMYFUNCTION("""COMPUTED_VALUE"""),"1CpQZAB4vlNmqvzO989xcBSpzc0NPLej2NvhLbdUyWTQ")</f>
        <v>1CpQZAB4vlNmqvzO989xcBSpzc0NPLej2NvhLbdUyWTQ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IFERROR(__xludf.DUMMYFUNCTION("""COMPUTED_VALUE"""),"14X5jPuAG23EQhbOfO3DylrVujon3mSElP-txsSkRnA8")</f>
        <v>14X5jPuAG23EQhbOfO3DylrVujon3mSElP-txsSkRnA8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IFERROR(__xludf.DUMMYFUNCTION("""COMPUTED_VALUE"""),"1Nhl_j0HYixYX2VQ1rak-5gFIBhJ4VoCwaftlalTj1bk")</f>
        <v>1Nhl_j0HYixYX2VQ1rak-5gFIBhJ4VoCwaftlalTj1bk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IFERROR(__xludf.DUMMYFUNCTION("""COMPUTED_VALUE"""),"18edwL6Y0tYzP2zrxa0QRcpYxjVV6krJxukXjossj_MM")</f>
        <v>18edwL6Y0tYzP2zrxa0QRcpYxjVV6krJxukXjossj_MM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IFERROR(__xludf.DUMMYFUNCTION("""COMPUTED_VALUE"""),"1rXpxTwvAlfhYJ9c_7pzI4e6qsq11B1glzjELJaxdM78")</f>
        <v>1rXpxTwvAlfhYJ9c_7pzI4e6qsq11B1glzjELJaxdM78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IFERROR(__xludf.DUMMYFUNCTION("""COMPUTED_VALUE"""),"1Ysz8uKnxRqT6F3_Q057BzV3ZZSVUtxBeQC04LlklMkA")</f>
        <v>1Ysz8uKnxRqT6F3_Q057BzV3ZZSVUtxBeQC04LlklMkA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IFERROR(__xludf.DUMMYFUNCTION("""COMPUTED_VALUE"""),"1Lo2aHDGLaNwTN4R8-xwG0BQ40lg7UQinHAGEpxz69js")</f>
        <v>1Lo2aHDGLaNwTN4R8-xwG0BQ40lg7UQinHAGEpxz69js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IFERROR(__xludf.DUMMYFUNCTION("""COMPUTED_VALUE"""),"1U6qgMqp1MPriWKxHsZuuHuHlmM-rJxqIxG5W7SUpFSg")</f>
        <v>1U6qgMqp1MPriWKxHsZuuHuHlmM-rJxqIxG5W7SUpFSg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IFERROR(__xludf.DUMMYFUNCTION("""COMPUTED_VALUE"""),"1PYf32wTc6i8YjkRz-Q53X6MYDiD5LoHyy9NsZwpOwGc")</f>
        <v>1PYf32wTc6i8YjkRz-Q53X6MYDiD5LoHyy9NsZwpOwGc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IFERROR(__xludf.DUMMYFUNCTION("""COMPUTED_VALUE"""),"1pOKwC5QSnI6pl7_3wm6G9qkekDDtucmNIY_GKVMbs0M")</f>
        <v>1pOKwC5QSnI6pl7_3wm6G9qkekDDtucmNIY_GKVMbs0M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IFERROR(__xludf.DUMMYFUNCTION("""COMPUTED_VALUE"""),"1931c1Bd7mkuw8ktAOnJ1wXHqdWYL0uX2gQ9uIP2NnkI")</f>
        <v>1931c1Bd7mkuw8ktAOnJ1wXHqdWYL0uX2gQ9uIP2NnkI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IFERROR(__xludf.DUMMYFUNCTION("""COMPUTED_VALUE"""),"1nr3BA7Flp5cWiyNKfvlxJQEbl_IdNqrIInUcX8x159M")</f>
        <v>1nr3BA7Flp5cWiyNKfvlxJQEbl_IdNqrIInUcX8x159M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IFERROR(__xludf.DUMMYFUNCTION("""COMPUTED_VALUE"""),"1Jhbk5bZEf1nNxzsfiuLvF70SiNRDu-1THAWzNNwbi4Y")</f>
        <v>1Jhbk5bZEf1nNxzsfiuLvF70SiNRDu-1THAWzNNwbi4Y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IFERROR(__xludf.DUMMYFUNCTION("""COMPUTED_VALUE"""),"162dD8bZg-298j6PezrW145xv1_C6x4Isd0rGv85ZCII")</f>
        <v>162dD8bZg-298j6PezrW145xv1_C6x4Isd0rGv85ZCII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IFERROR(__xludf.DUMMYFUNCTION("""COMPUTED_VALUE"""),"1dZ1FWxsWVvPQ6jyA-ksyvErraF0tisehi5j1I2FOkRw")</f>
        <v>1dZ1FWxsWVvPQ6jyA-ksyvErraF0tisehi5j1I2FOkRw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IFERROR(__xludf.DUMMYFUNCTION("""COMPUTED_VALUE"""),"11jhyREfVfPzaKHLxIklzEiVpo7QOG5knwgpEA7Hkzto")</f>
        <v>11jhyREfVfPzaKHLxIklzEiVpo7QOG5knwgpEA7Hkzto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IFERROR(__xludf.DUMMYFUNCTION("""COMPUTED_VALUE"""),"12x8yk-qXOBJRoW8RyxDDfI4tsK-lzo85opA2CvzjQoA")</f>
        <v>12x8yk-qXOBJRoW8RyxDDfI4tsK-lzo85opA2CvzjQoA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IFERROR(__xludf.DUMMYFUNCTION("""COMPUTED_VALUE"""),"1KTgBgigwVrlQbk-675Krfsd2QqH49pqRvlWifYUtQ5g")</f>
        <v>1KTgBgigwVrlQbk-675Krfsd2QqH49pqRvlWifYUtQ5g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IFERROR(__xludf.DUMMYFUNCTION("""COMPUTED_VALUE"""),"1a8denPrrrZ6CU7m_5pyvuX8v3Z1WPbnkCQZRqkPZEj8")</f>
        <v>1a8denPrrrZ6CU7m_5pyvuX8v3Z1WPbnkCQZRqkPZEj8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IFERROR(__xludf.DUMMYFUNCTION("""COMPUTED_VALUE"""),"1Qy10BJ2vPY3GZqXNi1sf4HN4-VBeDTN2tZbIrlL9_tM")</f>
        <v>1Qy10BJ2vPY3GZqXNi1sf4HN4-VBeDTN2tZbIrlL9_tM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IFERROR(__xludf.DUMMYFUNCTION("""COMPUTED_VALUE"""),"1VkyCG4QZGXFJyz0uDReEN_PMiHJtUbU9MzJ18dR7djs")</f>
        <v>1VkyCG4QZGXFJyz0uDReEN_PMiHJtUbU9MzJ18dR7djs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IFERROR(__xludf.DUMMYFUNCTION("""COMPUTED_VALUE"""),"1xln3IHIAQBsFIP_BTRt6nFOFbhoLbe-sRdYWCguKd7k")</f>
        <v>1xln3IHIAQBsFIP_BTRt6nFOFbhoLbe-sRdYWCguKd7k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IFERROR(__xludf.DUMMYFUNCTION("""COMPUTED_VALUE"""),"1zk0UoVrMV0oINBkU2tXEcmh42lo2poOp5V2voemUQOc")</f>
        <v>1zk0UoVrMV0oINBkU2tXEcmh42lo2poOp5V2voemUQOc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IFERROR(__xludf.DUMMYFUNCTION("""COMPUTED_VALUE"""),"1YDY4PrQHIwjAVV7ZS5FxsT9X35VMSfx9lUFZ6KS0TT4")</f>
        <v>1YDY4PrQHIwjAVV7ZS5FxsT9X35VMSfx9lUFZ6KS0TT4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IFERROR(__xludf.DUMMYFUNCTION("""COMPUTED_VALUE"""),"1m5emwEeVJWl1_OB8Nsr7sbSKCTBM_edzEbP7vtPiImU")</f>
        <v>1m5emwEeVJWl1_OB8Nsr7sbSKCTBM_edzEbP7vtPiImU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IFERROR(__xludf.DUMMYFUNCTION("""COMPUTED_VALUE"""),"1siER4KgCo3rya7jG6bOEOQMJ5jolS_sgeWzVIaXVnOA")</f>
        <v>1siER4KgCo3rya7jG6bOEOQMJ5jolS_sgeWzVIaXVnOA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IFERROR(__xludf.DUMMYFUNCTION("""COMPUTED_VALUE"""),"17O0fiItP8De4QvAabOMWsJRuFVwYQ4vcaWY9LIrA4AM")</f>
        <v>17O0fiItP8De4QvAabOMWsJRuFVwYQ4vcaWY9LIrA4AM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IFERROR(__xludf.DUMMYFUNCTION("""COMPUTED_VALUE"""),"1KmDGWLo9fXILo47E7QiLk8PcgyXyPWDYLSmlv1U7OEI")</f>
        <v>1KmDGWLo9fXILo47E7QiLk8PcgyXyPWDYLSmlv1U7OEI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IFERROR(__xludf.DUMMYFUNCTION("""COMPUTED_VALUE"""),"1kjhDPh6h17F_qQ5SR_vaGjeQJ54-Cnj0LAluw9XRR9E")</f>
        <v>1kjhDPh6h17F_qQ5SR_vaGjeQJ54-Cnj0LAluw9XRR9E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IFERROR(__xludf.DUMMYFUNCTION("""COMPUTED_VALUE"""),"LoginClient")</f>
        <v>LoginClient</v>
      </c>
      <c r="C541" t="str">
        <f>IFERROR(__xludf.DUMMYFUNCTION("""COMPUTED_VALUE"""),"1oOEnrCswh1E2gMB7QLb7Kzwn1g_U9MdoUM8ZuU4xpqM")</f>
        <v>1oOEnrCswh1E2gMB7QLb7Kzwn1g_U9MdoUM8ZuU4xpqM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IFERROR(__xludf.DUMMYFUNCTION("""COMPUTED_VALUE"""),"1GFVJ-sKAde1ojd0Fe4n6uFMFg_t5ihjSGwIRBDNxnSQ")</f>
        <v>1GFVJ-sKAde1ojd0Fe4n6uFMFg_t5ihjSGwIRBDNxnSQ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IFERROR(__xludf.DUMMYFUNCTION("""COMPUTED_VALUE"""),"1fZ_P02eEi4GavSkUo3cpan_Jh4xz0OQjidMUwzCMms8")</f>
        <v>1fZ_P02eEi4GavSkUo3cpan_Jh4xz0OQjidMUwzCMms8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IFERROR(__xludf.DUMMYFUNCTION("""COMPUTED_VALUE"""),"1XGzqnk2nunw7F--MNGHLzH3F0YYmIumyegAncIZZB6k")</f>
        <v>1XGzqnk2nunw7F--MNGHLzH3F0YYmIumyegAncIZZB6k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IFERROR(__xludf.DUMMYFUNCTION("""COMPUTED_VALUE"""),"1QufyUdyJ0hiResW8bLzTI1qcoXAtWh2TTAg4KNj2kv4")</f>
        <v>1QufyUdyJ0hiResW8bLzTI1qcoXAtWh2TTAg4KNj2kv4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IFERROR(__xludf.DUMMYFUNCTION("""COMPUTED_VALUE"""),"1qQcdc8yQuKhwDznJZ6pFksOXC_DRFeEcZJNoYabCqoo")</f>
        <v>1qQcdc8yQuKhwDznJZ6pFksOXC_DRFeEcZJNoYabCqoo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IFERROR(__xludf.DUMMYFUNCTION("""COMPUTED_VALUE"""),"165ONyZgtypA9enxNYG1RIGJ0QQBpn60s9uk-ZFwfAQI")</f>
        <v>165ONyZgtypA9enxNYG1RIGJ0QQBpn60s9uk-ZFwfAQI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IFERROR(__xludf.DUMMYFUNCTION("""COMPUTED_VALUE"""),"1dO0ymjm2QUZjeMDVWKonhU6YqesW2cr7p8PLsR8JxaA")</f>
        <v>1dO0ymjm2QUZjeMDVWKonhU6YqesW2cr7p8PLsR8JxaA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IFERROR(__xludf.DUMMYFUNCTION("""COMPUTED_VALUE"""),"1elBNb12z0vBYbY9P3ZtJ0q2SWz7SHF34zwW-QQZxQH0")</f>
        <v>1elBNb12z0vBYbY9P3ZtJ0q2SWz7SHF34zwW-QQZxQH0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IFERROR(__xludf.DUMMYFUNCTION("""COMPUTED_VALUE"""),"1ZmcENUuCOmbgT4qA2jopXrJlm_NQ2yxiHmw457oO6Ks")</f>
        <v>1ZmcENUuCOmbgT4qA2jopXrJlm_NQ2yxiHmw457oO6Ks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IFERROR(__xludf.DUMMYFUNCTION("""COMPUTED_VALUE"""),"1kB5ouEy35PLGrGH3P7q6zhj1lAakSOshbaFfRSxUYuI")</f>
        <v>1kB5ouEy35PLGrGH3P7q6zhj1lAakSOshbaFfRSxUYuI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IFERROR(__xludf.DUMMYFUNCTION("""COMPUTED_VALUE"""),"1cWbQrLhcx-DBTt83fk27awIMhSdKtj7wh0dnffqkyEg")</f>
        <v>1cWbQrLhcx-DBTt83fk27awIMhSdKtj7wh0dnffqkyEg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IFERROR(__xludf.DUMMYFUNCTION("""COMPUTED_VALUE"""),"1atfQajSO79BpNABHuWDu-qwEpzSPXeTPKhLrVf3qAJQ")</f>
        <v>1atfQajSO79BpNABHuWDu-qwEpzSPXeTPKhLrVf3qAJQ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IFERROR(__xludf.DUMMYFUNCTION("""COMPUTED_VALUE"""),"1ynZmQFpgGOcXlnL_2G1gIugXpfbDTFt91dNyM50VdQI")</f>
        <v>1ynZmQFpgGOcXlnL_2G1gIugXpfbDTFt91dNyM50VdQI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IFERROR(__xludf.DUMMYFUNCTION("""COMPUTED_VALUE"""),"1iWCPXe0tXJ4PIDbwGLtBOVNSJ2s7YN4z8ZTJcr0Wuw4")</f>
        <v>1iWCPXe0tXJ4PIDbwGLtBOVNSJ2s7YN4z8ZTJcr0Wuw4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IFERROR(__xludf.DUMMYFUNCTION("""COMPUTED_VALUE"""),"1fz65nnl1EeQopbyOQst6wzPdLRIHU1-7mjW2sgFXCAo")</f>
        <v>1fz65nnl1EeQopbyOQst6wzPdLRIHU1-7mjW2sgFXCAo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IFERROR(__xludf.DUMMYFUNCTION("""COMPUTED_VALUE"""),"1I1mDhfrVnKfVAYMK9kcg_A-0IZoCrTMjPsHzeC_QRU8")</f>
        <v>1I1mDhfrVnKfVAYMK9kcg_A-0IZoCrTMjPsHzeC_QRU8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IFERROR(__xludf.DUMMYFUNCTION("""COMPUTED_VALUE"""),"1oly-GUleCLstbhsLqb5z_nrN6IcuRDzo7dau3mRro2g")</f>
        <v>1oly-GUleCLstbhsLqb5z_nrN6IcuRDzo7dau3mRro2g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IFERROR(__xludf.DUMMYFUNCTION("""COMPUTED_VALUE"""),"19Rcvs50oHXGL5FsIW3nGsIY2a3BShYxifQZnyCdj5YI")</f>
        <v>19Rcvs50oHXGL5FsIW3nGsIY2a3BShYxifQZnyCdj5YI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IFERROR(__xludf.DUMMYFUNCTION("""COMPUTED_VALUE"""),"1bAgsLuM31eH3FHZF-8cUfrnOajQpP_RsuaUUeL6eYHU")</f>
        <v>1bAgsLuM31eH3FHZF-8cUfrnOajQpP_RsuaUUeL6eYHU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IFERROR(__xludf.DUMMYFUNCTION("""COMPUTED_VALUE"""),"19LWAFgtJK8TJic3Bigl3vokyu1yraGt63a_sVpP1MUU")</f>
        <v>19LWAFgtJK8TJic3Bigl3vokyu1yraGt63a_sVpP1MUU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IFERROR(__xludf.DUMMYFUNCTION("""COMPUTED_VALUE"""),"1WKdqwN3CzS__R4r-J0QXkrMVzdcNg8eJuijQ4dJIXSU")</f>
        <v>1WKdqwN3CzS__R4r-J0QXkrMVzdcNg8eJuijQ4dJIXSU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IFERROR(__xludf.DUMMYFUNCTION("""COMPUTED_VALUE"""),"1TMvyzuvaXNvx9qH4tERqEMaAM8IhUKVHedPNcqMqnso")</f>
        <v>1TMvyzuvaXNvx9qH4tERqEMaAM8IhUKVHedPNcqMqnso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IFERROR(__xludf.DUMMYFUNCTION("""COMPUTED_VALUE"""),"1-CEopEQMGMoXLU6RCzJz5EPF9dIkT0gUSqvavHcsYis")</f>
        <v>1-CEopEQMGMoXLU6RCzJz5EPF9dIkT0gUSqvavHcsYis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IFERROR(__xludf.DUMMYFUNCTION("""COMPUTED_VALUE"""),"1T8QT8BlZU5hSthOscwYVMb0pI8jbsslQ3q_iqR9NEvo")</f>
        <v>1T8QT8BlZU5hSthOscwYVMb0pI8jbsslQ3q_iqR9NEvo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IFERROR(__xludf.DUMMYFUNCTION("""COMPUTED_VALUE"""),"1_n2-hA1ZHyO0Vk19SbEjEAgktcqBciHeshI2fRJE9_c")</f>
        <v>1_n2-hA1ZHyO0Vk19SbEjEAgktcqBciHeshI2fRJE9_c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IFERROR(__xludf.DUMMYFUNCTION("""COMPUTED_VALUE"""),"1k7fmIQoUvoS3gScp7H0vdlqboqJE2NBh67-wxIIzjXI")</f>
        <v>1k7fmIQoUvoS3gScp7H0vdlqboqJE2NBh67-wxIIzjXI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IFERROR(__xludf.DUMMYFUNCTION("""COMPUTED_VALUE"""),"127jo001wzv8UVwRReX1UnxrYxQVoXUcKy8RlV0rBbzE")</f>
        <v>127jo001wzv8UVwRReX1UnxrYxQVoXUcKy8RlV0rBbzE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IFERROR(__xludf.DUMMYFUNCTION("""COMPUTED_VALUE"""),"1vUO7n9j897nT7StAOKwNOzllgpbb7S3kVwYUOxEdD1Y")</f>
        <v>1vUO7n9j897nT7StAOKwNOzllgpbb7S3kVwYUOxEdD1Y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IFERROR(__xludf.DUMMYFUNCTION("""COMPUTED_VALUE"""),"12zWky2LmOXrqIXPltYfxypKjuQf3ZHGv1mz-xQGxKTQ")</f>
        <v>12zWky2LmOXrqIXPltYfxypKjuQf3ZHGv1mz-xQGxKTQ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IFERROR(__xludf.DUMMYFUNCTION("""COMPUTED_VALUE"""),"1KoA0Wc5hAar-q0SNiFxHZv5O7_6Ub43E0Baobavff04")</f>
        <v>1KoA0Wc5hAar-q0SNiFxHZv5O7_6Ub43E0Baobavff04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IFERROR(__xludf.DUMMYFUNCTION("""COMPUTED_VALUE"""),"1vVUSxh3aheqbZRQq-3oJhAe8OKjNysk1JPVf_W8f5l0")</f>
        <v>1vVUSxh3aheqbZRQq-3oJhAe8OKjNysk1JPVf_W8f5l0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IFERROR(__xludf.DUMMYFUNCTION("""COMPUTED_VALUE"""),"1X5YzKAgrVFRed11iGwwlj-Wh1wAD0gvmGSkTbMQqBao")</f>
        <v>1X5YzKAgrVFRed11iGwwlj-Wh1wAD0gvmGSkTbMQqBao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IFERROR(__xludf.DUMMYFUNCTION("""COMPUTED_VALUE"""),"10cAOM3qnGaWW44q9z21WEIOpJdPIAth5hr8jecUfG6A")</f>
        <v>10cAOM3qnGaWW44q9z21WEIOpJdPIAth5hr8jecUfG6A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IFERROR(__xludf.DUMMYFUNCTION("""COMPUTED_VALUE"""),"11V4DM1OMXH_V53PIsUZCW0QthHjB-hG0fn99Yo8Ry2c")</f>
        <v>11V4DM1OMXH_V53PIsUZCW0QthHjB-hG0fn99Yo8Ry2c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IFERROR(__xludf.DUMMYFUNCTION("""COMPUTED_VALUE"""),"1PD9u3XtwrJXt2fU5ghvPjJ7SpxcIKIIWrKF4YF7wZdo")</f>
        <v>1PD9u3XtwrJXt2fU5ghvPjJ7SpxcIKIIWrKF4YF7wZdo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IFERROR(__xludf.DUMMYFUNCTION("""COMPUTED_VALUE"""),"1zS4ALOAI4Qv9-imwrJ3P0juiFH5-Vvf_4yLE3c_77ww")</f>
        <v>1zS4ALOAI4Qv9-imwrJ3P0juiFH5-Vvf_4yLE3c_77ww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IFERROR(__xludf.DUMMYFUNCTION("""COMPUTED_VALUE"""),"1cf7V2VglYQWMxr9jI82Z1YFUP_Ufd3RrESoDhAX5nFQ")</f>
        <v>1cf7V2VglYQWMxr9jI82Z1YFUP_Ufd3RrESoDhAX5nFQ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IFERROR(__xludf.DUMMYFUNCTION("""COMPUTED_VALUE"""),"1pw8K3dcvVISd7jxODSx2U2PTzTKu53dxX_05mlkByK4")</f>
        <v>1pw8K3dcvVISd7jxODSx2U2PTzTKu53dxX_05mlkByK4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IFERROR(__xludf.DUMMYFUNCTION("""COMPUTED_VALUE"""),"1PqRBZQJtY5Oa2Uxs4vSRclsIlxPwyMvlrr2UUTSIb3Y")</f>
        <v>1PqRBZQJtY5Oa2Uxs4vSRclsIlxPwyMvlrr2UUTSIb3Y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IFERROR(__xludf.DUMMYFUNCTION("""COMPUTED_VALUE"""),"1gMSDalyxsP_enjWpKNvUKpnf9DVP87AgNzPibA-eyb0")</f>
        <v>1gMSDalyxsP_enjWpKNvUKpnf9DVP87AgNzPibA-eyb0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IFERROR(__xludf.DUMMYFUNCTION("""COMPUTED_VALUE"""),"1A9WP5K6T6_O4S-M78Jx1SEqevonRbthbPCskWXVzxtk")</f>
        <v>1A9WP5K6T6_O4S-M78Jx1SEqevonRbthbPCskWXVzxtk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IFERROR(__xludf.DUMMYFUNCTION("""COMPUTED_VALUE"""),"1W0sVWSXhitgjuC6P5w0kTp7TvFL-kAol4gyIX8lhd5w")</f>
        <v>1W0sVWSXhitgjuC6P5w0kTp7TvFL-kAol4gyIX8lhd5w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IFERROR(__xludf.DUMMYFUNCTION("""COMPUTED_VALUE"""),"1FAh4CFdlozjSlNDU3BUeaQu_1zckRBcWM8KQooONyxs")</f>
        <v>1FAh4CFdlozjSlNDU3BUeaQu_1zckRBcWM8KQooONyxs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IFERROR(__xludf.DUMMYFUNCTION("""COMPUTED_VALUE"""),"1F219wmX8xrFPgma8cjoUCm7q9nq-W9yFK7PTO5OggJw")</f>
        <v>1F219wmX8xrFPgma8cjoUCm7q9nq-W9yFK7PTO5OggJw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IFERROR(__xludf.DUMMYFUNCTION("""COMPUTED_VALUE"""),"1D5Y3RzzSSQaYL3n3QrXxry0SwVaG4gnMSCxFKtFszpQ")</f>
        <v>1D5Y3RzzSSQaYL3n3QrXxry0SwVaG4gnMSCxFKtFszpQ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IFERROR(__xludf.DUMMYFUNCTION("""COMPUTED_VALUE"""),"10HWI9Cc8RvROS5VcoYWQCiNm-ZMIi9mZRyugdSdwfao")</f>
        <v>10HWI9Cc8RvROS5VcoYWQCiNm-ZMIi9mZRyugdSdwfao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IFERROR(__xludf.DUMMYFUNCTION("""COMPUTED_VALUE"""),"16YNILloso-DtMjrvuLs9jjsIzEmPQxnFXrCt8yvHUNE")</f>
        <v>16YNILloso-DtMjrvuLs9jjsIzEmPQxnFXrCt8yvHUNE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IFERROR(__xludf.DUMMYFUNCTION("""COMPUTED_VALUE"""),"1uQiuSREeRIwO_nEU84cMzm9OFSYVLHU2rgcEaefXb2k")</f>
        <v>1uQiuSREeRIwO_nEU84cMzm9OFSYVLHU2rgcEaefXb2k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IFERROR(__xludf.DUMMYFUNCTION("""COMPUTED_VALUE"""),"1FKL2NTRmBSyITx5pyk6zHOKymU28NwrQwSuVbW4gNRg")</f>
        <v>1FKL2NTRmBSyITx5pyk6zHOKymU28NwrQwSuVbW4gNRg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IFERROR(__xludf.DUMMYFUNCTION("""COMPUTED_VALUE"""),"1nyCMJS4IH1BLXnFOr_FNoPH4XmaOIGdVjSJuJpNi2c8")</f>
        <v>1nyCMJS4IH1BLXnFOr_FNoPH4XmaOIGdVjSJuJpNi2c8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IFERROR(__xludf.DUMMYFUNCTION("""COMPUTED_VALUE"""),"1byaZalr_XhOG3LaxY-Riu8lHwQSFb098xHll__tkAtA")</f>
        <v>1byaZalr_XhOG3LaxY-Riu8lHwQSFb098xHll__tkAtA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IFERROR(__xludf.DUMMYFUNCTION("""COMPUTED_VALUE"""),"15PdvqcWBSttYjbzGBns1O_5cUV2nEVZ4r1YEe7ucwPs")</f>
        <v>15PdvqcWBSttYjbzGBns1O_5cUV2nEVZ4r1YEe7ucwPs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IFERROR(__xludf.DUMMYFUNCTION("""COMPUTED_VALUE"""),"197cwp2DCQ4L0B-G5b7CZAwGsgFZuiUTyD_BSwtc9wHA")</f>
        <v>197cwp2DCQ4L0B-G5b7CZAwGsgFZuiUTyD_BSwtc9wHA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IFERROR(__xludf.DUMMYFUNCTION("""COMPUTED_VALUE"""),"18fTZZkhP8PVk2zb3669RCgVH7l1lj74KOPGo3kRsFwA")</f>
        <v>18fTZZkhP8PVk2zb3669RCgVH7l1lj74KOPGo3kRsFwA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IFERROR(__xludf.DUMMYFUNCTION("""COMPUTED_VALUE"""),"1kM_UfqpK0PaHEHY4-JNdVXj1fPgIjBfWABlDaWsTh6o")</f>
        <v>1kM_UfqpK0PaHEHY4-JNdVXj1fPgIjBfWABlDaWsTh6o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IFERROR(__xludf.DUMMYFUNCTION("""COMPUTED_VALUE"""),"1kTWoOsrKD_0f_MBstD0yl6ly3CmvswKmK8GYKJUaSJY")</f>
        <v>1kTWoOsrKD_0f_MBstD0yl6ly3CmvswKmK8GYKJUaSJY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IFERROR(__xludf.DUMMYFUNCTION("""COMPUTED_VALUE"""),"1w_R8_0C8pikIkKOjwqbblpApJ-NG3VoHrCDrW9YJ19Q")</f>
        <v>1w_R8_0C8pikIkKOjwqbblpApJ-NG3VoHrCDrW9YJ19Q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IFERROR(__xludf.DUMMYFUNCTION("""COMPUTED_VALUE"""),"1OUvamqdyFx8lXmHmR7JvJB9QtTJaxdBrHx0MlmVl9Gg")</f>
        <v>1OUvamqdyFx8lXmHmR7JvJB9QtTJaxdBrHx0MlmVl9Gg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IFERROR(__xludf.DUMMYFUNCTION("""COMPUTED_VALUE"""),"1ld4yJ22N6V7SOVjhVfKW9T1vMKTLDo6OxunLct_fLjI")</f>
        <v>1ld4yJ22N6V7SOVjhVfKW9T1vMKTLDo6OxunLct_fLjI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IFERROR(__xludf.DUMMYFUNCTION("""COMPUTED_VALUE"""),"1kM4im1jNG_hRRV6_1iX1KA8Gs_JYY3Hf4okWtTP02Do")</f>
        <v>1kM4im1jNG_hRRV6_1iX1KA8Gs_JYY3Hf4okWtTP02Do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IFERROR(__xludf.DUMMYFUNCTION("""COMPUTED_VALUE"""),"1y-sTWmoC_H1YDpnZGfQbhkY373SoIrYiLpMuGNBQ0Sg")</f>
        <v>1y-sTWmoC_H1YDpnZGfQbhkY373SoIrYiLpMuGNBQ0Sg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IFERROR(__xludf.DUMMYFUNCTION("""COMPUTED_VALUE"""),"11YtQ09JiPm_fxJbDxXEHFdwP8lXJA1EhSMiSMDI8-Mg")</f>
        <v>11YtQ09JiPm_fxJbDxXEHFdwP8lXJA1EhSMiSMDI8-Mg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IFERROR(__xludf.DUMMYFUNCTION("""COMPUTED_VALUE"""),"1R7f7syAvacBKywwhkXcXMcTmDvkomvyufkmtFJu4Zdw")</f>
        <v>1R7f7syAvacBKywwhkXcXMcTmDvkomvyufkmtFJu4Zdw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IFERROR(__xludf.DUMMYFUNCTION("""COMPUTED_VALUE"""),"1vAo56cQ5ngyfTbfrFWBvoHQRIF0cTJr0hScLG2DuLgI")</f>
        <v>1vAo56cQ5ngyfTbfrFWBvoHQRIF0cTJr0hScLG2DuLgI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IFERROR(__xludf.DUMMYFUNCTION("""COMPUTED_VALUE"""),"1lEizmaJ1dbPlCGjdjYS2EVdP54oAQCWFB_ER2lqO9kQ")</f>
        <v>1lEizmaJ1dbPlCGjdjYS2EVdP54oAQCWFB_ER2lqO9kQ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IFERROR(__xludf.DUMMYFUNCTION("""COMPUTED_VALUE"""),"1AlyH1p5l22rwlHL--PsF-nI7tUEh6x4P1Rtm4CIoMM8")</f>
        <v>1AlyH1p5l22rwlHL--PsF-nI7tUEh6x4P1Rtm4CIoMM8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IFERROR(__xludf.DUMMYFUNCTION("""COMPUTED_VALUE"""),"1bS7JG2B52mCXGDZJejq5Pp8qTEn73efGmX5qKmaHFAI")</f>
        <v>1bS7JG2B52mCXGDZJejq5Pp8qTEn73efGmX5qKmaHFAI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IFERROR(__xludf.DUMMYFUNCTION("""COMPUTED_VALUE"""),"19T3Ip9Ag9oh_4E_0q4NRbzAn0DDkiZg1BwITA3HmUNQ")</f>
        <v>19T3Ip9Ag9oh_4E_0q4NRbzAn0DDkiZg1BwITA3HmUNQ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IFERROR(__xludf.DUMMYFUNCTION("""COMPUTED_VALUE"""),"1bJNniaZjxf79auZhh3SEyweKOO8AuCuCtRbzkni2UY0")</f>
        <v>1bJNniaZjxf79auZhh3SEyweKOO8AuCuCtRbzkni2UY0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IFERROR(__xludf.DUMMYFUNCTION("""COMPUTED_VALUE"""),"1pLjxOOSstcP9sjwtrHb5MPDjdncwkEw6pM4-Z2FTcMM")</f>
        <v>1pLjxOOSstcP9sjwtrHb5MPDjdncwkEw6pM4-Z2FTcMM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IFERROR(__xludf.DUMMYFUNCTION("""COMPUTED_VALUE"""),"1mc1s4SmA1y4VP6gk13_0zQWH3SwcgqbvUdYJgmA50Uk")</f>
        <v>1mc1s4SmA1y4VP6gk13_0zQWH3SwcgqbvUdYJgmA50Uk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IFERROR(__xludf.DUMMYFUNCTION("""COMPUTED_VALUE"""),"1ywzFM2r--rfbRBBhj8dWR_174n0GJlN_5lVk5fP-EiQ")</f>
        <v>1ywzFM2r--rfbRBBhj8dWR_174n0GJlN_5lVk5fP-EiQ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IFERROR(__xludf.DUMMYFUNCTION("""COMPUTED_VALUE"""),"1l5FAkKhuW5nlw2IdKTrGdt79R2Zz2AccmJfeG28b9-U")</f>
        <v>1l5FAkKhuW5nlw2IdKTrGdt79R2Zz2AccmJfeG28b9-U</v>
      </c>
    </row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IFERROR(__xludf.DUMMYFUNCTION("""COMPUTED_VALUE"""),"LoginClient")</f>
        <v>LoginClient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21</v>
      </c>
      <c r="D6" s="13">
        <v>1200.0</v>
      </c>
      <c r="E6" s="8"/>
      <c r="F6" s="13" t="s">
        <v>22</v>
      </c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23</v>
      </c>
      <c r="AX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8.63"/>
    <col customWidth="1" min="3" max="3" width="21.5"/>
    <col customWidth="1" min="4" max="4" width="12.63"/>
    <col customWidth="1" min="5" max="5" width="16.25"/>
    <col customWidth="1" min="6" max="6" width="15.5"/>
    <col customWidth="1" min="7" max="7" width="40.63"/>
    <col customWidth="1" min="8" max="8" width="22.38"/>
    <col customWidth="1" min="9" max="9" width="11.5"/>
    <col customWidth="1" min="10" max="10" width="45.63"/>
    <col customWidth="1" min="11" max="11" width="28.5"/>
    <col customWidth="1" min="12" max="102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</row>
    <row r="6" ht="15.75" customHeight="1">
      <c r="B6" s="9" t="s">
        <v>27</v>
      </c>
      <c r="C6" s="9" t="s">
        <v>16</v>
      </c>
      <c r="D6" s="9" t="s">
        <v>28</v>
      </c>
      <c r="E6" s="9" t="s">
        <v>29</v>
      </c>
      <c r="G6" s="9" t="s">
        <v>30</v>
      </c>
      <c r="H6" s="32"/>
      <c r="J6" s="9" t="s">
        <v>31</v>
      </c>
      <c r="L6" s="9" t="s">
        <v>20</v>
      </c>
      <c r="N6" s="9" t="s">
        <v>32</v>
      </c>
    </row>
    <row r="7" ht="15.75" customHeight="1">
      <c r="B7" s="9" t="s">
        <v>33</v>
      </c>
      <c r="C7" s="9" t="s">
        <v>16</v>
      </c>
      <c r="D7" s="9" t="s">
        <v>28</v>
      </c>
      <c r="E7" s="9" t="s">
        <v>34</v>
      </c>
      <c r="G7" s="9" t="s">
        <v>35</v>
      </c>
      <c r="H7" s="32"/>
      <c r="J7" s="9" t="s">
        <v>31</v>
      </c>
      <c r="L7" s="9" t="s">
        <v>20</v>
      </c>
      <c r="N7" s="9" t="s">
        <v>32</v>
      </c>
    </row>
    <row r="8" ht="15.75" customHeight="1">
      <c r="B8" s="9" t="s">
        <v>36</v>
      </c>
      <c r="C8" s="9" t="s">
        <v>16</v>
      </c>
      <c r="D8" s="9" t="s">
        <v>28</v>
      </c>
      <c r="E8" s="9" t="s">
        <v>29</v>
      </c>
      <c r="G8" s="9" t="s">
        <v>37</v>
      </c>
      <c r="H8" s="32"/>
      <c r="J8" s="9" t="s">
        <v>31</v>
      </c>
      <c r="L8" s="9" t="s">
        <v>38</v>
      </c>
      <c r="N8" s="9" t="s">
        <v>32</v>
      </c>
    </row>
    <row r="9" ht="15.75" customHeight="1">
      <c r="B9" s="9" t="s">
        <v>39</v>
      </c>
      <c r="C9" s="9" t="s">
        <v>16</v>
      </c>
      <c r="D9" s="9" t="s">
        <v>28</v>
      </c>
      <c r="E9" s="9" t="s">
        <v>29</v>
      </c>
      <c r="G9" s="9" t="s">
        <v>30</v>
      </c>
      <c r="H9" s="32"/>
      <c r="J9" s="9" t="s">
        <v>31</v>
      </c>
      <c r="L9" s="9" t="s">
        <v>20</v>
      </c>
      <c r="N9" s="9" t="s">
        <v>32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VerifyAlertHistory!$4:$4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41</v>
      </c>
      <c r="C6" s="13" t="s">
        <v>36</v>
      </c>
      <c r="D6" s="13" t="s">
        <v>42</v>
      </c>
      <c r="E6" s="13" t="s">
        <v>38</v>
      </c>
      <c r="F6" s="13">
        <v>-1234.0</v>
      </c>
      <c r="G6" s="13">
        <v>1200.0</v>
      </c>
      <c r="H6" s="13" t="s">
        <v>43</v>
      </c>
      <c r="I6" s="13" t="s">
        <v>44</v>
      </c>
      <c r="J6" s="8"/>
      <c r="K6" s="13" t="s">
        <v>23</v>
      </c>
      <c r="L6" s="8"/>
      <c r="M6" s="9" t="s">
        <v>24</v>
      </c>
      <c r="N6" s="8"/>
      <c r="O6" s="8"/>
    </row>
    <row r="7" ht="15.75" customHeight="1">
      <c r="A7" s="8"/>
      <c r="B7" s="34" t="s">
        <v>45</v>
      </c>
      <c r="C7" s="13" t="s">
        <v>39</v>
      </c>
      <c r="D7" s="13" t="s">
        <v>46</v>
      </c>
      <c r="E7" s="13" t="s">
        <v>20</v>
      </c>
      <c r="F7" s="13">
        <v>-123466.0</v>
      </c>
      <c r="G7" s="13">
        <v>1200.0</v>
      </c>
      <c r="H7" s="13" t="s">
        <v>47</v>
      </c>
      <c r="I7" s="35"/>
      <c r="J7" s="13" t="s">
        <v>23</v>
      </c>
      <c r="K7" s="13"/>
      <c r="L7" s="8"/>
      <c r="M7" s="8"/>
      <c r="N7" s="8"/>
      <c r="O7" s="8"/>
    </row>
    <row r="8" ht="15.75" customHeight="1">
      <c r="A8" s="8"/>
      <c r="B8" s="36" t="s">
        <v>48</v>
      </c>
      <c r="C8" s="9" t="s">
        <v>27</v>
      </c>
      <c r="D8" s="9" t="s">
        <v>42</v>
      </c>
      <c r="E8" s="9" t="s">
        <v>20</v>
      </c>
      <c r="F8" s="9">
        <v>-1234.0</v>
      </c>
      <c r="G8" s="9">
        <v>1200.0</v>
      </c>
      <c r="H8" s="9" t="s">
        <v>47</v>
      </c>
      <c r="I8" s="37"/>
      <c r="J8" s="8"/>
      <c r="K8" s="13"/>
      <c r="L8" s="8"/>
      <c r="M8" s="8"/>
      <c r="N8" s="8"/>
      <c r="O8" s="8"/>
    </row>
    <row r="9" ht="15.75" customHeight="1">
      <c r="A9" s="8"/>
      <c r="B9" s="36" t="s">
        <v>48</v>
      </c>
      <c r="C9" s="9" t="s">
        <v>33</v>
      </c>
      <c r="D9" s="9" t="s">
        <v>49</v>
      </c>
      <c r="E9" s="9" t="s">
        <v>20</v>
      </c>
      <c r="F9" s="9">
        <v>-1234.0</v>
      </c>
      <c r="G9" s="9">
        <v>1200.0</v>
      </c>
      <c r="H9" s="9" t="s">
        <v>50</v>
      </c>
      <c r="I9" s="35"/>
      <c r="J9" s="8"/>
      <c r="K9" s="13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J13" s="8"/>
      <c r="K13" s="8"/>
      <c r="L13" s="8"/>
      <c r="M13" s="8"/>
      <c r="N13" s="8"/>
      <c r="O13" s="8"/>
    </row>
    <row r="14" ht="15.75" customHeight="1">
      <c r="A14" s="8"/>
      <c r="B14" s="13"/>
      <c r="I14" s="8"/>
      <c r="J14" s="8"/>
      <c r="K14" s="8"/>
      <c r="L14" s="8"/>
      <c r="M14" s="8"/>
      <c r="N14" s="8"/>
      <c r="O14" s="8"/>
    </row>
    <row r="15" ht="15.75" customHeight="1"/>
    <row r="16" ht="15.75" customHeight="1">
      <c r="E16" s="38"/>
    </row>
    <row r="17" ht="15.75" customHeight="1">
      <c r="E17" s="1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/>
      <c r="C6" s="13" t="s">
        <v>20</v>
      </c>
      <c r="D6" s="41" t="s">
        <v>52</v>
      </c>
      <c r="E6" s="41"/>
      <c r="F6" s="42" t="s">
        <v>53</v>
      </c>
      <c r="G6" s="41" t="s">
        <v>54</v>
      </c>
      <c r="H6" s="43"/>
      <c r="I6" s="41" t="s">
        <v>55</v>
      </c>
      <c r="J6" s="41">
        <v>10.0</v>
      </c>
      <c r="K6" s="41"/>
      <c r="L6" s="41">
        <v>1200.0</v>
      </c>
      <c r="M6" s="41" t="s">
        <v>56</v>
      </c>
      <c r="N6" s="44" t="s">
        <v>57</v>
      </c>
      <c r="O6" s="41" t="s">
        <v>21</v>
      </c>
      <c r="P6" s="45" t="s">
        <v>58</v>
      </c>
      <c r="Q6" s="46"/>
      <c r="R6" s="46"/>
      <c r="S6" s="46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20</v>
      </c>
      <c r="AJ6" s="47" t="s">
        <v>21</v>
      </c>
      <c r="AK6" s="47" t="s">
        <v>61</v>
      </c>
      <c r="AL6" s="48">
        <v>1200.0</v>
      </c>
      <c r="AT6" s="48" t="s">
        <v>22</v>
      </c>
      <c r="AU6" s="47" t="s">
        <v>62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9" t="s">
        <v>36</v>
      </c>
      <c r="C6" s="50" t="s">
        <v>65</v>
      </c>
      <c r="D6" s="13">
        <v>18.0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39</v>
      </c>
      <c r="C7" s="50" t="s">
        <v>66</v>
      </c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9" t="s">
        <v>27</v>
      </c>
      <c r="C8" s="52" t="s">
        <v>67</v>
      </c>
      <c r="D8" s="13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3" t="s">
        <v>33</v>
      </c>
      <c r="C9" s="52" t="s">
        <v>67</v>
      </c>
      <c r="D9" s="13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