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UnallocatedGroup" sheetId="10" r:id="rId12"/>
    <sheet state="visible" name="EnterAccountValuesToAllocate" sheetId="11" r:id="rId13"/>
    <sheet state="visible" name="SelectUnallocatedGroup1" sheetId="12" r:id="rId14"/>
    <sheet state="visible" name="ExecuteTrade1" sheetId="13" r:id="rId15"/>
    <sheet state="visible" name="SelectAllocatedGroup" sheetId="14" r:id="rId16"/>
    <sheet state="visible" name="EnterAccountValuesToAllocate1" sheetId="15" r:id="rId17"/>
    <sheet state="visible" name="SelectAllocatedGroup1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<sst xmlns="http://schemas.openxmlformats.org/spreadsheetml/2006/main" count="179" uniqueCount="37">
  <si>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</si>
  <si>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</si>
  <si>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</si>
  <si>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</si>
  <si>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</si>
  <si>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</si>
  <si>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</si>
  <si>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</si>
  <si>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</si>
  <si>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</si>
  <si>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</si>
  <si>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</si>
  <si>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</si>
  <si>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</si>
  <si>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</si>
  <si>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</si>
  <si>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</si>
  <si>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</si>
  <si>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</si>
  <si>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</si>
  <si>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</si>
  <si>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</si>
  <si>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</si>
  <si>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</si>
  <si>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</si>
  <si>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</si>
  <si>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</si>
  <si>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</si>
  <si>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</si>
  <si>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</si>
  <si>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</si>
  <si>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</si>
  <si>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</si>
  <si>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SelectAllocatedGroup</t>
  </si>
  <si>
    <t>Allocation3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</si>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</sst>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IFERROR(__xludf.DUMMYFUNCTION("""COMPUTED_VALUE"""),"ResizeEnsure")</f>
        <v>ResizeEnsure</v>
      </c>
      <c r="C769" t="str">
        <f>IFERROR(__xludf.DUMMYFUNCTION("""COMPUTED_VALUE"""),"1-peVyQ_nIwd8owwmtDtNW-yx12KQx2nHeYee6duB46M")</f>
        <v>1-peVyQ_nIwd8owwmtDtNW-yx12KQx2nHeYee6duB46M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5000.0</v>
      </c>
      <c r="D6" s="30"/>
      <c r="E6" s="33" t="s">
        <v>17</v>
      </c>
      <c r="F6" s="34"/>
      <c r="G6" s="34"/>
      <c r="H6" s="34"/>
      <c r="I6" s="34" t="s">
        <v>18</v>
      </c>
      <c r="J6" s="33" t="s">
        <v>19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20</v>
      </c>
      <c r="V6" s="34" t="s">
        <v>21</v>
      </c>
      <c r="W6" s="34"/>
      <c r="X6" s="32">
        <v>315.9</v>
      </c>
      <c r="Y6" s="35">
        <f>today()</f>
        <v>45576</v>
      </c>
      <c r="Z6" s="36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 t="s">
        <v>22</v>
      </c>
      <c r="FB6" s="34" t="s">
        <v>22</v>
      </c>
      <c r="FC6" s="34" t="s">
        <v>22</v>
      </c>
      <c r="FD6" s="34" t="s">
        <v>22</v>
      </c>
      <c r="FE6" s="34" t="s">
        <v>22</v>
      </c>
      <c r="FF6" s="34" t="s">
        <v>22</v>
      </c>
      <c r="FG6" s="34" t="s">
        <v>22</v>
      </c>
      <c r="FH6" s="34" t="s">
        <v>22</v>
      </c>
      <c r="FI6" s="34" t="s">
        <v>22</v>
      </c>
      <c r="FJ6" s="34"/>
      <c r="FK6" s="34" t="s">
        <v>22</v>
      </c>
      <c r="FL6" s="34" t="s">
        <v>22</v>
      </c>
      <c r="FM6" s="34" t="s">
        <v>22</v>
      </c>
      <c r="FN6" s="34" t="s">
        <v>22</v>
      </c>
      <c r="FO6" s="34" t="s">
        <v>22</v>
      </c>
      <c r="FP6" s="34" t="s">
        <v>22</v>
      </c>
      <c r="FQ6" s="34" t="s">
        <v>22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4"/>
      <c r="B7" s="33" t="s">
        <v>23</v>
      </c>
      <c r="C7" s="32">
        <v>5000.0</v>
      </c>
      <c r="D7" s="34"/>
      <c r="E7" s="33" t="s">
        <v>17</v>
      </c>
      <c r="F7" s="34"/>
      <c r="G7" s="34"/>
      <c r="H7" s="34"/>
      <c r="I7" s="38" t="s">
        <v>18</v>
      </c>
      <c r="J7" s="33" t="s">
        <v>19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24</v>
      </c>
      <c r="V7" s="34" t="s">
        <v>21</v>
      </c>
      <c r="W7" s="34"/>
      <c r="X7" s="39">
        <v>315.9</v>
      </c>
      <c r="Y7" s="34"/>
      <c r="Z7" s="36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 t="s">
        <v>22</v>
      </c>
      <c r="FB7" s="34" t="s">
        <v>22</v>
      </c>
      <c r="FC7" s="34" t="s">
        <v>22</v>
      </c>
      <c r="FD7" s="34" t="s">
        <v>22</v>
      </c>
      <c r="FE7" s="34" t="s">
        <v>22</v>
      </c>
      <c r="FF7" s="34" t="s">
        <v>22</v>
      </c>
      <c r="FG7" s="34" t="s">
        <v>22</v>
      </c>
      <c r="FH7" s="34" t="s">
        <v>22</v>
      </c>
      <c r="FI7" s="34" t="s">
        <v>22</v>
      </c>
      <c r="FJ7" s="34"/>
      <c r="FK7" s="34" t="s">
        <v>22</v>
      </c>
      <c r="FL7" s="34" t="s">
        <v>22</v>
      </c>
      <c r="FM7" s="34" t="s">
        <v>22</v>
      </c>
      <c r="FN7" s="34" t="s">
        <v>22</v>
      </c>
      <c r="FO7" s="34" t="s">
        <v>22</v>
      </c>
      <c r="FP7" s="34" t="s">
        <v>22</v>
      </c>
      <c r="FQ7" s="34" t="s">
        <v>22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v>315.9</v>
      </c>
      <c r="C6" s="32">
        <v>2500.0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23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23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19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>
        <v>315.9</v>
      </c>
      <c r="C6" s="32">
        <v>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4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4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4"/>
      <c r="D6" s="30"/>
      <c r="E6" s="32">
        <v>3000.0</v>
      </c>
      <c r="F6" s="34"/>
      <c r="G6" s="33" t="s">
        <v>36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 t="s">
        <v>19</v>
      </c>
      <c r="BP6" s="34"/>
      <c r="BQ6" s="34"/>
      <c r="BR6" s="34"/>
      <c r="BS6" s="34"/>
      <c r="BT6" s="34" t="s">
        <v>23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34</v>
      </c>
      <c r="C7" s="34"/>
      <c r="D7" s="34"/>
      <c r="E7" s="32">
        <v>3000.0</v>
      </c>
      <c r="F7" s="34"/>
      <c r="G7" s="33" t="s">
        <v>36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 t="s">
        <v>19</v>
      </c>
      <c r="BP7" s="34"/>
      <c r="BQ7" s="34"/>
      <c r="BR7" s="34"/>
      <c r="BS7" s="34"/>
      <c r="BT7" s="34" t="s">
        <v>16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