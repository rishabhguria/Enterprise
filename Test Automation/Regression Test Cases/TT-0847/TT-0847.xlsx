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OpenQtt" sheetId="5" r:id="rId7"/>
    <sheet state="visible" name="TradeQTT" sheetId="6" r:id="rId8"/>
    <sheet state="visible" name="CustomOrderTT1" sheetId="7" r:id="rId9"/>
    <sheet state="visible" name="SelectET" sheetId="8" r:id="rId10"/>
    <sheet state="visible" name="UseOrVerifyHotKeys" sheetId="9" r:id="rId11"/>
    <sheet state="visible" name="CustomOrderTT2" sheetId="10" r:id="rId12"/>
    <sheet state="visible" name="SelectET1" sheetId="11" r:id="rId13"/>
    <sheet state="visible" name="CustomOrderTT3" sheetId="12" r:id="rId14"/>
    <sheet state="visible" name="VerifyOrder" sheetId="13" r:id="rId15"/>
  </sheets>
  <definedNames/>
  <calcPr/>
</workbook>
</file>

<file path=xl/sharedStrings.xml><?xml version="1.0" encoding="utf-8"?>
<sst xmlns="http://schemas.openxmlformats.org/spreadsheetml/2006/main" count="119" uniqueCount="46">
  <si>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</si>
  <si>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</si>
  <si>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</si>
  <si>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</si>
  <si>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</si>
  <si>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</si>
  <si>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</si>
  <si>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</si>
  <si>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</si>
  <si>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</si>
  <si>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</si>
  <si>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</si>
  <si>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</si>
  <si>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</si>
  <si>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</si>
  <si>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</si>
  <si>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KO</t>
  </si>
  <si>
    <t>Allocation4</t>
  </si>
  <si>
    <t>Day</t>
  </si>
  <si>
    <t>Market</t>
  </si>
  <si>
    <t>GS</t>
  </si>
  <si>
    <t>QTT</t>
  </si>
  <si>
    <t>OpenQtt</t>
  </si>
  <si>
    <t>Save</t>
  </si>
  <si>
    <t>TradeQTT</t>
  </si>
  <si>
    <t>Smith</t>
  </si>
  <si>
    <t>CLEAR</t>
  </si>
  <si>
    <t>SAP</t>
  </si>
  <si>
    <t>Allocation2</t>
  </si>
  <si>
    <t>GTC</t>
  </si>
  <si>
    <t>Limit</t>
  </si>
  <si>
    <t>MS</t>
  </si>
  <si>
    <t>NASDAQ</t>
  </si>
  <si>
    <t>SelectET</t>
  </si>
  <si>
    <t>CreateOrder</t>
  </si>
  <si>
    <t>UseOrVerifyHotKeys</t>
  </si>
  <si>
    <t>AAPL</t>
  </si>
  <si>
    <t>Allocation3</t>
  </si>
  <si>
    <t>Stop Limit</t>
  </si>
  <si>
    <t>CSFB</t>
  </si>
  <si>
    <t>DoneAway</t>
  </si>
  <si>
    <t>DEFAULT</t>
  </si>
  <si>
    <t>Buy</t>
  </si>
  <si>
    <t>Blotter</t>
  </si>
  <si>
    <t>VerifyOrder</t>
  </si>
  <si>
    <t>Filled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</si>
</sst>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IFERROR(__xludf.DUMMYFUNCTION("""COMPUTED_VALUE"""),"FixDisconnectionPopup")</f>
        <v>FixDisconnectionPopup</v>
      </c>
      <c r="AN5" s="29" t="str">
        <f>IFERROR(__xludf.DUMMYFUNCTION("""COMPUTED_VALUE"""),"Trade Attribute 01")</f>
        <v>Trade Attribute 01</v>
      </c>
      <c r="AO5" s="29" t="str">
        <f>IFERROR(__xludf.DUMMYFUNCTION("""COMPUTED_VALUE"""),"Trade Attribute 02")</f>
        <v>Trade Attribute 02</v>
      </c>
      <c r="AP5" s="29" t="str">
        <f>IFERROR(__xludf.DUMMYFUNCTION("""COMPUTED_VALUE"""),"Trade Attribute 03")</f>
        <v>Trade Attribute 03</v>
      </c>
      <c r="AQ5" s="29" t="str">
        <f>IFERROR(__xludf.DUMMYFUNCTION("""COMPUTED_VALUE"""),"Trade Attribute 04")</f>
        <v>Trade Attribute 04</v>
      </c>
      <c r="AR5" s="29" t="str">
        <f>IFERROR(__xludf.DUMMYFUNCTION("""COMPUTED_VALUE"""),"Trade Attribute 05")</f>
        <v>Trade Attribute 05</v>
      </c>
      <c r="AS5" s="29" t="str">
        <f>IFERROR(__xludf.DUMMYFUNCTION("""COMPUTED_VALUE"""),"Trade Attribute 06")</f>
        <v>Trade Attribute 06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>
        <v>19000.0</v>
      </c>
      <c r="D6" s="12"/>
      <c r="E6" s="30"/>
      <c r="F6" s="8"/>
      <c r="G6" s="12" t="b">
        <v>1</v>
      </c>
      <c r="H6" s="8"/>
      <c r="I6" s="12" t="s">
        <v>17</v>
      </c>
      <c r="J6" s="8"/>
      <c r="K6" s="8"/>
      <c r="L6" s="8"/>
      <c r="M6" s="8"/>
      <c r="N6" s="8"/>
      <c r="O6" s="8"/>
      <c r="U6" s="9" t="s">
        <v>18</v>
      </c>
      <c r="V6" s="9" t="s">
        <v>19</v>
      </c>
      <c r="AA6" s="9" t="s">
        <v>20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IFERROR(__xludf.DUMMYFUNCTION("IF(C3="""","""",Transpose(IMPORTRANGE('_Settings'!$B$3,C3&amp;""!A4:A1000"")))"),"OpenQtt")</f>
        <v>OpenQtt</v>
      </c>
      <c r="C4" s="24" t="str">
        <f>IFERROR(__xludf.DUMMYFUNCTION("""COMPUTED_VALUE"""),"TradeFromQTT")</f>
        <v>TradeFromQTT</v>
      </c>
      <c r="D4" s="24" t="str">
        <f>IFERROR(__xludf.DUMMYFUNCTION("""COMPUTED_VALUE"""),"TradeQTT")</f>
        <v>TradeQTT</v>
      </c>
      <c r="E4" s="24" t="str">
        <f>IFERROR(__xludf.DUMMYFUNCTION("""COMPUTED_VALUE"""),"UseOrVerifyHotKeys")</f>
        <v>UseOrVerifyHotKeys</v>
      </c>
      <c r="F4" s="24" t="str">
        <f>IFERROR(__xludf.DUMMYFUNCTION("""COMPUTED_VALUE"""),"VerifyQTT")</f>
        <v>VerifyQTT</v>
      </c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IFERROR(__xludf.DUMMYFUNCTION("""COMPUTED_VALUE"""),"Action")</f>
        <v>Action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23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OpenQtt!$4:$4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IFERROR(__xludf.DUMMYFUNCTION("IF(C3="""","""",Transpose(IMPORTRANGE('_Settings'!$B$3,C3&amp;""!A4:A1000"")))"),"OpenQtt")</f>
        <v>OpenQtt</v>
      </c>
      <c r="C4" s="24" t="str">
        <f>IFERROR(__xludf.DUMMYFUNCTION("""COMPUTED_VALUE"""),"TradeFromQTT")</f>
        <v>TradeFromQTT</v>
      </c>
      <c r="D4" s="24" t="str">
        <f>IFERROR(__xludf.DUMMYFUNCTION("""COMPUTED_VALUE"""),"TradeQTT")</f>
        <v>TradeQTT</v>
      </c>
      <c r="E4" s="24" t="str">
        <f>IFERROR(__xludf.DUMMYFUNCTION("""COMPUTED_VALUE"""),"UseOrVerifyHotKeys")</f>
        <v>UseOrVerifyHotKeys</v>
      </c>
      <c r="F4" s="24" t="str">
        <f>IFERROR(__xludf.DUMMYFUNCTION("""COMPUTED_VALUE"""),"VerifyQTT")</f>
        <v>VerifyQTT</v>
      </c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IFERROR(__xludf.DUMMYFUNCTION("""COMPUTED_VALUE"""),"Title")</f>
        <v>Title</v>
      </c>
      <c r="C5" s="27" t="str">
        <f>IFERROR(__xludf.DUMMYFUNCTION("""COMPUTED_VALUE"""),"Symbol")</f>
        <v>Symbol</v>
      </c>
      <c r="D5" s="27" t="str">
        <f>IFERROR(__xludf.DUMMYFUNCTION("""COMPUTED_VALUE"""),"Quantity")</f>
        <v>Quantity</v>
      </c>
      <c r="E5" s="27" t="str">
        <f>IFERROR(__xludf.DUMMYFUNCTION("""COMPUTED_VALUE"""),"Allocation")</f>
        <v>Allocation</v>
      </c>
      <c r="F5" s="28" t="str">
        <f>IFERROR(__xludf.DUMMYFUNCTION("""COMPUTED_VALUE"""),"Broker")</f>
        <v>Broker</v>
      </c>
      <c r="G5" s="27" t="str">
        <f>IFERROR(__xludf.DUMMYFUNCTION("""COMPUTED_VALUE"""),"Venue")</f>
        <v>Venue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IFERROR(__xludf.DUMMYFUNCTION("""COMPUTED_VALUE"""),"Execution Type")</f>
        <v>Execution Type</v>
      </c>
      <c r="K5" s="27" t="str">
        <f>IFERROR(__xludf.DUMMYFUNCTION("""COMPUTED_VALUE"""),"Select Color")</f>
        <v>Select Color</v>
      </c>
      <c r="L5" s="27" t="str">
        <f>IFERROR(__xludf.DUMMYFUNCTION("""COMPUTED_VALUE"""),"Add To Favourite")</f>
        <v>Add To Favourite</v>
      </c>
      <c r="M5" s="27" t="str">
        <f>IFERROR(__xludf.DUMMYFUNCTION("""COMPUTED_VALUE"""),"AlgoType")</f>
        <v>AlgoType</v>
      </c>
      <c r="N5" s="27" t="str">
        <f>IFERROR(__xludf.DUMMYFUNCTION("""COMPUTED_VALUE"""),"Start time")</f>
        <v>Start time</v>
      </c>
      <c r="O5" s="27" t="str">
        <f>IFERROR(__xludf.DUMMYFUNCTION("""COMPUTED_VALUE"""),"End time")</f>
        <v>End time</v>
      </c>
      <c r="P5" s="27" t="str">
        <f>IFERROR(__xludf.DUMMYFUNCTION("""COMPUTED_VALUE"""),"EndTimeCheckBox")</f>
        <v>EndTimeCheckBox</v>
      </c>
      <c r="Q5" s="27" t="str">
        <f>IFERROR(__xludf.DUMMYFUNCTION("""COMPUTED_VALUE"""),"Style")</f>
        <v>Style</v>
      </c>
      <c r="R5" s="27" t="str">
        <f>IFERROR(__xludf.DUMMYFUNCTION("""COMPUTED_VALUE"""),"Save")</f>
        <v>Save</v>
      </c>
      <c r="S5" s="27" t="str">
        <f>IFERROR(__xludf.DUMMYFUNCTION("""COMPUTED_VALUE"""),"Quick Preferences Name")</f>
        <v>Quick Preferences Name</v>
      </c>
      <c r="T5" s="29" t="str">
        <f>IFERROR(__xludf.DUMMYFUNCTION("""COMPUTED_VALUE"""),"Expiration Date")</f>
        <v>Expiration Date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25</v>
      </c>
      <c r="C6" s="12" t="s">
        <v>16</v>
      </c>
      <c r="D6" s="12" t="s">
        <v>26</v>
      </c>
      <c r="E6" s="12" t="s">
        <v>26</v>
      </c>
      <c r="F6" s="12" t="s">
        <v>26</v>
      </c>
      <c r="G6" s="12" t="s">
        <v>26</v>
      </c>
      <c r="H6" s="12" t="s">
        <v>26</v>
      </c>
      <c r="I6" s="12" t="s">
        <v>26</v>
      </c>
      <c r="J6" s="12" t="s">
        <v>26</v>
      </c>
      <c r="K6" s="8"/>
      <c r="L6" s="12" t="b">
        <v>1</v>
      </c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TradeQTT!$4:$4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IFERROR(__xludf.DUMMYFUNCTION("""COMPUTED_VALUE"""),"FixDisconnectionPopup")</f>
        <v>FixDisconnectionPopup</v>
      </c>
      <c r="AN5" s="29" t="str">
        <f>IFERROR(__xludf.DUMMYFUNCTION("""COMPUTED_VALUE"""),"Trade Attribute 01")</f>
        <v>Trade Attribute 01</v>
      </c>
      <c r="AO5" s="29" t="str">
        <f>IFERROR(__xludf.DUMMYFUNCTION("""COMPUTED_VALUE"""),"Trade Attribute 02")</f>
        <v>Trade Attribute 02</v>
      </c>
      <c r="AP5" s="29" t="str">
        <f>IFERROR(__xludf.DUMMYFUNCTION("""COMPUTED_VALUE"""),"Trade Attribute 03")</f>
        <v>Trade Attribute 03</v>
      </c>
      <c r="AQ5" s="29" t="str">
        <f>IFERROR(__xludf.DUMMYFUNCTION("""COMPUTED_VALUE"""),"Trade Attribute 04")</f>
        <v>Trade Attribute 04</v>
      </c>
      <c r="AR5" s="29" t="str">
        <f>IFERROR(__xludf.DUMMYFUNCTION("""COMPUTED_VALUE"""),"Trade Attribute 05")</f>
        <v>Trade Attribute 05</v>
      </c>
      <c r="AS5" s="29" t="str">
        <f>IFERROR(__xludf.DUMMYFUNCTION("""COMPUTED_VALUE"""),"Trade Attribute 06")</f>
        <v>Trade Attribute 06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27</v>
      </c>
      <c r="C6" s="12">
        <v>2500.0</v>
      </c>
      <c r="D6" s="12"/>
      <c r="E6" s="30"/>
      <c r="F6" s="8"/>
      <c r="G6" s="12" t="b">
        <v>1</v>
      </c>
      <c r="H6" s="8"/>
      <c r="I6" s="12" t="s">
        <v>28</v>
      </c>
      <c r="J6" s="8"/>
      <c r="K6" s="8"/>
      <c r="L6" s="8"/>
      <c r="M6" s="8"/>
      <c r="N6" s="8"/>
      <c r="O6" s="8"/>
      <c r="U6" s="9" t="s">
        <v>29</v>
      </c>
      <c r="V6" s="9" t="s">
        <v>30</v>
      </c>
      <c r="AA6" s="9" t="s">
        <v>31</v>
      </c>
      <c r="AD6" s="9" t="s">
        <v>32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CustomOrderTT1!$4:$4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IFERROR(__xludf.DUMMYFUNCTION("""COMPUTED_VALUE"""),"Order type button")</f>
        <v>Order type button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34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SelectET!$4:$4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IFERROR(__xludf.DUMMYFUNCTION("IF(C3="""","""",Transpose(IMPORTRANGE('_Settings'!$B$3,C3&amp;""!A4:A1000"")))"),"OpenQtt")</f>
        <v>OpenQtt</v>
      </c>
      <c r="C4" s="24" t="str">
        <f>IFERROR(__xludf.DUMMYFUNCTION("""COMPUTED_VALUE"""),"TradeFromQTT")</f>
        <v>TradeFromQTT</v>
      </c>
      <c r="D4" s="24" t="str">
        <f>IFERROR(__xludf.DUMMYFUNCTION("""COMPUTED_VALUE"""),"TradeQTT")</f>
        <v>TradeQTT</v>
      </c>
      <c r="E4" s="24" t="str">
        <f>IFERROR(__xludf.DUMMYFUNCTION("""COMPUTED_VALUE"""),"UseOrVerifyHotKeys")</f>
        <v>UseOrVerifyHotKeys</v>
      </c>
      <c r="F4" s="24" t="str">
        <f>IFERROR(__xludf.DUMMYFUNCTION("""COMPUTED_VALUE"""),"VerifyQTT")</f>
        <v>VerifyQTT</v>
      </c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IFERROR(__xludf.DUMMYFUNCTION("""COMPUTED_VALUE"""),"UseHotKey")</f>
        <v>UseHotKey</v>
      </c>
      <c r="C5" s="27" t="str">
        <f>IFERROR(__xludf.DUMMYFUNCTION("""COMPUTED_VALUE"""),"VerifyHotKeys")</f>
        <v>VerifyHotKeys</v>
      </c>
      <c r="D5" s="27" t="str">
        <f>IFERROR(__xludf.DUMMYFUNCTION("""COMPUTED_VALUE"""),"VerifyHotKeysColor")</f>
        <v>VerifyHotKeysColor</v>
      </c>
      <c r="E5" s="27" t="str">
        <f>IFERROR(__xludf.DUMMYFUNCTION("""COMPUTED_VALUE"""),"TTStayOpen")</f>
        <v>TTStayOpen</v>
      </c>
      <c r="F5" s="28" t="str">
        <f>IFERROR(__xludf.DUMMYFUNCTION("""COMPUTED_VALUE"""),"NegativeTesting")</f>
        <v>NegativeTesting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25</v>
      </c>
      <c r="C6" s="8"/>
      <c r="D6" s="12"/>
      <c r="E6" s="12" t="b">
        <v>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UseOrVerifyHotKeys!$4:$4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IFERROR(__xludf.DUMMYFUNCTION("""COMPUTED_VALUE"""),"FixDisconnectionPopup")</f>
        <v>FixDisconnectionPopup</v>
      </c>
      <c r="AN5" s="29" t="str">
        <f>IFERROR(__xludf.DUMMYFUNCTION("""COMPUTED_VALUE"""),"Trade Attribute 01")</f>
        <v>Trade Attribute 01</v>
      </c>
      <c r="AO5" s="29" t="str">
        <f>IFERROR(__xludf.DUMMYFUNCTION("""COMPUTED_VALUE"""),"Trade Attribute 02")</f>
        <v>Trade Attribute 02</v>
      </c>
      <c r="AP5" s="29" t="str">
        <f>IFERROR(__xludf.DUMMYFUNCTION("""COMPUTED_VALUE"""),"Trade Attribute 03")</f>
        <v>Trade Attribute 03</v>
      </c>
      <c r="AQ5" s="29" t="str">
        <f>IFERROR(__xludf.DUMMYFUNCTION("""COMPUTED_VALUE"""),"Trade Attribute 04")</f>
        <v>Trade Attribute 04</v>
      </c>
      <c r="AR5" s="29" t="str">
        <f>IFERROR(__xludf.DUMMYFUNCTION("""COMPUTED_VALUE"""),"Trade Attribute 05")</f>
        <v>Trade Attribute 05</v>
      </c>
      <c r="AS5" s="29" t="str">
        <f>IFERROR(__xludf.DUMMYFUNCTION("""COMPUTED_VALUE"""),"Trade Attribute 06")</f>
        <v>Trade Attribute 06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36</v>
      </c>
      <c r="C6" s="12">
        <v>6500.0</v>
      </c>
      <c r="D6" s="12"/>
      <c r="E6" s="30"/>
      <c r="F6" s="8"/>
      <c r="G6" s="12" t="b">
        <v>1</v>
      </c>
      <c r="H6" s="8"/>
      <c r="I6" s="12" t="s">
        <v>37</v>
      </c>
      <c r="J6" s="8"/>
      <c r="K6" s="8"/>
      <c r="L6" s="8"/>
      <c r="M6" s="8"/>
      <c r="N6" s="8"/>
      <c r="O6" s="8"/>
      <c r="U6" s="9" t="s">
        <v>18</v>
      </c>
      <c r="V6" s="9" t="s">
        <v>38</v>
      </c>
      <c r="AA6" s="9" t="s">
        <v>39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CustomOrderTT2!$4:$4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IFERROR(__xludf.DUMMYFUNCTION("""COMPUTED_VALUE"""),"Order type button")</f>
        <v>Order type button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40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SelectET1!$4:$4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IFERROR(__xludf.DUMMYFUNCTION("""COMPUTED_VALUE"""),"FixDisconnectionPopup")</f>
        <v>FixDisconnectionPopup</v>
      </c>
      <c r="AN5" s="29" t="str">
        <f>IFERROR(__xludf.DUMMYFUNCTION("""COMPUTED_VALUE"""),"Trade Attribute 01")</f>
        <v>Trade Attribute 01</v>
      </c>
      <c r="AO5" s="29" t="str">
        <f>IFERROR(__xludf.DUMMYFUNCTION("""COMPUTED_VALUE"""),"Trade Attribute 02")</f>
        <v>Trade Attribute 02</v>
      </c>
      <c r="AP5" s="29" t="str">
        <f>IFERROR(__xludf.DUMMYFUNCTION("""COMPUTED_VALUE"""),"Trade Attribute 03")</f>
        <v>Trade Attribute 03</v>
      </c>
      <c r="AQ5" s="29" t="str">
        <f>IFERROR(__xludf.DUMMYFUNCTION("""COMPUTED_VALUE"""),"Trade Attribute 04")</f>
        <v>Trade Attribute 04</v>
      </c>
      <c r="AR5" s="29" t="str">
        <f>IFERROR(__xludf.DUMMYFUNCTION("""COMPUTED_VALUE"""),"Trade Attribute 05")</f>
        <v>Trade Attribute 05</v>
      </c>
      <c r="AS5" s="29" t="str">
        <f>IFERROR(__xludf.DUMMYFUNCTION("""COMPUTED_VALUE"""),"Trade Attribute 06")</f>
        <v>Trade Attribute 06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>
        <v>20.0</v>
      </c>
      <c r="E6" s="12" t="s">
        <v>41</v>
      </c>
      <c r="F6" s="8"/>
      <c r="G6" s="8"/>
      <c r="H6" s="8"/>
      <c r="I6" s="8"/>
      <c r="J6" s="12" t="s">
        <v>42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CustomOrderTT3!$4:$4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43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 t="str">
        <f>IFERROR(__xludf.DUMMYFUNCTION("""COMPUTED_VALUE"""),"Expiry Date")</f>
        <v>Expiry Date</v>
      </c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42</v>
      </c>
      <c r="AK6" s="9" t="s">
        <v>45</v>
      </c>
      <c r="AL6" s="9">
        <v>6500.0</v>
      </c>
      <c r="AS6" s="9" t="s">
        <v>39</v>
      </c>
      <c r="AT6" s="9" t="s">
        <v>37</v>
      </c>
      <c r="AU6" s="9" t="s">
        <v>38</v>
      </c>
      <c r="BH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