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" sheetId="9" r:id="rId11"/>
    <sheet state="visible" name="PricingInput" sheetId="10" r:id="rId12"/>
    <sheet state="visible" name="CreateOrderPTT" sheetId="11" r:id="rId13"/>
    <sheet state="visible" name="CreateOrderPTT1" sheetId="12" r:id="rId14"/>
    <sheet state="visible" name="CreateOrderPTT2" sheetId="13" r:id="rId15"/>
    <sheet state="visible" name="TradeNewSubOrder" sheetId="14" r:id="rId16"/>
    <sheet state="visible" name="CreateNewSubOrder" sheetId="15" r:id="rId17"/>
    <sheet state="visible" name="SelectTradeOnOrderGrid" sheetId="16" r:id="rId18"/>
    <sheet state="visible" name="ReplaceSubOrder" sheetId="17" r:id="rId19"/>
    <sheet state="visible" name="CreateReplaceOrder" sheetId="18" r:id="rId20"/>
    <sheet state="visible" name="SelectTradeOnOrderGrid1" sheetId="19" r:id="rId21"/>
    <sheet state="visible" name="AllocateFromBlotter" sheetId="20" r:id="rId22"/>
    <sheet state="visible" name="GetDataAllocation" sheetId="21" r:id="rId23"/>
    <sheet state="visible" name="CheckAllocatedGroups" sheetId="22" r:id="rId24"/>
    <sheet state="visible" name="CheckPortfolioManagement" sheetId="23" r:id="rId25"/>
  </sheets>
  <definedNames/>
  <calcPr/>
</workbook>
</file>

<file path=xl/sharedStrings.xml><?xml version="1.0" encoding="utf-8"?>
<sst xmlns="http://schemas.openxmlformats.org/spreadsheetml/2006/main" count="237" uniqueCount="63">
  <si>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</si>
  <si>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</si>
  <si>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</si>
  <si>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</si>
  <si>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</si>
  <si>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</si>
  <si>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</si>
  <si>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</si>
  <si>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</si>
  <si>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</si>
  <si>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</si>
  <si>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</si>
  <si>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</si>
  <si>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</si>
  <si>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</si>
  <si>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</si>
  <si>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</si>
  <si>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</si>
  <si>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</si>
  <si>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</t>
  </si>
  <si>
    <t>AddCalculatedPreferences</t>
  </si>
  <si>
    <t>SetAccountValueCalculatedPref</t>
  </si>
  <si>
    <t>Allocation2</t>
  </si>
  <si>
    <t>LP C/O</t>
  </si>
  <si>
    <t>SetDefaultRuleCalculatedPref</t>
  </si>
  <si>
    <t>Trade Quantity</t>
  </si>
  <si>
    <t>Account Inception</t>
  </si>
  <si>
    <t>TradingTicket</t>
  </si>
  <si>
    <t>CreateDoneAwayOrder</t>
  </si>
  <si>
    <t>FRU-TC</t>
  </si>
  <si>
    <t>Buy</t>
  </si>
  <si>
    <t>Unallocated</t>
  </si>
  <si>
    <t>AAPL</t>
  </si>
  <si>
    <t>LI-EEB</t>
  </si>
  <si>
    <t>PricingInput</t>
  </si>
  <si>
    <t>PTT</t>
  </si>
  <si>
    <t>CreateOrderPTT</t>
  </si>
  <si>
    <t>Percentage</t>
  </si>
  <si>
    <t>No</t>
  </si>
  <si>
    <t>Account</t>
  </si>
  <si>
    <t>Blotter</t>
  </si>
  <si>
    <t>TradeNewSubOrder</t>
  </si>
  <si>
    <t>Equity</t>
  </si>
  <si>
    <t>New</t>
  </si>
  <si>
    <t>CreateNewSubOrder</t>
  </si>
  <si>
    <t>SelectTradeOnOrderGrid</t>
  </si>
  <si>
    <t>Filled</t>
  </si>
  <si>
    <t>ReplaceSubOrder</t>
  </si>
  <si>
    <t>CreateReplaceOrder</t>
  </si>
  <si>
    <t>Replaced</t>
  </si>
  <si>
    <t>AllocateFromBlotter</t>
  </si>
  <si>
    <t>GetDataAllocation</t>
  </si>
  <si>
    <t>Current</t>
  </si>
  <si>
    <t>CheckAllocatedGroups</t>
  </si>
  <si>
    <t>Multiple</t>
  </si>
  <si>
    <t>MS</t>
  </si>
  <si>
    <t>M</t>
  </si>
  <si>
    <t>Market</t>
  </si>
  <si>
    <t>PortfolioManagement</t>
  </si>
  <si>
    <t>CheckPortfolioManagement</t>
  </si>
  <si>
    <t>NewMF1</t>
  </si>
  <si>
    <t>Long</t>
  </si>
  <si>
    <t>NewMF2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</si>
</sst>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6" fontId="14" numFmtId="0" xfId="0" applyFill="1" applyFont="1"/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IFERROR(__xludf.DUMMYFUNCTION("""COMPUTED_VALUE"""),"Rebalancer")</f>
        <v>Rebalancer</v>
      </c>
      <c r="B467" t="str">
        <f>IFERROR(__xludf.DUMMYFUNCTION("""COMPUTED_VALUE"""),"RebalanceViaBloomberg")</f>
        <v>RebalanceViaBloomberg</v>
      </c>
      <c r="C467" t="str">
        <f>IFERROR(__xludf.DUMMYFUNCTION("""COMPUTED_VALUE"""),"19Yxtc0mG-kYgx9XiMj2EmICwIzmI7MHhVW5H8sXjfqc")</f>
        <v>19Yxtc0mG-kYgx9XiMj2EmICwIzmI7MHhVW5H8sXjfqc</v>
      </c>
    </row>
    <row r="468" ht="15.75" customHeight="1">
      <c r="A468" t="str">
        <f>IFERROR(__xludf.DUMMYFUNCTION("""COMPUTED_VALUE"""),"ThirdParty")</f>
        <v>ThirdParty</v>
      </c>
      <c r="B468" t="str">
        <f>IFERROR(__xludf.DUMMYFUNCTION("""COMPUTED_VALUE"""),"RefreshThirdParty")</f>
        <v>RefreshThirdParty</v>
      </c>
      <c r="C468" t="str">
        <f>IFERROR(__xludf.DUMMYFUNCTION("""COMPUTED_VALUE"""),"1leOcJPhSPuUZuc26liYTUkBEgS0ZkyPgfsQ2q70vYYU")</f>
        <v>1leOcJPhSPuUZuc26liYTUkBEgS0ZkyPgfsQ2q70vYYU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IFERROR(__xludf.DUMMYFUNCTION("""COMPUTED_VALUE"""),"AddUserAdjustedNAV")</f>
        <v>AddUserAdjustedNAV</v>
      </c>
      <c r="C469" t="str">
        <f>IFERROR(__xludf.DUMMYFUNCTION("""COMPUTED_VALUE"""),"1EV6M1kdYbGffiAWDGUsHZDUm9EMHjyVnQif2Bq_w5YQ")</f>
        <v>1EV6M1kdYbGffiAWDGUsHZDUm9EMHjyVnQif2Bq_w5YQ</v>
      </c>
    </row>
    <row r="470" ht="15.75" customHeight="1">
      <c r="A470" t="str">
        <f>IFERROR(__xludf.DUMMYFUNCTION("""COMPUTED_VALUE"""),"Allocation")</f>
        <v>Allocation</v>
      </c>
      <c r="B470" t="str">
        <f>IFERROR(__xludf.DUMMYFUNCTION("""COMPUTED_VALUE"""),"IsAllocationOpen")</f>
        <v>IsAllocationOpen</v>
      </c>
      <c r="C470" t="str">
        <f>IFERROR(__xludf.DUMMYFUNCTION("""COMPUTED_VALUE"""),"1NWy1tNLHXUklTVeScryRsYAkdc5-LJ3oDBhQkv8WT8M")</f>
        <v>1NWy1tNLHXUklTVeScryRsYAkdc5-LJ3oDBhQkv8WT8M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IFERROR(__xludf.DUMMYFUNCTION("""COMPUTED_VALUE"""),"ImportOnShortLocate")</f>
        <v>ImportOnShortLocate</v>
      </c>
      <c r="C471" t="str">
        <f>IFERROR(__xludf.DUMMYFUNCTION("""COMPUTED_VALUE"""),"1bVPxA0zNj_p7pg9E8mTgLU7yGIrp_WO7jQMtzLb9etg")</f>
        <v>1bVPxA0zNj_p7pg9E8mTgLU7yGIrp_WO7jQMtzLb9etg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IFERROR(__xludf.DUMMYFUNCTION("""COMPUTED_VALUE"""),"ApplyFilterOnShortLocate")</f>
        <v>ApplyFilterOnShortLocate</v>
      </c>
      <c r="C472" t="str">
        <f>IFERROR(__xludf.DUMMYFUNCTION("""COMPUTED_VALUE"""),"1pI0OFiaN7-udDb32hud9I-wifPd3OsRMQPJXWrVRGYE")</f>
        <v>1pI0OFiaN7-udDb32hud9I-wifPd3OsRMQPJXWrVRGYE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IFERROR(__xludf.DUMMYFUNCTION("""COMPUTED_VALUE"""),"OpenTTFromShortLocate")</f>
        <v>OpenTTFromShortLocate</v>
      </c>
      <c r="C473" t="str">
        <f>IFERROR(__xludf.DUMMYFUNCTION("""COMPUTED_VALUE"""),"1MR0CqV87GTUrjVmW-u4lucv_hu_DKW9AesdoirhhPoE")</f>
        <v>1MR0CqV87GTUrjVmW-u4lucv_hu_DKW9AesdoirhhPoE</v>
      </c>
    </row>
    <row r="474" ht="15.75" customHeight="1">
      <c r="A474" t="str">
        <f>IFERROR(__xludf.DUMMYFUNCTION("""COMPUTED_VALUE"""),"PortfolioManagement")</f>
        <v>PortfolioManagement</v>
      </c>
      <c r="B474" t="str">
        <f>IFERROR(__xludf.DUMMYFUNCTION("""COMPUTED_VALUE"""),"RemoveGroupingFromPM")</f>
        <v>RemoveGroupingFromPM</v>
      </c>
      <c r="C474" t="str">
        <f>IFERROR(__xludf.DUMMYFUNCTION("""COMPUTED_VALUE"""),"1VZd-w4B9IFs_jtM2q4yseIyXmK7riLhK8i1YlvU3OJ4")</f>
        <v>1VZd-w4B9IFs_jtM2q4yseIyXmK7riLhK8i1YlvU3OJ4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IFERROR(__xludf.DUMMYFUNCTION("""COMPUTED_VALUE"""),"AddTabOnWatchlist")</f>
        <v>AddTabOnWatchlist</v>
      </c>
      <c r="C475" t="str">
        <f>IFERROR(__xludf.DUMMYFUNCTION("""COMPUTED_VALUE"""),"1kyDKqBSEYxIlVdn2RdP-ZHnw5fK3SeBCqbpEqQfktbQ")</f>
        <v>1kyDKqBSEYxIlVdn2RdP-ZHnw5fK3SeBCqbpEqQfktbQ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IFERROR(__xludf.DUMMYFUNCTION("""COMPUTED_VALUE"""),"DeleteTabOnWatchlist")</f>
        <v>DeleteTabOnWatchlist</v>
      </c>
      <c r="C476" t="str">
        <f>IFERROR(__xludf.DUMMYFUNCTION("""COMPUTED_VALUE"""),"1dFUyUk6aFrwRW0TKRMWTlK9vFTp49OVXBqXSHz95DkI")</f>
        <v>1dFUyUk6aFrwRW0TKRMWTlK9vFTp49OVXBqXSHz95DkI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IFERROR(__xludf.DUMMYFUNCTION("""COMPUTED_VALUE"""),"Upload")</f>
        <v>Upload</v>
      </c>
      <c r="C477" t="str">
        <f>IFERROR(__xludf.DUMMYFUNCTION("""COMPUTED_VALUE"""),"1-xB5jbzgNDsYwxNItM2igLx6ybosKhYJDG45Cf1B00s")</f>
        <v>1-xB5jbzgNDsYwxNItM2igLx6ybosKhYJDG45Cf1B00s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IFERROR(__xludf.DUMMYFUNCTION("""COMPUTED_VALUE"""),"ViewDataOnRecon")</f>
        <v>ViewDataOnRecon</v>
      </c>
      <c r="C478" t="str">
        <f>IFERROR(__xludf.DUMMYFUNCTION("""COMPUTED_VALUE"""),"1j3XobpWhCBX14E7l14SxsGfD41uorXKq0Dzi78xEAl0")</f>
        <v>1j3XobpWhCBX14E7l14SxsGfD41uorXKq0Dzi78xEAl0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IFERROR(__xludf.DUMMYFUNCTION("""COMPUTED_VALUE"""),"RunRecon")</f>
        <v>RunRecon</v>
      </c>
      <c r="C479" t="str">
        <f>IFERROR(__xludf.DUMMYFUNCTION("""COMPUTED_VALUE"""),"1CGteHSn0TR35mDibHM_mvLDac-OHhb53IYGxYOU4O8c")</f>
        <v>1CGteHSn0TR35mDibHM_mvLDac-OHhb53IYGxYOU4O8c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IFERROR(__xludf.DUMMYFUNCTION("""COMPUTED_VALUE"""),"GenerateExceptionReport")</f>
        <v>GenerateExceptionReport</v>
      </c>
      <c r="C480" t="str">
        <f>IFERROR(__xludf.DUMMYFUNCTION("""COMPUTED_VALUE"""),"1N8yfRgpk29yJ2RajAJrKlhzej1Vm_fg2kmJVyjXLrvg")</f>
        <v>1N8yfRgpk29yJ2RajAJrKlhzej1Vm_fg2kmJVyjXLrvg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IFERROR(__xludf.DUMMYFUNCTION("""COMPUTED_VALUE"""),"ImportDataOnRecon")</f>
        <v>ImportDataOnRecon</v>
      </c>
      <c r="C481" t="str">
        <f>IFERROR(__xludf.DUMMYFUNCTION("""COMPUTED_VALUE"""),"1cUNtTiujid_O-E1ZKZwAgG6FILaEpJPyU8e7KNenYXI")</f>
        <v>1cUNtTiujid_O-E1ZKZwAgG6FILaEpJPyU8e7KNenYXI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IFERROR(__xludf.DUMMYFUNCTION("""COMPUTED_VALUE"""),"VerifyShortLocateGrid")</f>
        <v>VerifyShortLocateGrid</v>
      </c>
      <c r="C482" t="str">
        <f>IFERROR(__xludf.DUMMYFUNCTION("""COMPUTED_VALUE"""),"1WxElTsVLEdnCe639nqI7szGn5lHG-xxKjGMKw890Nxs")</f>
        <v>1WxElTsVLEdnCe639nqI7szGn5lHG-xxKjGMKw890Nxs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IFERROR(__xludf.DUMMYFUNCTION("""COMPUTED_VALUE"""),"VerifyApplicationData")</f>
        <v>VerifyApplicationData</v>
      </c>
      <c r="C483" t="str">
        <f>IFERROR(__xludf.DUMMYFUNCTION("""COMPUTED_VALUE"""),"1gMSDalyxsP_enjWpKNvUKpnf9DVP87AgNzPibA-eyb0")</f>
        <v>1gMSDalyxsP_enjWpKNvUKpnf9DVP87AgNzPibA-eyb0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IFERROR(__xludf.DUMMYFUNCTION("""COMPUTED_VALUE"""),"VerifyExceptionReport")</f>
        <v>VerifyExceptionReport</v>
      </c>
      <c r="C484" t="str">
        <f>IFERROR(__xludf.DUMMYFUNCTION("""COMPUTED_VALUE"""),"1XgMq7YXIsXKsvwpomSkKrDlipk4Y-ffMAHhllAES020")</f>
        <v>1XgMq7YXIsXKsvwpomSkKrDlipk4Y-ffMAHhllAES020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IFERROR(__xludf.DUMMYFUNCTION("""COMPUTED_VALUE"""),"VerifyPrimeBrokerData")</f>
        <v>VerifyPrimeBrokerData</v>
      </c>
      <c r="C485" t="str">
        <f>IFERROR(__xludf.DUMMYFUNCTION("""COMPUTED_VALUE"""),"1Ovwt1TBMu4eX_5xPIErUMp0szT3pOQv-xpOMc_u8oTQ")</f>
        <v>1Ovwt1TBMu4eX_5xPIErUMp0szT3pOQv-xpOMc_u8oTQ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IFERROR(__xludf.DUMMYFUNCTION("""COMPUTED_VALUE"""),"SetTradingComplianceRules")</f>
        <v>SetTradingComplianceRules</v>
      </c>
      <c r="C486" t="str">
        <f>IFERROR(__xludf.DUMMYFUNCTION("""COMPUTED_VALUE"""),"1MffewIlf1S9vLrAIh3aiDyNp7gGbrYIPJ5afHeDrnVY")</f>
        <v>1MffewIlf1S9vLrAIh3aiDyNp7gGbrYIPJ5afHeDrnVY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IFERROR(__xludf.DUMMYFUNCTION("""COMPUTED_VALUE"""),"ImportSymbol")</f>
        <v>ImportSymbol</v>
      </c>
      <c r="C487" t="str">
        <f>IFERROR(__xludf.DUMMYFUNCTION("""COMPUTED_VALUE"""),"1g5KDLoyLmVz3yEiZzqea5rWpYDsJy0U5SKzio29JwFw")</f>
        <v>1g5KDLoyLmVz3yEiZzqea5rWpYDsJy0U5SKzio29JwFw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IFERROR(__xludf.DUMMYFUNCTION("""COMPUTED_VALUE"""),"ExportSymbolFromRAList")</f>
        <v>ExportSymbolFromRAList</v>
      </c>
      <c r="C488" t="str">
        <f>IFERROR(__xludf.DUMMYFUNCTION("""COMPUTED_VALUE"""),"1OmAaisxsenYaDlJ4dEuvm14OJefiALIjp5WHk5BiW4M")</f>
        <v>1OmAaisxsenYaDlJ4dEuvm14OJefiALIjp5WHk5BiW4M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 CheckPendingNewOrderAlert")</f>
        <v> CheckPendingNewOrderAlert</v>
      </c>
      <c r="C489" t="str">
        <f>IFERROR(__xludf.DUMMYFUNCTION("""COMPUTED_VALUE"""),"1u5co1GxTETT-t-Y-D0bp3gH4_470l1tV19b2Ge9cabM")</f>
        <v>1u5co1GxTETT-t-Y-D0bp3gH4_470l1tV19b2Ge9cabM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IFERROR(__xludf.DUMMYFUNCTION("""COMPUTED_VALUE"""),"AddSymbolOnRAList")</f>
        <v>AddSymbolOnRAList</v>
      </c>
      <c r="C490" t="str">
        <f>IFERROR(__xludf.DUMMYFUNCTION("""COMPUTED_VALUE"""),"1Q0qEAvdybmeczJnkPdgP8k0_TaW0HOeRFexMckMR-18")</f>
        <v>1Q0qEAvdybmeczJnkPdgP8k0_TaW0HOeRFexMckMR-18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IFERROR(__xludf.DUMMYFUNCTION("""COMPUTED_VALUE"""),"DeleteSymbolListFromRA")</f>
        <v>DeleteSymbolListFromRA</v>
      </c>
      <c r="C491" t="str">
        <f>IFERROR(__xludf.DUMMYFUNCTION("""COMPUTED_VALUE"""),"1_wE7yP7PUnttaLCmZoDnxxzk_PFNSFCOma_pC4ViU6E")</f>
        <v>1_wE7yP7PUnttaLCmZoDnxxzk_PFNSFCOma_pC4ViU6E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IFERROR(__xludf.DUMMYFUNCTION("""COMPUTED_VALUE"""),"RemoveSymbolFromRAList")</f>
        <v>RemoveSymbolFromRAList</v>
      </c>
      <c r="C492" t="str">
        <f>IFERROR(__xludf.DUMMYFUNCTION("""COMPUTED_VALUE"""),"1JxgHW7rNshltHJ_tYhcbx1WTeF-Ge0ipf7IzTYHWuGc")</f>
        <v>1JxgHW7rNshltHJ_tYhcbx1WTeF-Ge0ipf7IzTYHWuGc</v>
      </c>
    </row>
    <row r="493" ht="15.75" customHeight="1">
      <c r="A493" t="str">
        <f>IFERROR(__xludf.DUMMYFUNCTION("""COMPUTED_VALUE"""),"Report")</f>
        <v>Report</v>
      </c>
      <c r="B493" t="str">
        <f>IFERROR(__xludf.DUMMYFUNCTION("""COMPUTED_VALUE"""),"ReportMatching")</f>
        <v>ReportMatching</v>
      </c>
      <c r="C493" t="str">
        <f>IFERROR(__xludf.DUMMYFUNCTION("""COMPUTED_VALUE"""),"1EfN5-n0Flku86UC55Hrfb0fwDOOr0WS_pPckzAO-Nuk")</f>
        <v>1EfN5-n0Flku86UC55Hrfb0fwDOOr0WS_pPckzAO-Nuk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IFERROR(__xludf.DUMMYFUNCTION("""COMPUTED_VALUE"""),"EnableBreakdownRealizedPNL")</f>
        <v>EnableBreakdownRealizedPNL</v>
      </c>
      <c r="C494" t="str">
        <f>IFERROR(__xludf.DUMMYFUNCTION("""COMPUTED_VALUE"""),"1rtkxweRxmt7T-ctvx_6DrnlqP57bpTIP6Ieul7_mP6A")</f>
        <v>1rtkxweRxmt7T-ctvx_6DrnlqP57bpTIP6Ieul7_mP6A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IFERROR(__xludf.DUMMYFUNCTION("""COMPUTED_VALUE"""),"SetTTGeneralPreferences")</f>
        <v>SetTTGeneralPreferences</v>
      </c>
      <c r="C495" t="str">
        <f>IFERROR(__xludf.DUMMYFUNCTION("""COMPUTED_VALUE"""),"1bYrBAoKW9vS-yV7iY_o_bSeBsS4YGKCqurg8f5zUrJ8")</f>
        <v>1bYrBAoKW9vS-yV7iY_o_bSeBsS4YGKCqurg8f5zUrJ8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IFERROR(__xludf.DUMMYFUNCTION("""COMPUTED_VALUE"""),"OpenBlotter")</f>
        <v>OpenBlotter</v>
      </c>
      <c r="C496" t="str">
        <f>IFERROR(__xludf.DUMMYFUNCTION("""COMPUTED_VALUE"""),"1jh-uMffIi0EiSv0QmaxSeDY5pD0Bo-YUzVPlNlIB5sk")</f>
        <v>1jh-uMffIi0EiSv0QmaxSeDY5pD0Bo-YUzVPlNlIB5sk</v>
      </c>
    </row>
    <row r="497" ht="15.75" customHeight="1">
      <c r="A497" t="str">
        <f>IFERROR(__xludf.DUMMYFUNCTION("""COMPUTED_VALUE"""),"ExeExecutor")</f>
        <v>ExeExecutor</v>
      </c>
      <c r="B497" t="str">
        <f>IFERROR(__xludf.DUMMYFUNCTION("""COMPUTED_VALUE"""),"CallExeExecutor")</f>
        <v>CallExeExecutor</v>
      </c>
      <c r="C497" t="str">
        <f>IFERROR(__xludf.DUMMYFUNCTION("""COMPUTED_VALUE"""),"18prvJHsrb-rcZzLiFugnRouMTG2v1w23-4XsA6vdq28")</f>
        <v>18prvJHsrb-rcZzLiFugnRouMTG2v1w23-4XsA6vdq28</v>
      </c>
    </row>
    <row r="498" ht="15.75" customHeight="1">
      <c r="A498" t="str">
        <f>IFERROR(__xludf.DUMMYFUNCTION("""COMPUTED_VALUE"""),"TradingTicket")</f>
        <v>TradingTicket</v>
      </c>
      <c r="B498" t="str">
        <f>IFERROR(__xludf.DUMMYFUNCTION("""COMPUTED_VALUE"""),"ToggleBlombergOnRA")</f>
        <v>ToggleBlombergOnRA</v>
      </c>
      <c r="C498" t="str">
        <f>IFERROR(__xludf.DUMMYFUNCTION("""COMPUTED_VALUE"""),"10Qkq27hhdOEj1Wsc8HDmoaYNRjZvZz3hYs_g-o2srD4")</f>
        <v>10Qkq27hhdOEj1Wsc8HDmoaYNRjZvZz3hYs_g-o2srD4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IFERROR(__xludf.DUMMYFUNCTION("""COMPUTED_VALUE"""),"RemoveManualExecution")</f>
        <v>RemoveManualExecution</v>
      </c>
      <c r="C499" t="str">
        <f>IFERROR(__xludf.DUMMYFUNCTION("""COMPUTED_VALUE"""),"12JlWbwTibBQxTu6k-LfAtZm3Ge3zv_5pTxfwGMUw41Y")</f>
        <v>12JlWbwTibBQxTu6k-LfAtZm3Ge3zv_5pTxfwGMUw41Y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IFERROR(__xludf.DUMMYFUNCTION("""COMPUTED_VALUE"""),"RemoveExecutionWorkingSubs")</f>
        <v>RemoveExecutionWorkingSubs</v>
      </c>
      <c r="C500" t="str">
        <f>IFERROR(__xludf.DUMMYFUNCTION("""COMPUTED_VALUE"""),"1y-8IjqY0F-JaHDEQlN0WPEnzbLFvyaXbrTNH8_TVTks")</f>
        <v>1y-8IjqY0F-JaHDEQlN0WPEnzbLFvyaXbrTNH8_TVTks</v>
      </c>
    </row>
    <row r="501" ht="15.75" customHeight="1">
      <c r="A501" t="str">
        <f>IFERROR(__xludf.DUMMYFUNCTION("""COMPUTED_VALUE"""),"Dropcopy")</f>
        <v>Dropcopy</v>
      </c>
      <c r="B501" t="str">
        <f>IFERROR(__xludf.DUMMYFUNCTION("""COMPUTED_VALUE"""),"UploadDropcopyFile")</f>
        <v>UploadDropcopyFile</v>
      </c>
      <c r="C501" t="str">
        <f>IFERROR(__xludf.DUMMYFUNCTION("""COMPUTED_VALUE"""),"1nR5JdSa_bHe_xGX50gs4EzgjOu_OvNU3Jr03lpqD0xw")</f>
        <v>1nR5JdSa_bHe_xGX50gs4EzgjOu_OvNU3Jr03lpqD0xw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IFERROR(__xludf.DUMMYFUNCTION("""COMPUTED_VALUE"""),"StartTradeServer")</f>
        <v>StartTradeServer</v>
      </c>
      <c r="C502" t="str">
        <f>IFERROR(__xludf.DUMMYFUNCTION("""COMPUTED_VALUE"""),"1y76YUxz2PJo3dkDwBM0DtU6wDkbeltscHEvWIbis6PU")</f>
        <v>1y76YUxz2PJo3dkDwBM0DtU6wDkbeltscHEvWIbis6PU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IFERROR(__xludf.DUMMYFUNCTION("""COMPUTED_VALUE"""),"CloseTradeServer ")</f>
        <v>CloseTradeServer </v>
      </c>
      <c r="C503" t="str">
        <f>IFERROR(__xludf.DUMMYFUNCTION("""COMPUTED_VALUE"""),"1yt7YEJD5SbOmQGT4lGjpllft89GAxVsEpZGz0MjiwoE")</f>
        <v>1yt7YEJD5SbOmQGT4lGjpllft89GAxVsEpZGz0MjiwoE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IFERROR(__xludf.DUMMYFUNCTION("""COMPUTED_VALUE"""),"GetExecutionReportOrders")</f>
        <v>GetExecutionReportOrders</v>
      </c>
      <c r="C504" t="str">
        <f>IFERROR(__xludf.DUMMYFUNCTION("""COMPUTED_VALUE"""),"1NAb2WMfxxO3WY8IHkZpmM2CEoQJdLSaSUKkJGXbMhpM")</f>
        <v>1NAb2WMfxxO3WY8IHkZpmM2CEoQJdLSaSUKkJGXbMhpM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IFERROR(__xludf.DUMMYFUNCTION("""COMPUTED_VALUE"""),"GetExecutionReportDetails")</f>
        <v>GetExecutionReportDetails</v>
      </c>
      <c r="C505" t="str">
        <f>IFERROR(__xludf.DUMMYFUNCTION("""COMPUTED_VALUE"""),"1jzzm_gfQ-iQdhfat681yxboDYvsF3ICqvTE6xBuUuPw")</f>
        <v>1jzzm_gfQ-iQdhfat681yxboDYvsF3ICqvTE6xBuUuPw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IFERROR(__xludf.DUMMYFUNCTION("""COMPUTED_VALUE"""),"ExportExecutionReportData")</f>
        <v>ExportExecutionReportData</v>
      </c>
      <c r="C506" t="str">
        <f>IFERROR(__xludf.DUMMYFUNCTION("""COMPUTED_VALUE"""),"1QDVVpmU4OpSVy0QKxTmM6zg2QX4-s7c-SloWYxSfj2I")</f>
        <v>1QDVVpmU4OpSVy0QKxTmM6zg2QX4-s7c-SloWYxSfj2I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IFERROR(__xludf.DUMMYFUNCTION("""COMPUTED_VALUE"""),"VerifyExecutionReport")</f>
        <v>VerifyExecutionReport</v>
      </c>
      <c r="C507" t="str">
        <f>IFERROR(__xludf.DUMMYFUNCTION("""COMPUTED_VALUE"""),"1r_n-pmrLMgF_C8aeuNDr7tWOA0Y7GBcfWpC4prA7BYY")</f>
        <v>1r_n-pmrLMgF_C8aeuNDr7tWOA0Y7GBcfWpC4prA7BYY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IFERROR(__xludf.DUMMYFUNCTION("""COMPUTED_VALUE"""),"BlotterExecutionReportSnapshot")</f>
        <v>BlotterExecutionReportSnapshot</v>
      </c>
      <c r="C508" t="str">
        <f>IFERROR(__xludf.DUMMYFUNCTION("""COMPUTED_VALUE"""),"1CpQZAB4vlNmqvzO989xcBSpzc0NPLej2NvhLbdUyWTQ")</f>
        <v>1CpQZAB4vlNmqvzO989xcBSpzc0NPLej2NvhLbdUyWTQ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IFERROR(__xludf.DUMMYFUNCTION("""COMPUTED_VALUE"""),"SetDollarAmountPermission")</f>
        <v>SetDollarAmountPermission</v>
      </c>
      <c r="C509" t="str">
        <f>IFERROR(__xludf.DUMMYFUNCTION("""COMPUTED_VALUE"""),"14X5jPuAG23EQhbOfO3DylrVujon3mSElP-txsSkRnA8")</f>
        <v>14X5jPuAG23EQhbOfO3DylrVujon3mSElP-txsSkRnA8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IFERROR(__xludf.DUMMYFUNCTION("""COMPUTED_VALUE"""),"EnableDisableModule")</f>
        <v>EnableDisableModule</v>
      </c>
      <c r="C510" t="str">
        <f>IFERROR(__xludf.DUMMYFUNCTION("""COMPUTED_VALUE"""),"1Nhl_j0HYixYX2VQ1rak-5gFIBhJ4VoCwaftlalTj1bk")</f>
        <v>1Nhl_j0HYixYX2VQ1rak-5gFIBhJ4VoCwaftlalTj1bk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IFERROR(__xludf.DUMMYFUNCTION("""COMPUTED_VALUE"""),"MultipleTradeTransferToUser")</f>
        <v>MultipleTradeTransferToUser</v>
      </c>
      <c r="C511" t="str">
        <f>IFERROR(__xludf.DUMMYFUNCTION("""COMPUTED_VALUE"""),"18edwL6Y0tYzP2zrxa0QRcpYxjVV6krJxukXjossj_MM")</f>
        <v>18edwL6Y0tYzP2zrxa0QRcpYxjVV6krJxukXjossj_MM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IFERROR(__xludf.DUMMYFUNCTION("""COMPUTED_VALUE"""),"IsImportOverrideOnShortLocate")</f>
        <v>IsImportOverrideOnShortLocate</v>
      </c>
      <c r="C512" t="str">
        <f>IFERROR(__xludf.DUMMYFUNCTION("""COMPUTED_VALUE"""),"1rXpxTwvAlfhYJ9c_7pzI4e6qsq11B1glzjELJaxdM78")</f>
        <v>1rXpxTwvAlfhYJ9c_7pzI4e6qsq11B1glzjELJaxdM78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IFERROR(__xludf.DUMMYFUNCTION("""COMPUTED_VALUE"""),"SetShortLocateStructures")</f>
        <v>SetShortLocateStructures</v>
      </c>
      <c r="C513" t="str">
        <f>IFERROR(__xludf.DUMMYFUNCTION("""COMPUTED_VALUE"""),"1Ysz8uKnxRqT6F3_Q057BzV3ZZSVUtxBeQC04LlklMkA")</f>
        <v>1Ysz8uKnxRqT6F3_Q057BzV3ZZSVUtxBeQC04LlklMkA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IFERROR(__xludf.DUMMYFUNCTION("""COMPUTED_VALUE"""),"DownloadFile")</f>
        <v>DownloadFile</v>
      </c>
      <c r="C514" t="str">
        <f>IFERROR(__xludf.DUMMYFUNCTION("""COMPUTED_VALUE"""),"1Lo2aHDGLaNwTN4R8-xwG0BQ40lg7UQinHAGEpxz69js")</f>
        <v>1Lo2aHDGLaNwTN4R8-xwG0BQ40lg7UQinHAGEpxz69js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IFERROR(__xludf.DUMMYFUNCTION("""COMPUTED_VALUE"""),"SearchShortLocateUI")</f>
        <v>SearchShortLocateUI</v>
      </c>
      <c r="C515" t="str">
        <f>IFERROR(__xludf.DUMMYFUNCTION("""COMPUTED_VALUE"""),"1U6qgMqp1MPriWKxHsZuuHuHlmM-rJxqIxG5W7SUpFSg")</f>
        <v>1U6qgMqp1MPriWKxHsZuuHuHlmM-rJxqIxG5W7SUpFSg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IFERROR(__xludf.DUMMYFUNCTION("""COMPUTED_VALUE"""),"CreateDoneAwayOrder")</f>
        <v>CreateDoneAwayOrder</v>
      </c>
      <c r="C516" t="str">
        <f>IFERROR(__xludf.DUMMYFUNCTION("""COMPUTED_VALUE"""),"1PYf32wTc6i8YjkRz-Q53X6MYDiD5LoHyy9NsZwpOwGc")</f>
        <v>1PYf32wTc6i8YjkRz-Q53X6MYDiD5LoHyy9NsZwpOwGc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IFERROR(__xludf.DUMMYFUNCTION("""COMPUTED_VALUE"""),"CreateComplianceOrder")</f>
        <v>CreateComplianceOrder</v>
      </c>
      <c r="C517" t="str">
        <f>IFERROR(__xludf.DUMMYFUNCTION("""COMPUTED_VALUE"""),"1pOKwC5QSnI6pl7_3wm6G9qkekDDtucmNIY_GKVMbs0M")</f>
        <v>1pOKwC5QSnI6pl7_3wm6G9qkekDDtucmNIY_GKVMbs0M</v>
      </c>
    </row>
    <row r="518" ht="15.75" customHeight="1">
      <c r="A518" t="str">
        <f>IFERROR(__xludf.DUMMYFUNCTION("""COMPUTED_VALUE"""),"Simulator")</f>
        <v>Simulator</v>
      </c>
      <c r="B518" t="str">
        <f>IFERROR(__xludf.DUMMYFUNCTION("""COMPUTED_VALUE"""),"VerifyTrades")</f>
        <v>VerifyTrades</v>
      </c>
      <c r="C518" t="str">
        <f>IFERROR(__xludf.DUMMYFUNCTION("""COMPUTED_VALUE"""),"1931c1Bd7mkuw8ktAOnJ1wXHqdWYL0uX2gQ9uIP2NnkI")</f>
        <v>1931c1Bd7mkuw8ktAOnJ1wXHqdWYL0uX2gQ9uIP2NnkI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IFERROR(__xludf.DUMMYFUNCTION("""COMPUTED_VALUE"""),"SetShortLocatePreferences")</f>
        <v>SetShortLocatePreferences</v>
      </c>
      <c r="C519" t="str">
        <f>IFERROR(__xludf.DUMMYFUNCTION("""COMPUTED_VALUE"""),"1nr3BA7Flp5cWiyNKfvlxJQEbl_IdNqrIInUcX8x159M")</f>
        <v>1nr3BA7Flp5cWiyNKfvlxJQEbl_IdNqrIInUcX8x159M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IFERROR(__xludf.DUMMYFUNCTION("""COMPUTED_VALUE"""),"GetSymbolData")</f>
        <v>GetSymbolData</v>
      </c>
      <c r="C520" t="str">
        <f>IFERROR(__xludf.DUMMYFUNCTION("""COMPUTED_VALUE"""),"1Jhbk5bZEf1nNxzsfiuLvF70SiNRDu-1THAWzNNwbi4Y")</f>
        <v>1Jhbk5bZEf1nNxzsfiuLvF70SiNRDu-1THAWzNNwbi4Y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IFERROR(__xludf.DUMMYFUNCTION("""COMPUTED_VALUE"""),"EditSMData")</f>
        <v>EditSMData</v>
      </c>
      <c r="C521" t="str">
        <f>IFERROR(__xludf.DUMMYFUNCTION("""COMPUTED_VALUE"""),"162dD8bZg-298j6PezrW145xv1_C6x4Isd0rGv85ZCII")</f>
        <v>162dD8bZg-298j6PezrW145xv1_C6x4Isd0rGv85ZCII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IFERROR(__xludf.DUMMYFUNCTION("""COMPUTED_VALUE"""),"RestartRuleMediator")</f>
        <v>RestartRuleMediator</v>
      </c>
      <c r="C522" t="str">
        <f>IFERROR(__xludf.DUMMYFUNCTION("""COMPUTED_VALUE"""),"1dZ1FWxsWVvPQ6jyA-ksyvErraF0tisehi5j1I2FOkRw")</f>
        <v>1dZ1FWxsWVvPQ6jyA-ksyvErraF0tisehi5j1I2FOkRw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IFERROR(__xludf.DUMMYFUNCTION("""COMPUTED_VALUE"""),"VerifyAggAccountSymbolWithNav")</f>
        <v>VerifyAggAccountSymbolWithNav</v>
      </c>
      <c r="C523" t="str">
        <f>IFERROR(__xludf.DUMMYFUNCTION("""COMPUTED_VALUE"""),"11jhyREfVfPzaKHLxIklzEiVpo7QOG5knwgpEA7Hkzto")</f>
        <v>11jhyREfVfPzaKHLxIklzEiVpo7QOG5knwgpEA7Hkzto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IFERROR(__xludf.DUMMYFUNCTION("""COMPUTED_VALUE"""),"SetComplianceAlert")</f>
        <v>SetComplianceAlert</v>
      </c>
      <c r="C524" t="str">
        <f>IFERROR(__xludf.DUMMYFUNCTION("""COMPUTED_VALUE"""),"12x8yk-qXOBJRoW8RyxDDfI4tsK-lzo85opA2CvzjQoA")</f>
        <v>12x8yk-qXOBJRoW8RyxDDfI4tsK-lzo85opA2CvzjQoA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IFERROR(__xludf.DUMMYFUNCTION("""COMPUTED_VALUE"""),"ReloadOrderFromBlotter")</f>
        <v>ReloadOrderFromBlotter</v>
      </c>
      <c r="C525" t="str">
        <f>IFERROR(__xludf.DUMMYFUNCTION("""COMPUTED_VALUE"""),"1KTgBgigwVrlQbk-675Krfsd2QqH49pqRvlWifYUtQ5g")</f>
        <v>1KTgBgigwVrlQbk-675Krfsd2QqH49pqRvlWifYUtQ5g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IFERROR(__xludf.DUMMYFUNCTION("""COMPUTED_VALUE"""),"ReloadOrderFromSubOrder")</f>
        <v>ReloadOrderFromSubOrder</v>
      </c>
      <c r="C526" t="str">
        <f>IFERROR(__xludf.DUMMYFUNCTION("""COMPUTED_VALUE"""),"1a8denPrrrZ6CU7m_5pyvuX8v3Z1WPbnkCQZRqkPZEj8")</f>
        <v>1a8denPrrrZ6CU7m_5pyvuX8v3Z1WPbnkCQZRqkPZEj8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IFERROR(__xludf.DUMMYFUNCTION("""COMPUTED_VALUE"""),"ReloadOrderFromWorkingSubs")</f>
        <v>ReloadOrderFromWorkingSubs</v>
      </c>
      <c r="C527" t="str">
        <f>IFERROR(__xludf.DUMMYFUNCTION("""COMPUTED_VALUE"""),"1Qy10BJ2vPY3GZqXNi1sf4HN4-VBeDTN2tZbIrlL9_tM")</f>
        <v>1Qy10BJ2vPY3GZqXNi1sf4HN4-VBeDTN2tZbIrlL9_tM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IFERROR(__xludf.DUMMYFUNCTION("""COMPUTED_VALUE"""),"AutoExercise")</f>
        <v>AutoExercise</v>
      </c>
      <c r="C528" t="str">
        <f>IFERROR(__xludf.DUMMYFUNCTION("""COMPUTED_VALUE"""),"1VkyCG4QZGXFJyz0uDReEN_PMiHJtUbU9MzJ18dR7djs")</f>
        <v>1VkyCG4QZGXFJyz0uDReEN_PMiHJtUbU9MzJ18dR7djs</v>
      </c>
    </row>
    <row r="529" ht="15.75" customHeight="1">
      <c r="A529" t="str">
        <f>IFERROR(__xludf.DUMMYFUNCTION("""COMPUTED_VALUE"""),"PortfolioManagement")</f>
        <v>PortfolioManagement</v>
      </c>
      <c r="B529" t="str">
        <f>IFERROR(__xludf.DUMMYFUNCTION("""COMPUTED_VALUE"""),"IncreasePositionFromPM")</f>
        <v>IncreasePositionFromPM</v>
      </c>
      <c r="C529" t="str">
        <f>IFERROR(__xludf.DUMMYFUNCTION("""COMPUTED_VALUE"""),"1xln3IHIAQBsFIP_BTRt6nFOFbhoLbe-sRdYWCguKd7k")</f>
        <v>1xln3IHIAQBsFIP_BTRt6nFOFbhoLbe-sRdYWCguKd7k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IFERROR(__xludf.DUMMYFUNCTION("""COMPUTED_VALUE"""),"AddOptionTrade")</f>
        <v>AddOptionTrade</v>
      </c>
      <c r="C530" t="str">
        <f>IFERROR(__xludf.DUMMYFUNCTION("""COMPUTED_VALUE"""),"1zk0UoVrMV0oINBkU2tXEcmh42lo2poOp5V2voemUQOc")</f>
        <v>1zk0UoVrMV0oINBkU2tXEcmh42lo2poOp5V2voemUQOc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IFERROR(__xludf.DUMMYFUNCTION("""COMPUTED_VALUE"""),"SendLiveBloomberg")</f>
        <v>SendLiveBloomberg</v>
      </c>
      <c r="C531" t="str">
        <f>IFERROR(__xludf.DUMMYFUNCTION("""COMPUTED_VALUE"""),"1YDY4PrQHIwjAVV7ZS5FxsT9X35VMSfx9lUFZ6KS0TT4")</f>
        <v>1YDY4PrQHIwjAVV7ZS5FxsT9X35VMSfx9lUFZ6KS0TT4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IFERROR(__xludf.DUMMYFUNCTION("""COMPUTED_VALUE"""),"UpdateExpirationDate")</f>
        <v>UpdateExpirationDate</v>
      </c>
      <c r="C532" t="str">
        <f>IFERROR(__xludf.DUMMYFUNCTION("""COMPUTED_VALUE"""),"1m5emwEeVJWl1_OB8Nsr7sbSKCTBM_edzEbP7vtPiImU")</f>
        <v>1m5emwEeVJWl1_OB8Nsr7sbSKCTBM_edzEbP7vtPiImU</v>
      </c>
    </row>
    <row r="533" ht="15.75" customHeight="1">
      <c r="A533" t="str">
        <f>IFERROR(__xludf.DUMMYFUNCTION("""COMPUTED_VALUE"""),"PricingInput")</f>
        <v>PricingInput</v>
      </c>
      <c r="B533" t="str">
        <f>IFERROR(__xludf.DUMMYFUNCTION("""COMPUTED_VALUE"""),"UncheckDividendYield")</f>
        <v>UncheckDividendYield</v>
      </c>
      <c r="C533" t="str">
        <f>IFERROR(__xludf.DUMMYFUNCTION("""COMPUTED_VALUE"""),"1siER4KgCo3rya7jG6bOEOQMJ5jolS_sgeWzVIaXVnOA")</f>
        <v>1siER4KgCo3rya7jG6bOEOQMJ5jolS_sgeWzVIaXVnOA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IFERROR(__xludf.DUMMYFUNCTION("""COMPUTED_VALUE"""),"RenameMasterStrategy")</f>
        <v>RenameMasterStrategy</v>
      </c>
      <c r="C534" t="str">
        <f>IFERROR(__xludf.DUMMYFUNCTION("""COMPUTED_VALUE"""),"17O0fiItP8De4QvAabOMWsJRuFVwYQ4vcaWY9LIrA4AM")</f>
        <v>17O0fiItP8De4QvAabOMWsJRuFVwYQ4vcaWY9LIrA4AM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IFERROR(__xludf.DUMMYFUNCTION("""COMPUTED_VALUE"""),"SelectFills")</f>
        <v>SelectFills</v>
      </c>
      <c r="C535" t="str">
        <f>IFERROR(__xludf.DUMMYFUNCTION("""COMPUTED_VALUE"""),"1KmDGWLo9fXILo47E7QiLk8PcgyXyPWDYLSmlv1U7OEI")</f>
        <v>1KmDGWLo9fXILo47E7QiLk8PcgyXyPWDYLSmlv1U7OEI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IFERROR(__xludf.DUMMYFUNCTION("""COMPUTED_VALUE"""),"ModifyFills")</f>
        <v>ModifyFills</v>
      </c>
      <c r="C536" t="str">
        <f>IFERROR(__xludf.DUMMYFUNCTION("""COMPUTED_VALUE"""),"1kjhDPh6h17F_qQ5SR_vaGjeQJ54-Cnj0LAluw9XRR9E")</f>
        <v>1kjhDPh6h17F_qQ5SR_vaGjeQJ54-Cnj0LAluw9XRR9E</v>
      </c>
    </row>
    <row r="537" ht="15.75" customHeight="1">
      <c r="A537" t="str">
        <f>IFERROR(__xludf.DUMMYFUNCTION("""COMPUTED_VALUE"""),"PranaClient")</f>
        <v>PranaClient</v>
      </c>
      <c r="B537" t="str">
        <f>IFERROR(__xludf.DUMMYFUNCTION("""COMPUTED_VALUE"""),"LoginClient")</f>
        <v>LoginClient</v>
      </c>
      <c r="C537" t="str">
        <f>IFERROR(__xludf.DUMMYFUNCTION("""COMPUTED_VALUE"""),"1oOEnrCswh1E2gMB7QLb7Kzwn1g_U9MdoUM8ZuU4xpqM")</f>
        <v>1oOEnrCswh1E2gMB7QLb7Kzwn1g_U9MdoUM8ZuU4xpqM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IFERROR(__xludf.DUMMYFUNCTION("""COMPUTED_VALUE"""),"EditMultipleCloseQuantity")</f>
        <v>EditMultipleCloseQuantity</v>
      </c>
      <c r="C538" t="str">
        <f>IFERROR(__xludf.DUMMYFUNCTION("""COMPUTED_VALUE"""),"1GFVJ-sKAde1ojd0Fe4n6uFMFg_t5ihjSGwIRBDNxnSQ")</f>
        <v>1GFVJ-sKAde1ojd0Fe4n6uFMFg_t5ihjSGwIRBDNxnSQ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IFERROR(__xludf.DUMMYFUNCTION("""COMPUTED_VALUE"""),"ManualCloseOrder")</f>
        <v>ManualCloseOrder</v>
      </c>
      <c r="C539" t="str">
        <f>IFERROR(__xludf.DUMMYFUNCTION("""COMPUTED_VALUE"""),"1fZ_P02eEi4GavSkUo3cpan_Jh4xz0OQjidMUwzCMms8")</f>
        <v>1fZ_P02eEi4GavSkUo3cpan_Jh4xz0OQjidMUwzCMms8</v>
      </c>
    </row>
    <row r="540" ht="15.75" customHeight="1">
      <c r="A540" t="str">
        <f>IFERROR(__xludf.DUMMYFUNCTION("""COMPUTED_VALUE"""),"Admin")</f>
        <v>Admin</v>
      </c>
      <c r="B540" t="str">
        <f>IFERROR(__xludf.DUMMYFUNCTION("""COMPUTED_VALUE"""),"SetTTUIAdminPreferences")</f>
        <v>SetTTUIAdminPreferences</v>
      </c>
      <c r="C540" t="str">
        <f>IFERROR(__xludf.DUMMYFUNCTION("""COMPUTED_VALUE"""),"1XGzqnk2nunw7F--MNGHLzH3F0YYmIumyegAncIZZB6k")</f>
        <v>1XGzqnk2nunw7F--MNGHLzH3F0YYmIumyegAncIZZB6k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IFERROR(__xludf.DUMMYFUNCTION("""COMPUTED_VALUE"""),"PreviewDataWithFilters")</f>
        <v>PreviewDataWithFilters</v>
      </c>
      <c r="C541" t="str">
        <f>IFERROR(__xludf.DUMMYFUNCTION("""COMPUTED_VALUE"""),"1QufyUdyJ0hiResW8bLzTI1qcoXAtWh2TTAg4KNj2kv4")</f>
        <v>1QufyUdyJ0hiResW8bLzTI1qcoXAtWh2TTAg4KNj2kv4</v>
      </c>
    </row>
    <row r="542" ht="15.75" customHeight="1">
      <c r="A542" t="str">
        <f>IFERROR(__xludf.DUMMYFUNCTION("""COMPUTED_VALUE"""),"TradingTicket")</f>
        <v>TradingTicket</v>
      </c>
      <c r="B542" t="str">
        <f>IFERROR(__xludf.DUMMYFUNCTION("""COMPUTED_VALUE"""),"ViewAllocation")</f>
        <v>ViewAllocation</v>
      </c>
      <c r="C542" t="str">
        <f>IFERROR(__xludf.DUMMYFUNCTION("""COMPUTED_VALUE"""),"1qQcdc8yQuKhwDznJZ6pFksOXC_DRFeEcZJNoYabCqoo")</f>
        <v>1qQcdc8yQuKhwDznJZ6pFksOXC_DRFeEcZJNoYabCqoo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IFERROR(__xludf.DUMMYFUNCTION("""COMPUTED_VALUE"""),"UpdateSecFee")</f>
        <v>UpdateSecFee</v>
      </c>
      <c r="C543" t="str">
        <f>IFERROR(__xludf.DUMMYFUNCTION("""COMPUTED_VALUE"""),"165ONyZgtypA9enxNYG1RIGJ0QQBpn60s9uk-ZFwfAQI")</f>
        <v>165ONyZgtypA9enxNYG1RIGJ0QQBpn60s9uk-ZFwfAQI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IFERROR(__xludf.DUMMYFUNCTION("""COMPUTED_VALUE"""),"CreateClosingTemplate")</f>
        <v>CreateClosingTemplate</v>
      </c>
      <c r="C544" t="str">
        <f>IFERROR(__xludf.DUMMYFUNCTION("""COMPUTED_VALUE"""),"1dO0ymjm2QUZjeMDVWKonhU6YqesW2cr7p8PLsR8JxaA")</f>
        <v>1dO0ymjm2QUZjeMDVWKonhU6YqesW2cr7p8PLsR8JxaA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IFERROR(__xludf.DUMMYFUNCTION("""COMPUTED_VALUE"""),"CreateUnwindingTemplate")</f>
        <v>CreateUnwindingTemplate</v>
      </c>
      <c r="C545" t="str">
        <f>IFERROR(__xludf.DUMMYFUNCTION("""COMPUTED_VALUE"""),"1elBNb12z0vBYbY9P3ZtJ0q2SWz7SHF34zwW-QQZxQH0")</f>
        <v>1elBNb12z0vBYbY9P3ZtJ0q2SWz7SHF34zwW-QQZxQH0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IFERROR(__xludf.DUMMYFUNCTION("""COMPUTED_VALUE"""),"EditTemplate")</f>
        <v>EditTemplate</v>
      </c>
      <c r="C546" t="str">
        <f>IFERROR(__xludf.DUMMYFUNCTION("""COMPUTED_VALUE"""),"1ZmcENUuCOmbgT4qA2jopXrJlm_NQ2yxiHmw457oO6Ks")</f>
        <v>1ZmcENUuCOmbgT4qA2jopXrJlm_NQ2yxiHmw457oO6Ks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IFERROR(__xludf.DUMMYFUNCTION("""COMPUTED_VALUE"""),"DeleteTemplate")</f>
        <v>DeleteTemplate</v>
      </c>
      <c r="C547" t="str">
        <f>IFERROR(__xludf.DUMMYFUNCTION("""COMPUTED_VALUE"""),"1kB5ouEy35PLGrGH3P7q6zhj1lAakSOshbaFfRSxUYuI")</f>
        <v>1kB5ouEy35PLGrGH3P7q6zhj1lAakSOshbaFfRSxUYuI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IFERROR(__xludf.DUMMYFUNCTION("""COMPUTED_VALUE"""),"AllocationAuditTrail")</f>
        <v>AllocationAuditTrail</v>
      </c>
      <c r="C548" t="str">
        <f>IFERROR(__xludf.DUMMYFUNCTION("""COMPUTED_VALUE"""),"1cWbQrLhcx-DBTt83fk27awIMhSdKtj7wh0dnffqkyEg")</f>
        <v>1cWbQrLhcx-DBTt83fk27awIMhSdKtj7wh0dnffqkyEg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IFERROR(__xludf.DUMMYFUNCTION("""COMPUTED_VALUE"""),"GetAuditTrailData")</f>
        <v>GetAuditTrailData</v>
      </c>
      <c r="C549" t="str">
        <f>IFERROR(__xludf.DUMMYFUNCTION("""COMPUTED_VALUE"""),"1atfQajSO79BpNABHuWDu-qwEpzSPXeTPKhLrVf3qAJQ")</f>
        <v>1atfQajSO79BpNABHuWDu-qwEpzSPXeTPKhLrVf3qAJQ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IFERROR(__xludf.DUMMYFUNCTION("""COMPUTED_VALUE"""),"CheckAuditTrailData")</f>
        <v>CheckAuditTrailData</v>
      </c>
      <c r="C550" t="str">
        <f>IFERROR(__xludf.DUMMYFUNCTION("""COMPUTED_VALUE"""),"1ynZmQFpgGOcXlnL_2G1gIugXpfbDTFt91dNyM50VdQI")</f>
        <v>1ynZmQFpgGOcXlnL_2G1gIugXpfbDTFt91dNyM50VdQI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IFERROR(__xludf.DUMMYFUNCTION("""COMPUTED_VALUE"""),"RunTemplate")</f>
        <v>RunTemplate</v>
      </c>
      <c r="C551" t="str">
        <f>IFERROR(__xludf.DUMMYFUNCTION("""COMPUTED_VALUE"""),"1iWCPXe0tXJ4PIDbwGLtBOVNSJ2s7YN4z8ZTJcr0Wuw4")</f>
        <v>1iWCPXe0tXJ4PIDbwGLtBOVNSJ2s7YN4z8ZTJcr0Wuw4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IFERROR(__xludf.DUMMYFUNCTION("""COMPUTED_VALUE"""),"EnterEquity")</f>
        <v>EnterEquity</v>
      </c>
      <c r="C552" t="str">
        <f>IFERROR(__xludf.DUMMYFUNCTION("""COMPUTED_VALUE"""),"1fz65nnl1EeQopbyOQst6wzPdLRIHU1-7mjW2sgFXCAo")</f>
        <v>1fz65nnl1EeQopbyOQst6wzPdLRIHU1-7mjW2sgFXCAo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IFERROR(__xludf.DUMMYFUNCTION("""COMPUTED_VALUE"""),"UpdateSecurityInfoOnSM")</f>
        <v>UpdateSecurityInfoOnSM</v>
      </c>
      <c r="C553" t="str">
        <f>IFERROR(__xludf.DUMMYFUNCTION("""COMPUTED_VALUE"""),"1I1mDhfrVnKfVAYMK9kcg_A-0IZoCrTMjPsHzeC_QRU8")</f>
        <v>1I1mDhfrVnKfVAYMK9kcg_A-0IZoCrTMjPsHzeC_QRU8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IFERROR(__xludf.DUMMYFUNCTION("""COMPUTED_VALUE"""),"AllocateFromBlotter")</f>
        <v>AllocateFromBlotter</v>
      </c>
      <c r="C554" t="str">
        <f>IFERROR(__xludf.DUMMYFUNCTION("""COMPUTED_VALUE"""),"1oly-GUleCLstbhsLqb5z_nrN6IcuRDzo7dau3mRro2g")</f>
        <v>1oly-GUleCLstbhsLqb5z_nrN6IcuRDzo7dau3mRro2g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IFERROR(__xludf.DUMMYFUNCTION("""COMPUTED_VALUE"""),"UpdateFee")</f>
        <v>UpdateFee</v>
      </c>
      <c r="C555" t="str">
        <f>IFERROR(__xludf.DUMMYFUNCTION("""COMPUTED_VALUE"""),"19Rcvs50oHXGL5FsIW3nGsIY2a3BShYxifQZnyCdj5YI")</f>
        <v>19Rcvs50oHXGL5FsIW3nGsIY2a3BShYxifQZnyCdj5YI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IFERROR(__xludf.DUMMYFUNCTION("""COMPUTED_VALUE"""),"DeleteGroupWithOutSave")</f>
        <v>DeleteGroupWithOutSave</v>
      </c>
      <c r="C556" t="str">
        <f>IFERROR(__xludf.DUMMYFUNCTION("""COMPUTED_VALUE"""),"1bAgsLuM31eH3FHZF-8cUfrnOajQpP_RsuaUUeL6eYHU")</f>
        <v>1bAgsLuM31eH3FHZF-8cUfrnOajQpP_RsuaUUeL6eYHU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IFERROR(__xludf.DUMMYFUNCTION("""COMPUTED_VALUE"""),"CheckPreferences")</f>
        <v>CheckPreferences</v>
      </c>
      <c r="C557" t="str">
        <f>IFERROR(__xludf.DUMMYFUNCTION("""COMPUTED_VALUE"""),"19LWAFgtJK8TJic3Bigl3vokyu1yraGt63a_sVpP1MUU")</f>
        <v>19LWAFgtJK8TJic3Bigl3vokyu1yraGt63a_sVpP1MUU</v>
      </c>
    </row>
    <row r="558" ht="15.75" customHeight="1">
      <c r="A558" t="str">
        <f>IFERROR(__xludf.DUMMYFUNCTION("""COMPUTED_VALUE"""),"Rebalancer")</f>
        <v>Rebalancer</v>
      </c>
      <c r="B558" t="str">
        <f>IFERROR(__xludf.DUMMYFUNCTION("""COMPUTED_VALUE"""),"SymbologyChangeRB")</f>
        <v>SymbologyChangeRB</v>
      </c>
      <c r="C558" t="str">
        <f>IFERROR(__xludf.DUMMYFUNCTION("""COMPUTED_VALUE"""),"Undefined")</f>
        <v>Undefined</v>
      </c>
    </row>
    <row r="559" ht="15.75" customHeight="1">
      <c r="A559" t="str">
        <f>IFERROR(__xludf.DUMMYFUNCTION("""COMPUTED_VALUE"""),"TradingTicket")</f>
        <v>TradingTicket</v>
      </c>
      <c r="B559" t="str">
        <f>IFERROR(__xludf.DUMMYFUNCTION("""COMPUTED_VALUE"""),"CreateReplaceLiveOrder")</f>
        <v>CreateReplaceLiveOrder</v>
      </c>
      <c r="C559" t="str">
        <f>IFERROR(__xludf.DUMMYFUNCTION("""COMPUTED_VALUE"""),"1WKdqwN3CzS__R4r-J0QXkrMVzdcNg8eJuijQ4dJIXSU")</f>
        <v>1WKdqwN3CzS__R4r-J0QXkrMVzdcNg8eJuijQ4dJIXSU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IFERROR(__xludf.DUMMYFUNCTION("""COMPUTED_VALUE"""),"RevertingSMSharesOutValue")</f>
        <v>RevertingSMSharesOutValue</v>
      </c>
      <c r="C560" t="str">
        <f>IFERROR(__xludf.DUMMYFUNCTION("""COMPUTED_VALUE"""),"1TMvyzuvaXNvx9qH4tERqEMaAM8IhUKVHedPNcqMqnso")</f>
        <v>1TMvyzuvaXNvx9qH4tERqEMaAM8IhUKVHedPNcqMqnso</v>
      </c>
    </row>
    <row r="561" ht="15.75" customHeight="1">
      <c r="A561" t="str">
        <f>IFERROR(__xludf.DUMMYFUNCTION("""COMPUTED_VALUE"""),"SymbolLookup")</f>
        <v>SymbolLookup</v>
      </c>
      <c r="B561" t="str">
        <f>IFERROR(__xludf.DUMMYFUNCTION("""COMPUTED_VALUE"""),"TradeSymbolFromSM")</f>
        <v>TradeSymbolFromSM</v>
      </c>
      <c r="C561" t="str">
        <f>IFERROR(__xludf.DUMMYFUNCTION("""COMPUTED_VALUE"""),"1-CEopEQMGMoXLU6RCzJz5EPF9dIkT0gUSqvavHcsYis")</f>
        <v>1-CEopEQMGMoXLU6RCzJz5EPF9dIkT0gUSqvavHcsYis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IFERROR(__xludf.DUMMYFUNCTION("""COMPUTED_VALUE"""),"SelectAccountWiseAsset")</f>
        <v>SelectAccountWiseAsset</v>
      </c>
      <c r="C562" t="str">
        <f>IFERROR(__xludf.DUMMYFUNCTION("""COMPUTED_VALUE"""),"1T8QT8BlZU5hSthOscwYVMb0pI8jbsslQ3q_iqR9NEvo")</f>
        <v>1T8QT8BlZU5hSthOscwYVMb0pI8jbsslQ3q_iqR9NEvo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IFERROR(__xludf.DUMMYFUNCTION("""COMPUTED_VALUE"""),"VerifyCTData")</f>
        <v>VerifyCTData</v>
      </c>
      <c r="C563" t="str">
        <f>IFERROR(__xludf.DUMMYFUNCTION("""COMPUTED_VALUE"""),"1_n2-hA1ZHyO0Vk19SbEjEAgktcqBciHeshI2fRJE9_c")</f>
        <v>1_n2-hA1ZHyO0Vk19SbEjEAgktcqBciHeshI2fRJE9_c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IFERROR(__xludf.DUMMYFUNCTION("""COMPUTED_VALUE"""),"ExerciseAssignmentWithOutSave")</f>
        <v>ExerciseAssignmentWithOutSave</v>
      </c>
      <c r="C564" t="str">
        <f>IFERROR(__xludf.DUMMYFUNCTION("""COMPUTED_VALUE"""),"1k7fmIQoUvoS3gScp7H0vdlqboqJE2NBh67-wxIIzjXI")</f>
        <v>1k7fmIQoUvoS3gScp7H0vdlqboqJE2NBh67-wxIIzjXI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IFERROR(__xludf.DUMMYFUNCTION("""COMPUTED_VALUE"""),"SaveCTData")</f>
        <v>SaveCTData</v>
      </c>
      <c r="C565" t="str">
        <f>IFERROR(__xludf.DUMMYFUNCTION("""COMPUTED_VALUE"""),"127jo001wzv8UVwRReX1UnxrYxQVoXUcKy8RlV0rBbzE")</f>
        <v>127jo001wzv8UVwRReX1UnxrYxQVoXUcKy8RlV0rBbzE</v>
      </c>
    </row>
    <row r="566" ht="15.75" customHeight="1">
      <c r="A566" t="str">
        <f>IFERROR(__xludf.DUMMYFUNCTION("""COMPUTED_VALUE"""),"Allocation")</f>
        <v>Allocation</v>
      </c>
      <c r="B566" t="str">
        <f>IFERROR(__xludf.DUMMYFUNCTION("""COMPUTED_VALUE"""),"AllocateWithPopUp")</f>
        <v>AllocateWithPopUp</v>
      </c>
      <c r="C566" t="str">
        <f>IFERROR(__xludf.DUMMYFUNCTION("""COMPUTED_VALUE"""),"1vUO7n9j897nT7StAOKwNOzllgpbb7S3kVwYUOxEdD1Y")</f>
        <v>1vUO7n9j897nT7StAOKwNOzllgpbb7S3kVwYUOxEdD1Y</v>
      </c>
    </row>
    <row r="567" ht="15.75" customHeight="1">
      <c r="A567" t="str">
        <f>IFERROR(__xludf.DUMMYFUNCTION("""COMPUTED_VALUE"""),"TradingTicket")</f>
        <v>TradingTicket</v>
      </c>
      <c r="B567" t="str">
        <f>IFERROR(__xludf.DUMMYFUNCTION("""COMPUTED_VALUE"""),"CreateNewSubLiveOrder")</f>
        <v>CreateNewSubLiveOrder</v>
      </c>
      <c r="C567" t="str">
        <f>IFERROR(__xludf.DUMMYFUNCTION("""COMPUTED_VALUE"""),"12zWky2LmOXrqIXPltYfxypKjuQf3ZHGv1mz-xQGxKTQ")</f>
        <v>12zWky2LmOXrqIXPltYfxypKjuQf3ZHGv1mz-xQGxKTQ</v>
      </c>
    </row>
    <row r="568" ht="15.75" customHeight="1">
      <c r="A568" t="str">
        <f>IFERROR(__xludf.DUMMYFUNCTION("""COMPUTED_VALUE"""),"Blotter")</f>
        <v>Blotter</v>
      </c>
      <c r="B568" t="str">
        <f>IFERROR(__xludf.DUMMYFUNCTION("""COMPUTED_VALUE"""),"ViewPTTAllocationDetails")</f>
        <v>ViewPTTAllocationDetails</v>
      </c>
      <c r="C568" t="str">
        <f>IFERROR(__xludf.DUMMYFUNCTION("""COMPUTED_VALUE"""),"1KoA0Wc5hAar-q0SNiFxHZv5O7_6Ub43E0Baobavff04")</f>
        <v>1KoA0Wc5hAar-q0SNiFxHZv5O7_6Ub43E0Baobavff04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IFERROR(__xludf.DUMMYFUNCTION("""COMPUTED_VALUE"""),"RestartSQL")</f>
        <v>RestartSQL</v>
      </c>
      <c r="C569" t="str">
        <f>IFERROR(__xludf.DUMMYFUNCTION("""COMPUTED_VALUE"""),"1vVUSxh3aheqbZRQq-3oJhAe8OKjNysk1JPVf_W8f5l0")</f>
        <v>1vVUSxh3aheqbZRQq-3oJhAe8OKjNysk1JPVf_W8f5l0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IFERROR(__xludf.DUMMYFUNCTION("""COMPUTED_VALUE"""),"TradeAuditCleanUp")</f>
        <v>TradeAuditCleanUp</v>
      </c>
      <c r="C570" t="str">
        <f>IFERROR(__xludf.DUMMYFUNCTION("""COMPUTED_VALUE"""),"1X5YzKAgrVFRed11iGwwlj-Wh1wAD0gvmGSkTbMQqBao")</f>
        <v>1X5YzKAgrVFRed11iGwwlj-Wh1wAD0gvmGSkTbMQqBao</v>
      </c>
    </row>
    <row r="571" ht="15.75" customHeight="1">
      <c r="A571" t="str">
        <f>IFERROR(__xludf.DUMMYFUNCTION("""COMPUTED_VALUE"""),"Import")</f>
        <v>Import</v>
      </c>
      <c r="B571" t="str">
        <f>IFERROR(__xludf.DUMMYFUNCTION("""COMPUTED_VALUE"""),"SelectTradeOnImport")</f>
        <v>SelectTradeOnImport</v>
      </c>
      <c r="C571" t="str">
        <f>IFERROR(__xludf.DUMMYFUNCTION("""COMPUTED_VALUE"""),"10cAOM3qnGaWW44q9z21WEIOpJdPIAth5hr8jecUfG6A")</f>
        <v>10cAOM3qnGaWW44q9z21WEIOpJdPIAth5hr8jecUfG6A</v>
      </c>
    </row>
    <row r="572" ht="15.75" customHeight="1">
      <c r="A572" t="str">
        <f>IFERROR(__xludf.DUMMYFUNCTION("""COMPUTED_VALUE"""),"Allocation")</f>
        <v>Allocation</v>
      </c>
      <c r="B572" t="str">
        <f>IFERROR(__xludf.DUMMYFUNCTION("""COMPUTED_VALUE"""),"SelectAllRowsAllocated")</f>
        <v>SelectAllRowsAllocated</v>
      </c>
      <c r="C572" t="str">
        <f>IFERROR(__xludf.DUMMYFUNCTION("""COMPUTED_VALUE"""),"Undefined")</f>
        <v>Undefined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IFERROR(__xludf.DUMMYFUNCTION("""COMPUTED_VALUE"""),"FilterLongPositionGrid")</f>
        <v>FilterLongPositionGrid</v>
      </c>
      <c r="C573" t="str">
        <f>IFERROR(__xludf.DUMMYFUNCTION("""COMPUTED_VALUE"""),"11V4DM1OMXH_V53PIsUZCW0QthHjB-hG0fn99Yo8Ry2c")</f>
        <v>11V4DM1OMXH_V53PIsUZCW0QthHjB-hG0fn99Yo8Ry2c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IFERROR(__xludf.DUMMYFUNCTION("""COMPUTED_VALUE"""),"FilterShortPositionGrid")</f>
        <v>FilterShortPositionGrid</v>
      </c>
      <c r="C574" t="str">
        <f>IFERROR(__xludf.DUMMYFUNCTION("""COMPUTED_VALUE"""),"1PD9u3XtwrJXt2fU5ghvPjJ7SpxcIKIIWrKF4YF7wZdo")</f>
        <v>1PD9u3XtwrJXt2fU5ghvPjJ7SpxcIKIIWrKF4YF7wZdo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IFERROR(__xludf.DUMMYFUNCTION("""COMPUTED_VALUE"""),"FilterClosingGrid")</f>
        <v>FilterClosingGrid</v>
      </c>
      <c r="C575" t="str">
        <f>IFERROR(__xludf.DUMMYFUNCTION("""COMPUTED_VALUE"""),"1zS4ALOAI4Qv9-imwrJ3P0juiFH5-Vvf_4yLE3c_77ww")</f>
        <v>1zS4ALOAI4Qv9-imwrJ3P0juiFH5-Vvf_4yLE3c_77ww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IFERROR(__xludf.DUMMYFUNCTION("""COMPUTED_VALUE"""),"FilterUnexpiredGrid")</f>
        <v>FilterUnexpiredGrid</v>
      </c>
      <c r="C576" t="str">
        <f>IFERROR(__xludf.DUMMYFUNCTION("""COMPUTED_VALUE"""),"1cf7V2VglYQWMxr9jI82Z1YFUP_Ufd3RrESoDhAX5nFQ")</f>
        <v>1cf7V2VglYQWMxr9jI82Z1YFUP_Ufd3RrESoDhAX5nFQ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IFERROR(__xludf.DUMMYFUNCTION("""COMPUTED_VALUE"""),"FilterExpiredGrid")</f>
        <v>FilterExpiredGrid</v>
      </c>
      <c r="C577" t="str">
        <f>IFERROR(__xludf.DUMMYFUNCTION("""COMPUTED_VALUE"""),"1pw8K3dcvVISd7jxODSx2U2PTzTKu53dxX_05mlkByK4")</f>
        <v>1pw8K3dcvVISd7jxODSx2U2PTzTKu53dxX_05mlkByK4</v>
      </c>
    </row>
    <row r="578" ht="15.75" customHeight="1">
      <c r="A578" t="str">
        <f>IFERROR(__xludf.DUMMYFUNCTION("""COMPUTED_VALUE"""),"GeneralLedger")</f>
        <v>GeneralLedger</v>
      </c>
      <c r="B578" t="str">
        <f>IFERROR(__xludf.DUMMYFUNCTION("""COMPUTED_VALUE"""),"FilterCashTransactionGrid")</f>
        <v>FilterCashTransactionGrid</v>
      </c>
      <c r="C578" t="str">
        <f>IFERROR(__xludf.DUMMYFUNCTION("""COMPUTED_VALUE"""),"1PqRBZQJtY5Oa2Uxs4vSRclsIlxPwyMvlrr2UUTSIb3Y")</f>
        <v>1PqRBZQJtY5Oa2Uxs4vSRclsIlxPwyMvlrr2UUTSIb3Y</v>
      </c>
    </row>
    <row r="579" ht="15.75" customHeight="1">
      <c r="A579" t="str">
        <f>IFERROR(__xludf.DUMMYFUNCTION("""COMPUTED_VALUE"""),"Recon")</f>
        <v>Recon</v>
      </c>
      <c r="B579" t="str">
        <f>IFERROR(__xludf.DUMMYFUNCTION("""COMPUTED_VALUE"""),"VerifyApplicationData")</f>
        <v>VerifyApplicationData</v>
      </c>
      <c r="C579" t="str">
        <f>IFERROR(__xludf.DUMMYFUNCTION("""COMPUTED_VALUE"""),"1gMSDalyxsP_enjWpKNvUKpnf9DVP87AgNzPibA-eyb0")</f>
        <v>1gMSDalyxsP_enjWpKNvUKpnf9DVP87AgNzPibA-eyb0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IFERROR(__xludf.DUMMYFUNCTION("""COMPUTED_VALUE"""),"EditGridCashTransactions")</f>
        <v>EditGridCashTransactions</v>
      </c>
      <c r="C580" t="str">
        <f>IFERROR(__xludf.DUMMYFUNCTION("""COMPUTED_VALUE"""),"1A9WP5K6T6_O4S-M78Jx1SEqevonRbthbPCskWXVzxtk")</f>
        <v>1A9WP5K6T6_O4S-M78Jx1SEqevonRbthbPCskWXVzxtk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IFERROR(__xludf.DUMMYFUNCTION("""COMPUTED_VALUE"""),"UnwindAllClosingData")</f>
        <v>UnwindAllClosingData</v>
      </c>
      <c r="C581" t="str">
        <f>IFERROR(__xludf.DUMMYFUNCTION("""COMPUTED_VALUE"""),"1W0sVWSXhitgjuC6P5w0kTp7TvFL-kAol4gyIX8lhd5w")</f>
        <v>1W0sVWSXhitgjuC6P5w0kTp7TvFL-kAol4gyIX8lhd5w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IFERROR(__xludf.DUMMYFUNCTION("""COMPUTED_VALUE"""),"SaveCashTransaction")</f>
        <v>SaveCashTransaction</v>
      </c>
      <c r="C582" t="str">
        <f>IFERROR(__xludf.DUMMYFUNCTION("""COMPUTED_VALUE"""),"1FAh4CFdlozjSlNDU3BUeaQu_1zckRBcWM8KQooONyxs")</f>
        <v>1FAh4CFdlozjSlNDU3BUeaQu_1zckRBcWM8KQooONyxs</v>
      </c>
    </row>
    <row r="583" ht="15.75" customHeight="1">
      <c r="A583" t="str">
        <f>IFERROR(__xludf.DUMMYFUNCTION("""COMPUTED_VALUE"""),"ThirdParty")</f>
        <v>ThirdParty</v>
      </c>
      <c r="B583" t="str">
        <f>IFERROR(__xludf.DUMMYFUNCTION("""COMPUTED_VALUE"""),"ChangeThirdpartyDate")</f>
        <v>ChangeThirdpartyDate</v>
      </c>
      <c r="C583" t="str">
        <f>IFERROR(__xludf.DUMMYFUNCTION("""COMPUTED_VALUE"""),"1F219wmX8xrFPgma8cjoUCm7q9nq-W9yFK7PTO5OggJw")</f>
        <v>1F219wmX8xrFPgma8cjoUCm7q9nq-W9yFK7PTO5OggJw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IFERROR(__xludf.DUMMYFUNCTION("""COMPUTED_VALUE"""),"RunManualRevaluation")</f>
        <v>RunManualRevaluation</v>
      </c>
      <c r="C584" t="str">
        <f>IFERROR(__xludf.DUMMYFUNCTION("""COMPUTED_VALUE"""),"1D5Y3RzzSSQaYL3n3QrXxry0SwVaG4gnMSCxFKtFszpQ")</f>
        <v>1D5Y3RzzSSQaYL3n3QrXxry0SwVaG4gnMSCxFKtFszpQ</v>
      </c>
    </row>
    <row r="585" ht="15.75" customHeight="1">
      <c r="A585" t="str">
        <f>IFERROR(__xludf.DUMMYFUNCTION("""COMPUTED_VALUE"""),"SymbolLookup")</f>
        <v>SymbolLookup</v>
      </c>
      <c r="B585" t="str">
        <f>IFERROR(__xludf.DUMMYFUNCTION("""COMPUTED_VALUE"""),"AddSymbol")</f>
        <v>AddSymbol</v>
      </c>
      <c r="C585" t="str">
        <f>IFERROR(__xludf.DUMMYFUNCTION("""COMPUTED_VALUE"""),"10HWI9Cc8RvROS5VcoYWQCiNm-ZMIi9mZRyugdSdwfao")</f>
        <v>10HWI9Cc8RvROS5VcoYWQCiNm-ZMIi9mZRyugdSdwfao</v>
      </c>
    </row>
    <row r="586" ht="15.75" customHeight="1">
      <c r="A586" t="str">
        <f>IFERROR(__xludf.DUMMYFUNCTION("""COMPUTED_VALUE"""),"Admin")</f>
        <v>Admin</v>
      </c>
      <c r="B586" t="str">
        <f>IFERROR(__xludf.DUMMYFUNCTION("""COMPUTED_VALUE"""),"DeleteSymbolFromSM")</f>
        <v>DeleteSymbolFromSM</v>
      </c>
      <c r="C586" t="str">
        <f>IFERROR(__xludf.DUMMYFUNCTION("""COMPUTED_VALUE"""),"16YNILloso-DtMjrvuLs9jjsIzEmPQxnFXrCt8yvHUNE")</f>
        <v>16YNILloso-DtMjrvuLs9jjsIzEmPQxnFXrCt8yvHUNE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IFERROR(__xludf.DUMMYFUNCTION("""COMPUTED_VALUE"""),"AddSymbolToWatchlist")</f>
        <v>AddSymbolToWatchlist</v>
      </c>
      <c r="C587" t="str">
        <f>IFERROR(__xludf.DUMMYFUNCTION("""COMPUTED_VALUE"""),"1uQiuSREeRIwO_nEU84cMzm9OFSYVLHU2rgcEaefXb2k")</f>
        <v>1uQiuSREeRIwO_nEU84cMzm9OFSYVLHU2rgcEaefXb2k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IFERROR(__xludf.DUMMYFUNCTION("""COMPUTED_VALUE"""),"TradeFromWatchlist")</f>
        <v>TradeFromWatchlist</v>
      </c>
      <c r="C588" t="str">
        <f>IFERROR(__xludf.DUMMYFUNCTION("""COMPUTED_VALUE"""),"1FKL2NTRmBSyITx5pyk6zHOKymU28NwrQwSuVbW4gNRg")</f>
        <v>1FKL2NTRmBSyITx5pyk6zHOKymU28NwrQwSuVbW4gNRg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IFERROR(__xludf.DUMMYFUNCTION("""COMPUTED_VALUE"""),"MultiTradeFromWatchlist")</f>
        <v>MultiTradeFromWatchlist</v>
      </c>
      <c r="C589" t="str">
        <f>IFERROR(__xludf.DUMMYFUNCTION("""COMPUTED_VALUE"""),"1nyCMJS4IH1BLXnFOr_FNoPH4XmaOIGdVjSJuJpNi2c8")</f>
        <v>1nyCMJS4IH1BLXnFOr_FNoPH4XmaOIGdVjSJuJpNi2c8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IFERROR(__xludf.DUMMYFUNCTION("""COMPUTED_VALUE"""),"DeleteSymbolFromWatchlist")</f>
        <v>DeleteSymbolFromWatchlist</v>
      </c>
      <c r="C590" t="str">
        <f>IFERROR(__xludf.DUMMYFUNCTION("""COMPUTED_VALUE"""),"1byaZalr_XhOG3LaxY-Riu8lHwQSFb098xHll__tkAtA")</f>
        <v>1byaZalr_XhOG3LaxY-Riu8lHwQSFb098xHll__tkAtA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IFERROR(__xludf.DUMMYFUNCTION("""COMPUTED_VALUE"""),"VerifySymbolsOnWatchlist")</f>
        <v>VerifySymbolsOnWatchlist</v>
      </c>
      <c r="C591" t="str">
        <f>IFERROR(__xludf.DUMMYFUNCTION("""COMPUTED_VALUE"""),"15PdvqcWBSttYjbzGBns1O_5cUV2nEVZ4r1YEe7ucwPs")</f>
        <v>15PdvqcWBSttYjbzGBns1O_5cUV2nEVZ4r1YEe7ucwPs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IFERROR(__xludf.DUMMYFUNCTION("""COMPUTED_VALUE"""),"VerifyAppMatchedData")</f>
        <v>VerifyAppMatchedData</v>
      </c>
      <c r="C592" t="str">
        <f>IFERROR(__xludf.DUMMYFUNCTION("""COMPUTED_VALUE"""),"197cwp2DCQ4L0B-G5b7CZAwGsgFZuiUTyD_BSwtc9wHA")</f>
        <v>197cwp2DCQ4L0B-G5b7CZAwGsgFZuiUTyD_BSwtc9wHA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IFERROR(__xludf.DUMMYFUNCTION("""COMPUTED_VALUE"""),"VerifyAppUnmatchedData")</f>
        <v>VerifyAppUnmatchedData</v>
      </c>
      <c r="C593" t="str">
        <f>IFERROR(__xludf.DUMMYFUNCTION("""COMPUTED_VALUE"""),"18fTZZkhP8PVk2zb3669RCgVH7l1lj74KOPGo3kRsFwA")</f>
        <v>18fTZZkhP8PVk2zb3669RCgVH7l1lj74KOPGo3kRsFwA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IFERROR(__xludf.DUMMYFUNCTION("""COMPUTED_VALUE"""),"VerifyPBMatchedData")</f>
        <v>VerifyPBMatchedData</v>
      </c>
      <c r="C594" t="str">
        <f>IFERROR(__xludf.DUMMYFUNCTION("""COMPUTED_VALUE"""),"1kM_UfqpK0PaHEHY4-JNdVXj1fPgIjBfWABlDaWsTh6o")</f>
        <v>1kM_UfqpK0PaHEHY4-JNdVXj1fPgIjBfWABlDaWsTh6o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IFERROR(__xludf.DUMMYFUNCTION("""COMPUTED_VALUE"""),"VerifyPBUnmatchedData")</f>
        <v>VerifyPBUnmatchedData</v>
      </c>
      <c r="C595" t="str">
        <f>IFERROR(__xludf.DUMMYFUNCTION("""COMPUTED_VALUE"""),"1kTWoOsrKD_0f_MBstD0yl6ly3CmvswKmK8GYKJUaSJY")</f>
        <v>1kTWoOsrKD_0f_MBstD0yl6ly3CmvswKmK8GYKJUaSJY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IFERROR(__xludf.DUMMYFUNCTION("""COMPUTED_VALUE"""),"OpenQtt")</f>
        <v>OpenQtt</v>
      </c>
      <c r="C596" t="str">
        <f>IFERROR(__xludf.DUMMYFUNCTION("""COMPUTED_VALUE"""),"1w_R8_0C8pikIkKOjwqbblpApJ-NG3VoHrCDrW9YJ19Q")</f>
        <v>1w_R8_0C8pikIkKOjwqbblpApJ-NG3VoHrCDrW9YJ19Q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IFERROR(__xludf.DUMMYFUNCTION("""COMPUTED_VALUE"""),"TradeFromQTT")</f>
        <v>TradeFromQTT</v>
      </c>
      <c r="C597" t="str">
        <f>IFERROR(__xludf.DUMMYFUNCTION("""COMPUTED_VALUE"""),"1OUvamqdyFx8lXmHmR7JvJB9QtTJaxdBrHx0MlmVl9Gg")</f>
        <v>1OUvamqdyFx8lXmHmR7JvJB9QtTJaxdBrHx0MlmVl9Gg</v>
      </c>
    </row>
    <row r="598" ht="15.75" customHeight="1">
      <c r="A598" t="str">
        <f>IFERROR(__xludf.DUMMYFUNCTION("""COMPUTED_VALUE"""),"TradingTicket")</f>
        <v>TradingTicket</v>
      </c>
      <c r="B598" t="str">
        <f>IFERROR(__xludf.DUMMYFUNCTION("""COMPUTED_VALUE"""),"VerifyBasketExport")</f>
        <v>VerifyBasketExport</v>
      </c>
      <c r="C598" t="str">
        <f>IFERROR(__xludf.DUMMYFUNCTION("""COMPUTED_VALUE"""),"1ld4yJ22N6V7SOVjhVfKW9T1vMKTLDo6OxunLct_fLjI")</f>
        <v>1ld4yJ22N6V7SOVjhVfKW9T1vMKTLDo6OxunLct_fLjI</v>
      </c>
    </row>
    <row r="599" ht="15.75" customHeight="1">
      <c r="A599" t="str">
        <f>IFERROR(__xludf.DUMMYFUNCTION("""COMPUTED_VALUE"""),"Admin")</f>
        <v>Admin</v>
      </c>
      <c r="B599" t="str">
        <f>IFERROR(__xludf.DUMMYFUNCTION("""COMPUTED_VALUE"""),"SetCompliancePermission")</f>
        <v>SetCompliancePermission</v>
      </c>
      <c r="C599" t="str">
        <f>IFERROR(__xludf.DUMMYFUNCTION("""COMPUTED_VALUE"""),"1kM4im1jNG_hRRV6_1iX1KA8Gs_JYY3Hf4okWtTP02Do")</f>
        <v>1kM4im1jNG_hRRV6_1iX1KA8Gs_JYY3Hf4okWtTP02Do</v>
      </c>
    </row>
    <row r="600" ht="15.75" customHeight="1">
      <c r="A600" t="str">
        <f>IFERROR(__xludf.DUMMYFUNCTION("""COMPUTED_VALUE"""),"Compliance")</f>
        <v>Compliance</v>
      </c>
      <c r="B600" t="str">
        <f>IFERROR(__xludf.DUMMYFUNCTION("""COMPUTED_VALUE"""),"ApproveorRejectpendingapproval")</f>
        <v>ApproveorRejectpendingapproval</v>
      </c>
      <c r="C600" t="str">
        <f>IFERROR(__xludf.DUMMYFUNCTION("""COMPUTED_VALUE"""),"1y-sTWmoC_H1YDpnZGfQbhkY373SoIrYiLpMuGNBQ0Sg")</f>
        <v>1y-sTWmoC_H1YDpnZGfQbhkY373SoIrYiLpMuGNBQ0Sg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IFERROR(__xludf.DUMMYFUNCTION("""COMPUTED_VALUE"""),"VerifyAlertHistory")</f>
        <v>VerifyAlertHistory</v>
      </c>
      <c r="C601" t="str">
        <f>IFERROR(__xludf.DUMMYFUNCTION("""COMPUTED_VALUE"""),"11YtQ09JiPm_fxJbDxXEHFdwP8lXJA1EhSMiSMDI8-Mg")</f>
        <v>11YtQ09JiPm_fxJbDxXEHFdwP8lXJA1EhSMiSMDI8-Mg</v>
      </c>
    </row>
    <row r="602" ht="15.75" customHeight="1">
      <c r="A602" t="str">
        <f>IFERROR(__xludf.DUMMYFUNCTION("""COMPUTED_VALUE"""),"Blotter")</f>
        <v>Blotter</v>
      </c>
      <c r="B602" t="str">
        <f>IFERROR(__xludf.DUMMYFUNCTION("""COMPUTED_VALUE"""),"MergeOrder")</f>
        <v>MergeOrder</v>
      </c>
      <c r="C602" t="str">
        <f>IFERROR(__xludf.DUMMYFUNCTION("""COMPUTED_VALUE"""),"1R7f7syAvacBKywwhkXcXMcTmDvkomvyufkmtFJu4Zdw")</f>
        <v>1R7f7syAvacBKywwhkXcXMcTmDvkomvyufkmtFJu4Zdw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IFERROR(__xludf.DUMMYFUNCTION("""COMPUTED_VALUE"""),"VerifyMergeOrder")</f>
        <v>VerifyMergeOrder</v>
      </c>
      <c r="C603" t="str">
        <f>IFERROR(__xludf.DUMMYFUNCTION("""COMPUTED_VALUE"""),"1vAo56cQ5ngyfTbfrFWBvoHQRIF0cTJr0hScLG2DuLgI")</f>
        <v>1vAo56cQ5ngyfTbfrFWBvoHQRIF0cTJr0hScLG2DuLgI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IFERROR(__xludf.DUMMYFUNCTION("""COMPUTED_VALUE"""),"AddTabBlotter")</f>
        <v>AddTabBlotter</v>
      </c>
      <c r="C604" t="str">
        <f>IFERROR(__xludf.DUMMYFUNCTION("""COMPUTED_VALUE"""),"1lEizmaJ1dbPlCGjdjYS2EVdP54oAQCWFB_ER2lqO9kQ")</f>
        <v>1lEizmaJ1dbPlCGjdjYS2EVdP54oAQCWFB_ER2lqO9kQ</v>
      </c>
    </row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44788</v>
      </c>
      <c r="C6" s="32">
        <f t="shared" si="1"/>
        <v>44788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tr">
        <f>"Pref6-"&amp;text(TODAY(),"dd-mm-yy")</f>
        <v>Pref6-16-08-22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9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tr">
        <f t="shared" ref="B6:B7" si="1">"Pref6-"&amp;text(TODAY(),"dd-mm-yy")</f>
        <v>Pref6-16-08-22</v>
      </c>
      <c r="C6" s="34" t="s">
        <v>22</v>
      </c>
      <c r="D6" s="39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 t="str">
        <f t="shared" si="1"/>
        <v>Pref6-16-08-22</v>
      </c>
      <c r="C7" s="31" t="s">
        <v>23</v>
      </c>
      <c r="D7" s="40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25</v>
      </c>
      <c r="C6" s="34"/>
      <c r="D6" s="41" t="s">
        <v>26</v>
      </c>
      <c r="E6" s="34"/>
      <c r="F6" s="34"/>
      <c r="G6" s="42" t="b">
        <v>1</v>
      </c>
      <c r="H6" s="38" t="str">
        <f>"Pref6-"&amp;text(TODAY(),"dd-mm-yy")</f>
        <v>Pref6-16-08-22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30</v>
      </c>
      <c r="D6" s="13">
        <v>1.0</v>
      </c>
      <c r="E6" s="8"/>
      <c r="F6" s="13" t="s">
        <v>31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 t="s">
        <v>30</v>
      </c>
      <c r="D7" s="13">
        <v>1.0</v>
      </c>
      <c r="E7" s="8"/>
      <c r="F7" s="13" t="s">
        <v>31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43" t="s">
        <v>33</v>
      </c>
      <c r="C8" s="44" t="s">
        <v>30</v>
      </c>
      <c r="D8" s="13">
        <v>1.0</v>
      </c>
      <c r="E8" s="8"/>
      <c r="F8" s="13" t="s">
        <v>31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33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 t="s">
        <v>37</v>
      </c>
      <c r="E6" s="13">
        <v>10.0</v>
      </c>
      <c r="F6" s="13">
        <v>10.0</v>
      </c>
      <c r="G6" s="13" t="s">
        <v>38</v>
      </c>
      <c r="H6" s="13" t="s">
        <v>39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30</v>
      </c>
      <c r="D6" s="13" t="s">
        <v>37</v>
      </c>
      <c r="E6" s="13">
        <v>10.0</v>
      </c>
      <c r="F6" s="13">
        <v>10.0</v>
      </c>
      <c r="G6" s="13" t="s">
        <v>38</v>
      </c>
      <c r="H6" s="13" t="s">
        <v>39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33</v>
      </c>
      <c r="C6" s="44" t="s">
        <v>30</v>
      </c>
      <c r="D6" s="45" t="s">
        <v>37</v>
      </c>
      <c r="E6" s="46">
        <v>10.0</v>
      </c>
      <c r="F6" s="46">
        <v>10.0</v>
      </c>
      <c r="G6" s="44" t="s">
        <v>38</v>
      </c>
      <c r="H6" s="44" t="s">
        <v>39</v>
      </c>
      <c r="I6" s="43" t="s">
        <v>17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42</v>
      </c>
      <c r="AI6" s="9" t="s">
        <v>33</v>
      </c>
      <c r="AJ6" s="9" t="s">
        <v>30</v>
      </c>
      <c r="AK6" s="9" t="s">
        <v>43</v>
      </c>
      <c r="AL6" s="9">
        <v>1000.0</v>
      </c>
      <c r="AT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30</v>
      </c>
      <c r="D6" s="13">
        <v>1000.0</v>
      </c>
      <c r="E6" s="36"/>
      <c r="F6" s="8"/>
      <c r="G6" s="8"/>
      <c r="H6" s="8"/>
      <c r="I6" s="8"/>
      <c r="J6" s="13">
        <v>10.0</v>
      </c>
      <c r="K6" s="8"/>
      <c r="L6" s="8"/>
      <c r="M6" s="8"/>
      <c r="N6" s="8"/>
      <c r="O6" s="13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33</v>
      </c>
      <c r="E6" s="36"/>
      <c r="F6" s="13" t="s">
        <v>30</v>
      </c>
      <c r="G6" s="13" t="s">
        <v>46</v>
      </c>
      <c r="H6" s="13">
        <v>1000.0</v>
      </c>
      <c r="I6" s="13">
        <v>1000.0</v>
      </c>
      <c r="J6" s="13">
        <v>100.0</v>
      </c>
      <c r="K6" s="8"/>
      <c r="L6" s="8"/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33</v>
      </c>
      <c r="AK6" s="9" t="s">
        <v>30</v>
      </c>
      <c r="AL6" s="9" t="s">
        <v>46</v>
      </c>
      <c r="AM6" s="9">
        <v>1000.0</v>
      </c>
      <c r="AN6" s="9">
        <v>1000.0</v>
      </c>
      <c r="AO6" s="9">
        <v>100.0</v>
      </c>
      <c r="AU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30</v>
      </c>
      <c r="D6" s="13">
        <v>2000.0</v>
      </c>
      <c r="E6" s="13">
        <v>2000.0</v>
      </c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33</v>
      </c>
      <c r="E6" s="36"/>
      <c r="F6" s="13" t="s">
        <v>30</v>
      </c>
      <c r="G6" s="13" t="s">
        <v>49</v>
      </c>
      <c r="H6" s="13">
        <v>2000.0</v>
      </c>
      <c r="I6" s="13">
        <v>1000.0</v>
      </c>
      <c r="J6" s="8"/>
      <c r="K6" s="8"/>
      <c r="L6" s="8"/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tr">
        <f>"Pref6-"&amp;text(TODAY(),"dd-mm-yy")</f>
        <v>Pref6-16-08-22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54</v>
      </c>
      <c r="C6" s="35"/>
      <c r="D6" s="31"/>
      <c r="E6" s="48">
        <v>1000.0</v>
      </c>
      <c r="F6" s="35"/>
      <c r="G6" s="49" t="s">
        <v>42</v>
      </c>
      <c r="H6" s="35"/>
      <c r="I6" s="35"/>
      <c r="J6" s="35"/>
      <c r="K6" s="40">
        <v>10.0</v>
      </c>
      <c r="L6" s="40">
        <v>10.0</v>
      </c>
      <c r="M6" s="35"/>
      <c r="N6" s="35"/>
      <c r="O6" s="50" t="s">
        <v>55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51">
        <v>1000.0</v>
      </c>
      <c r="AF6" s="35"/>
      <c r="AG6" s="35"/>
      <c r="AH6" s="35" t="s">
        <v>56</v>
      </c>
      <c r="AI6" s="52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51">
        <v>10000.0</v>
      </c>
      <c r="AU6" s="51">
        <v>10000.0</v>
      </c>
      <c r="AV6" s="35"/>
      <c r="AW6" s="35"/>
      <c r="AX6" s="35"/>
      <c r="AY6" s="35" t="s">
        <v>57</v>
      </c>
      <c r="AZ6" s="35"/>
      <c r="BA6" s="35"/>
      <c r="BB6" s="35"/>
      <c r="BC6" s="35"/>
      <c r="BD6" s="35"/>
      <c r="BE6" s="51">
        <v>10000.0</v>
      </c>
      <c r="BF6" s="51">
        <v>10000.0</v>
      </c>
      <c r="BG6" s="35"/>
      <c r="BH6" s="35"/>
      <c r="BI6" s="35"/>
      <c r="BJ6" s="51">
        <v>2000.0</v>
      </c>
      <c r="BK6" s="35"/>
      <c r="BL6" s="35"/>
      <c r="BM6" s="35"/>
      <c r="BN6" s="35"/>
      <c r="BO6" s="35" t="s">
        <v>30</v>
      </c>
      <c r="BP6" s="35"/>
      <c r="BQ6" s="35"/>
      <c r="BR6" s="35"/>
      <c r="BS6" s="35"/>
      <c r="BT6" s="53" t="s">
        <v>33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54" t="s">
        <v>33</v>
      </c>
      <c r="D6" s="55">
        <v>500.0</v>
      </c>
      <c r="E6" s="34" t="s">
        <v>22</v>
      </c>
      <c r="F6" s="56" t="s">
        <v>60</v>
      </c>
      <c r="G6" s="57">
        <v>10.0</v>
      </c>
      <c r="H6" s="56" t="s">
        <v>61</v>
      </c>
      <c r="I6" s="8"/>
      <c r="J6" s="8"/>
      <c r="K6" s="8"/>
      <c r="L6" s="8"/>
      <c r="M6" s="8"/>
      <c r="N6" s="8"/>
      <c r="O6" s="8"/>
      <c r="T6" s="9" t="s">
        <v>42</v>
      </c>
      <c r="AN6" s="9" t="s">
        <v>30</v>
      </c>
    </row>
    <row r="7" ht="15.75" customHeight="1">
      <c r="A7" s="8"/>
      <c r="B7" s="8"/>
      <c r="C7" s="54" t="s">
        <v>33</v>
      </c>
      <c r="D7" s="48">
        <v>500.0</v>
      </c>
      <c r="E7" s="35" t="s">
        <v>23</v>
      </c>
      <c r="F7" s="50" t="s">
        <v>62</v>
      </c>
      <c r="G7" s="40">
        <v>10.0</v>
      </c>
      <c r="H7" s="50" t="s">
        <v>61</v>
      </c>
      <c r="I7" s="8"/>
      <c r="J7" s="8"/>
      <c r="K7" s="8"/>
      <c r="L7" s="8"/>
      <c r="M7" s="8"/>
      <c r="N7" s="8"/>
      <c r="O7" s="8"/>
      <c r="T7" s="9" t="s">
        <v>42</v>
      </c>
      <c r="AN7" s="9" t="s">
        <v>30</v>
      </c>
    </row>
    <row r="8" ht="15.75" customHeight="1">
      <c r="A8" s="8"/>
      <c r="B8" s="8"/>
      <c r="C8" s="13" t="s">
        <v>29</v>
      </c>
      <c r="D8" s="13">
        <v>1.0</v>
      </c>
      <c r="E8" s="8"/>
      <c r="F8" s="8"/>
      <c r="G8" s="13">
        <v>10.0</v>
      </c>
      <c r="H8" s="50" t="s">
        <v>61</v>
      </c>
      <c r="I8" s="8"/>
      <c r="J8" s="8"/>
      <c r="K8" s="8"/>
      <c r="L8" s="8"/>
      <c r="M8" s="8"/>
      <c r="N8" s="8"/>
      <c r="O8" s="8"/>
      <c r="AN8" s="9" t="s">
        <v>30</v>
      </c>
    </row>
    <row r="9" ht="15.75" customHeight="1">
      <c r="A9" s="8"/>
      <c r="B9" s="8"/>
      <c r="C9" s="13" t="s">
        <v>32</v>
      </c>
      <c r="D9" s="13">
        <v>1.0</v>
      </c>
      <c r="E9" s="13"/>
      <c r="F9" s="8"/>
      <c r="G9" s="13">
        <v>10.0</v>
      </c>
      <c r="H9" s="50" t="s">
        <v>61</v>
      </c>
      <c r="I9" s="8"/>
      <c r="J9" s="8"/>
      <c r="K9" s="8"/>
      <c r="L9" s="8"/>
      <c r="M9" s="8"/>
      <c r="N9" s="8"/>
      <c r="O9" s="8"/>
      <c r="AN9" s="9" t="s">
        <v>30</v>
      </c>
    </row>
    <row r="10" ht="15.75" customHeight="1">
      <c r="A10" s="8"/>
      <c r="B10" s="8"/>
      <c r="C10" s="43" t="s">
        <v>33</v>
      </c>
      <c r="D10" s="13">
        <v>1.0</v>
      </c>
      <c r="E10" s="8"/>
      <c r="F10" s="8"/>
      <c r="G10" s="13">
        <v>10.0</v>
      </c>
      <c r="H10" s="50" t="s">
        <v>61</v>
      </c>
      <c r="I10" s="8"/>
      <c r="J10" s="8"/>
      <c r="K10" s="8"/>
      <c r="L10" s="8"/>
      <c r="M10" s="8"/>
      <c r="N10" s="8"/>
      <c r="O10" s="8"/>
      <c r="AN10" s="9" t="s">
        <v>30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