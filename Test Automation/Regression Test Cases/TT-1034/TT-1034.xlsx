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SetAuecExecutingBroker" sheetId="4" r:id="rId7"/>
    <sheet state="visible" name="AuecVenueExchange" sheetId="5" r:id="rId8"/>
    <sheet state="visible" name="GetDailyCash" sheetId="6" r:id="rId9"/>
    <sheet state="visible" name="UpdateMultipleDailyCash" sheetId="7" r:id="rId10"/>
    <sheet state="visible" name="RestartReleasesAndServices" sheetId="8" r:id="rId11"/>
    <sheet state="visible" name="SetGeneralPreference" sheetId="9" r:id="rId12"/>
    <sheet state="visible" name="CustomOrderTT" sheetId="10" r:id="rId13"/>
    <sheet state="visible" name="LoginClient" sheetId="11" r:id="rId14"/>
    <sheet state="visible" name="LoginClient1" sheetId="12" r:id="rId15"/>
    <sheet state="visible" name="VerifyOrder" sheetId="13" r:id="rId16"/>
    <sheet state="visible" name="OpenRTPNL" sheetId="14" r:id="rId17"/>
    <sheet state="visible" name="ApproveorRejectpendingapproval" sheetId="15" r:id="rId18"/>
    <sheet state="visible" name="CheckAccountLevelAggregation" sheetId="16" r:id="rId19"/>
    <sheet state="visible" name="SetCompliancePermission" sheetId="17" r:id="rId20"/>
  </sheets>
  <definedNames/>
  <calcPr/>
  <extLst>
    <ext uri="GoogleSheetsCustomDataVersion2">
      <go:sheetsCustomData xmlns:go="http://customooxmlschemas.google.com/" r:id="rId21" roundtripDataChecksum="dfq6b9QgDT4xn99NNHfS2k2RuDWNq3lurvvjbth4Bls="/>
    </ext>
  </extLst>
</workbook>
</file>

<file path=xl/sharedStrings.xml><?xml version="1.0" encoding="utf-8"?>
<sst xmlns="http://schemas.openxmlformats.org/spreadsheetml/2006/main" count="145" uniqueCount="56">
  <si>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</si>
  <si>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</si>
  <si>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</si>
  <si>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</si>
  <si>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</si>
  <si>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</si>
  <si>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</si>
  <si>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</si>
  <si>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</si>
  <si>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</si>
  <si>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</si>
  <si>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</si>
  <si>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</si>
  <si>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</si>
  <si>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</si>
  <si>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</si>
  <si>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</si>
  <si>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</si>
  <si>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Allocation2</t>
  </si>
  <si>
    <t>GS</t>
  </si>
  <si>
    <t>AuecVenueExchange</t>
  </si>
  <si>
    <t>DailyValuation</t>
  </si>
  <si>
    <t>GetDailyCash</t>
  </si>
  <si>
    <t>UpdateMultipleDailyCash</t>
  </si>
  <si>
    <t>USD</t>
  </si>
  <si>
    <t>Compliance</t>
  </si>
  <si>
    <t>RestartReleasesAndServices</t>
  </si>
  <si>
    <t>TradingTicket</t>
  </si>
  <si>
    <t>SetGeneralPreference</t>
  </si>
  <si>
    <t>CustomOrderTT</t>
  </si>
  <si>
    <t>AAPL</t>
  </si>
  <si>
    <t>Send</t>
  </si>
  <si>
    <t>Buy</t>
  </si>
  <si>
    <t>PranaClient</t>
  </si>
  <si>
    <t>LoginClient</t>
  </si>
  <si>
    <t>Support2</t>
  </si>
  <si>
    <t>Nirvana@1</t>
  </si>
  <si>
    <t>Support6</t>
  </si>
  <si>
    <t>Blotter</t>
  </si>
  <si>
    <t>VerifyOrder</t>
  </si>
  <si>
    <t>Drops</t>
  </si>
  <si>
    <t>Equity</t>
  </si>
  <si>
    <t>New</t>
  </si>
  <si>
    <t>jpearce</t>
  </si>
  <si>
    <t>Day</t>
  </si>
  <si>
    <t>RTPNL</t>
  </si>
  <si>
    <t>OpenRTPNL</t>
  </si>
  <si>
    <t>Nirvana,PM</t>
  </si>
  <si>
    <t>ApproveorRejectpendingapproval</t>
  </si>
  <si>
    <t>Reject</t>
  </si>
  <si>
    <t>CheckAccountLevelAggregation</t>
  </si>
  <si>
    <t>NewMF</t>
  </si>
  <si>
    <t>NewMF1</t>
  </si>
  <si>
    <t>SetCompliancePermission</t>
  </si>
  <si>
    <t>TradeQuantity-123</t>
  </si>
  <si>
    <t>REQUIRES APPROVAL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</si>
</sst>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theme="1"/>
      <name val="Calibri"/>
    </font>
    <font>
      <color rgb="FFFFFFFF"/>
      <name val="Calibri"/>
    </font>
    <font>
      <b/>
      <color rgb="FFFFFFFF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color rgb="FFD9D9D9"/>
      <name val="Calibri"/>
    </font>
    <font>
      <color rgb="FFD9D9D9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Font="1"/>
    <xf borderId="0" fillId="0" fontId="6" numFmtId="0" xfId="0" applyFont="1"/>
    <xf borderId="1" fillId="2" fontId="7" numFmtId="0" xfId="0" applyAlignment="1" applyBorder="1" applyFont="1">
      <alignment horizontal="center" shrinkToFit="0" wrapText="0"/>
    </xf>
    <xf borderId="0" fillId="0" fontId="8" numFmtId="0" xfId="0" applyFont="1"/>
    <xf borderId="3" fillId="3" fontId="9" numFmtId="0" xfId="0" applyAlignment="1" applyBorder="1" applyFont="1">
      <alignment shrinkToFit="0" wrapText="0"/>
    </xf>
    <xf borderId="3" fillId="3" fontId="10" numFmtId="0" xfId="0" applyAlignment="1" applyBorder="1" applyFont="1">
      <alignment shrinkToFit="0" wrapText="0"/>
    </xf>
    <xf borderId="0" fillId="0" fontId="11" numFmtId="0" xfId="0" applyFont="1"/>
    <xf borderId="0" fillId="2" fontId="1" numFmtId="0" xfId="0" applyAlignment="1" applyFont="1">
      <alignment horizontal="center" shrinkToFit="0" wrapText="0"/>
    </xf>
    <xf borderId="0" fillId="2" fontId="6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2" numFmtId="0" xfId="0" applyFont="1"/>
    <xf borderId="0" fillId="4" fontId="13" numFmtId="0" xfId="0" applyAlignment="1" applyFill="1" applyFont="1">
      <alignment shrinkToFit="0" wrapText="0"/>
    </xf>
    <xf borderId="0" fillId="4" fontId="14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2" numFmtId="0" xfId="0" applyFont="1"/>
    <xf borderId="0" fillId="0" fontId="5" numFmtId="0" xfId="0" applyAlignment="1" applyFont="1">
      <alignment vertical="bottom"/>
    </xf>
    <xf borderId="3" fillId="3" fontId="9" numFmtId="0" xfId="0" applyAlignment="1" applyBorder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IFERROR(__xludf.DUMMYFUNCTION("""COMPUTED_VALUE"""),"1hVwFlW5MKD4NHZXvDHfS6l0ApW93ZHmg5lFN4Tn10aY")</f>
        <v>1hVwFlW5MKD4NHZXvDHfS6l0ApW93ZHmg5lFN4Tn10aY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8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 t="str">
        <f>IFERROR(__xludf.DUMMYFUNCTION("""COMPUTED_VALUE"""),"Admin")</f>
        <v>Admin</v>
      </c>
      <c r="B941" s="7" t="str">
        <f>IFERROR(__xludf.DUMMYFUNCTION("""COMPUTED_VALUE"""),"ChangeDate")</f>
        <v>ChangeDate</v>
      </c>
      <c r="C941" s="7" t="str">
        <f>IFERROR(__xludf.DUMMYFUNCTION("""COMPUTED_VALUE"""),"1P5fd0ftHTs8WR6XF70cltzN5BPur7V01OcYEMpPEMVE")</f>
        <v>1P5fd0ftHTs8WR6XF70cltzN5BPur7V01OcYEMpPEMVE</v>
      </c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 t="str">
        <f>IFERROR(__xludf.DUMMYFUNCTION("""COMPUTED_VALUE"""),"Simulator")</f>
        <v>Simulator</v>
      </c>
      <c r="B942" s="7" t="str">
        <f>IFERROR(__xludf.DUMMYFUNCTION("""COMPUTED_VALUE"""),"NewAcknowledgeTrade")</f>
        <v>NewAcknowledgeTrade</v>
      </c>
      <c r="C942" s="7" t="str">
        <f>IFERROR(__xludf.DUMMYFUNCTION("""COMPUTED_VALUE"""),"1H8R-FdslnMhiBZjAanQN5V9z26E47VjoaeJWQdGZ2pU")</f>
        <v>1H8R-FdslnMhiBZjAanQN5V9z26E47VjoaeJWQdGZ2pU</v>
      </c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 t="str">
        <f>IFERROR(__xludf.DUMMYFUNCTION("""COMPUTED_VALUE"""),"Allocation")</f>
        <v>Allocation</v>
      </c>
      <c r="B943" s="7" t="str">
        <f>IFERROR(__xludf.DUMMYFUNCTION("""COMPUTED_VALUE"""),"ActionOnToolBar")</f>
        <v>ActionOnToolBar</v>
      </c>
      <c r="C943" s="7" t="str">
        <f>IFERROR(__xludf.DUMMYFUNCTION("""COMPUTED_VALUE"""),"11EX1Ln-BQAtx9NTd9zfcaia52FGNdZENDW2kwMCJ8HQ")</f>
        <v>11EX1Ln-BQAtx9NTd9zfcaia52FGNdZENDW2kwMCJ8HQ</v>
      </c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 t="str">
        <f>IFERROR(__xludf.DUMMYFUNCTION("""COMPUTED_VALUE"""),"Allocation")</f>
        <v>Allocation</v>
      </c>
      <c r="B944" s="7" t="str">
        <f>IFERROR(__xludf.DUMMYFUNCTION("""COMPUTED_VALUE"""),"AutoGrpRules")</f>
        <v>AutoGrpRules</v>
      </c>
      <c r="C944" s="7" t="str">
        <f>IFERROR(__xludf.DUMMYFUNCTION("""COMPUTED_VALUE"""),"11EX1Ln-BQAtx9NTd9zfcaia52FGNdZENDW2kwMCJ8HQ")</f>
        <v>11EX1Ln-BQAtx9NTd9zfcaia52FGNdZENDW2kwMCJ8HQ</v>
      </c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 t="str">
        <f>IFERROR(__xludf.DUMMYFUNCTION("""COMPUTED_VALUE"""),"Allocation")</f>
        <v>Allocation</v>
      </c>
      <c r="B945" s="7" t="str">
        <f>IFERROR(__xludf.DUMMYFUNCTION("""COMPUTED_VALUE"""),"VerifyToggleStateTA")</f>
        <v>VerifyToggleStateTA</v>
      </c>
      <c r="C945" s="7" t="str">
        <f>IFERROR(__xludf.DUMMYFUNCTION("""COMPUTED_VALUE"""),"11EX1Ln-BQAtx9NTd9zfcaia52FGNdZENDW2kwMCJ8HQ")</f>
        <v>11EX1Ln-BQAtx9NTd9zfcaia52FGNdZENDW2kwMCJ8HQ</v>
      </c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 t="str">
        <f>IFERROR(__xludf.DUMMYFUNCTION("""COMPUTED_VALUE"""),"Expnl")</f>
        <v>Expnl</v>
      </c>
      <c r="B946" s="7" t="str">
        <f>IFERROR(__xludf.DUMMYFUNCTION("""COMPUTED_VALUE"""),"RefreshExpnlUi")</f>
        <v>RefreshExpnlUi</v>
      </c>
      <c r="C946" s="7" t="str">
        <f>IFERROR(__xludf.DUMMYFUNCTION("""COMPUTED_VALUE"""),"Undefined")</f>
        <v>Undefined</v>
      </c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 t="str">
        <f>IFERROR(__xludf.DUMMYFUNCTION("""COMPUTED_VALUE"""),"Allocation")</f>
        <v>Allocation</v>
      </c>
      <c r="B947" s="7" t="str">
        <f>IFERROR(__xludf.DUMMYFUNCTION("""COMPUTED_VALUE"""),"ActiononAGP")</f>
        <v>ActiononAGP</v>
      </c>
      <c r="C947" s="7" t="str">
        <f>IFERROR(__xludf.DUMMYFUNCTION("""COMPUTED_VALUE"""),"11EX1Ln-BQAtx9NTd9zfcaia52FGNdZENDW2kwMCJ8HQ")</f>
        <v>11EX1Ln-BQAtx9NTd9zfcaia52FGNdZENDW2kwMCJ8HQ</v>
      </c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 t="str">
        <f>IFERROR(__xludf.DUMMYFUNCTION("""COMPUTED_VALUE"""),"Allocation")</f>
        <v>Allocation</v>
      </c>
      <c r="B948" s="7" t="str">
        <f>IFERROR(__xludf.DUMMYFUNCTION("""COMPUTED_VALUE"""),"AttBulkChng")</f>
        <v>AttBulkChng</v>
      </c>
      <c r="C948" s="7" t="str">
        <f>IFERROR(__xludf.DUMMYFUNCTION("""COMPUTED_VALUE"""),"11EX1Ln-BQAtx9NTd9zfcaia52FGNdZENDW2kwMCJ8HQ")</f>
        <v>11EX1Ln-BQAtx9NTd9zfcaia52FGNdZENDW2kwMCJ8HQ</v>
      </c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 t="str">
        <f>IFERROR(__xludf.DUMMYFUNCTION("""COMPUTED_VALUE"""),"Allocation")</f>
        <v>Allocation</v>
      </c>
      <c r="B949" s="7" t="str">
        <f>IFERROR(__xludf.DUMMYFUNCTION("""COMPUTED_VALUE"""),"AttBulkChngTwo")</f>
        <v>AttBulkChngTwo</v>
      </c>
      <c r="C949" s="7" t="str">
        <f>IFERROR(__xludf.DUMMYFUNCTION("""COMPUTED_VALUE"""),"11EX1Ln-BQAtx9NTd9zfcaia52FGNdZENDW2kwMCJ8HQ")</f>
        <v>11EX1Ln-BQAtx9NTd9zfcaia52FGNdZENDW2kwMCJ8HQ</v>
      </c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 t="str">
        <f>IFERROR(__xludf.DUMMYFUNCTION("""COMPUTED_VALUE"""),"Login")</f>
        <v>Login</v>
      </c>
      <c r="B950" s="7" t="str">
        <f>IFERROR(__xludf.DUMMYFUNCTION("""COMPUTED_VALUE"""),"Login")</f>
        <v>Login</v>
      </c>
      <c r="C950" s="7" t="str">
        <f>IFERROR(__xludf.DUMMYFUNCTION("""COMPUTED_VALUE"""),"1uy63r2XjpUIBlAUk-lXKJTr-PpvpP6wxvLlLDzoM-Ic")</f>
        <v>1uy63r2XjpUIBlAUk-lXKJTr-PpvpP6wxvLlLDzoM-Ic</v>
      </c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 t="str">
        <f>IFERROR(__xludf.DUMMYFUNCTION("""COMPUTED_VALUE"""),"Simulator")</f>
        <v>Simulator</v>
      </c>
      <c r="B951" s="7" t="str">
        <f>IFERROR(__xludf.DUMMYFUNCTION("""COMPUTED_VALUE"""),"VerifyRowAllFixLogs")</f>
        <v>VerifyRowAllFixLogs</v>
      </c>
      <c r="C951" s="7" t="str">
        <f>IFERROR(__xludf.DUMMYFUNCTION("""COMPUTED_VALUE"""),"1_W_DB1rnbV-zXf1aqv8VkPNpTGPIckmD7s5z0ncm4ho")</f>
        <v>1_W_DB1rnbV-zXf1aqv8VkPNpTGPIckmD7s5z0ncm4ho</v>
      </c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 t="str">
        <f>IFERROR(__xludf.DUMMYFUNCTION("""COMPUTED_VALUE"""),"Blotter")</f>
        <v>Blotter</v>
      </c>
      <c r="B952" s="7" t="str">
        <f>IFERROR(__xludf.DUMMYFUNCTION("""COMPUTED_VALUE"""),"ManageHotButton")</f>
        <v>ManageHotButton</v>
      </c>
      <c r="C952" s="7" t="str">
        <f>IFERROR(__xludf.DUMMYFUNCTION("""COMPUTED_VALUE"""),"1kQpkPRi_1u4R3VazjhiilbOI8OkiiHRY2wfgByau1YY")</f>
        <v>1kQpkPRi_1u4R3VazjhiilbOI8OkiiHRY2wfgByau1YY</v>
      </c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 t="str">
        <f>IFERROR(__xludf.DUMMYFUNCTION("""COMPUTED_VALUE"""),"Simulator")</f>
        <v>Simulator</v>
      </c>
      <c r="B953" s="7" t="str">
        <f>IFERROR(__xludf.DUMMYFUNCTION("""COMPUTED_VALUE"""),"ClearAllFixLogs")</f>
        <v>ClearAllFixLogs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 t="str">
        <f>IFERROR(__xludf.DUMMYFUNCTION("""COMPUTED_VALUE"""),"PranaClient")</f>
        <v>PranaClient</v>
      </c>
      <c r="B954" s="7" t="str">
        <f>IFERROR(__xludf.DUMMYFUNCTION("""COMPUTED_VALUE"""),"UpdateLiveExcelSheetForRTPNL")</f>
        <v>UpdateLiveExcelSheetForRTPNL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 t="str">
        <f>IFERROR(__xludf.DUMMYFUNCTION("""COMPUTED_VALUE"""),"OpenFin")</f>
        <v>OpenFin</v>
      </c>
      <c r="B955" s="7" t="str">
        <f>IFERROR(__xludf.DUMMYFUNCTION("""COMPUTED_VALUE"""),"SavePageRTPNL")</f>
        <v>SavePageRTPNL</v>
      </c>
      <c r="C955" s="7" t="str">
        <f>IFERROR(__xludf.DUMMYFUNCTION("""COMPUTED_VALUE"""),"1YqhSG4yXo70SfhUq3fYD9CKf-eg44IFJ37IZh4WLI84")</f>
        <v>1YqhSG4yXo70SfhUq3fYD9CKf-eg44IFJ37IZh4WLI84</v>
      </c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 t="str">
        <f>IFERROR(__xludf.DUMMYFUNCTION("""COMPUTED_VALUE"""),"RTPNL")</f>
        <v>RTPNL</v>
      </c>
      <c r="B956" s="7" t="str">
        <f>IFERROR(__xludf.DUMMYFUNCTION("""COMPUTED_VALUE"""),"VerifyGridThroughLiveExcel")</f>
        <v>VerifyGridThroughLiveExcel</v>
      </c>
      <c r="C956" s="7" t="str">
        <f>IFERROR(__xludf.DUMMYFUNCTION("""COMPUTED_VALUE"""),"1cCUw9lchUCKgHeNcwCDXybCOZXIeN4O0zRhkTZCVDUg")</f>
        <v>1cCUw9lchUCKgHeNcwCDXybCOZXIeN4O0zRhkTZCVDUg</v>
      </c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 t="str">
        <f>IFERROR(__xludf.DUMMYFUNCTION("""COMPUTED_VALUE"""),"OpenFin")</f>
        <v>OpenFin</v>
      </c>
      <c r="B957" s="7" t="str">
        <f>IFERROR(__xludf.DUMMYFUNCTION("""COMPUTED_VALUE"""),"VerifyToastMessage")</f>
        <v>VerifyToastMessage</v>
      </c>
      <c r="C957" s="7" t="str">
        <f>IFERROR(__xludf.DUMMYFUNCTION("""COMPUTED_VALUE"""),"1DYn70fZ-UJ9bocMMWUWIW2IVfXlF5TRVuLedi7Y_LNk")</f>
        <v>1DYn70fZ-UJ9bocMMWUWIW2IVfXlF5TRVuLedi7Y_LNk</v>
      </c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 t="str">
        <f>IFERROR(__xludf.DUMMYFUNCTION("""COMPUTED_VALUE"""),"NavLock")</f>
        <v>NavLock</v>
      </c>
      <c r="B958" s="7" t="str">
        <f>IFERROR(__xludf.DUMMYFUNCTION("""COMPUTED_VALUE"""),"VerifyNavLockGrid")</f>
        <v>VerifyNavLockGrid</v>
      </c>
      <c r="C958" s="7" t="str">
        <f>IFERROR(__xludf.DUMMYFUNCTION("""COMPUTED_VALUE"""),"11EX1Ln-BQAtx9NTd9zfcaia52FGNdZENDW2kwMCJ8HQ")</f>
        <v>11EX1Ln-BQAtx9NTd9zfcaia52FGNdZENDW2kwMCJ8HQ</v>
      </c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 t="str">
        <f>IFERROR(__xludf.DUMMYFUNCTION("""COMPUTED_VALUE"""),"RTPNL")</f>
        <v>RTPNL</v>
      </c>
      <c r="B959" s="7" t="str">
        <f>IFERROR(__xludf.DUMMYFUNCTION("""COMPUTED_VALUE"""),"ApplyColumnFilter")</f>
        <v>ApplyColumnFilter</v>
      </c>
      <c r="C959" s="7" t="str">
        <f>IFERROR(__xludf.DUMMYFUNCTION("""COMPUTED_VALUE"""),"1N9Nn6t5kuoUpj5sQRZwukYuXz8skh2F7E53j1Um1W1A")</f>
        <v>1N9Nn6t5kuoUpj5sQRZwukYuXz8skh2F7E53j1Um1W1A</v>
      </c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 t="str">
        <f>IFERROR(__xludf.DUMMYFUNCTION("""COMPUTED_VALUE"""),"Closing")</f>
        <v>Closing</v>
      </c>
      <c r="B960" s="7" t="str">
        <f>IFERROR(__xludf.DUMMYFUNCTION("""COMPUTED_VALUE"""),"GetClosingData")</f>
        <v>GetClosingData</v>
      </c>
      <c r="C960" s="7" t="str">
        <f>IFERROR(__xludf.DUMMYFUNCTION("""COMPUTED_VALUE"""),"11EX1Ln-BQAtx9NTd9zfcaia52FGNdZENDW2kwMCJ9HQ")</f>
        <v>11EX1Ln-BQAtx9NTd9zfcaia52FGNdZENDW2kwMCJ9HQ</v>
      </c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 t="str">
        <f>IFERROR(__xludf.DUMMYFUNCTION("""COMPUTED_VALUE"""),"Closing")</f>
        <v>Closing</v>
      </c>
      <c r="B961" s="7" t="str">
        <f>IFERROR(__xludf.DUMMYFUNCTION("""COMPUTED_VALUE"""),"CloseAmendOprtn")</f>
        <v>CloseAmendOprtn</v>
      </c>
      <c r="C961" s="7" t="str">
        <f>IFERROR(__xludf.DUMMYFUNCTION("""COMPUTED_VALUE"""),"11EX1Ln-BQAtx9NTd9zfcaia52FGNdZENDW2kwMCJ10HQ")</f>
        <v>11EX1Ln-BQAtx9NTd9zfcaia52FGNdZENDW2kwMCJ10HQ</v>
      </c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 t="str">
        <f>IFERROR(__xludf.DUMMYFUNCTION("""COMPUTED_VALUE"""),"Closing")</f>
        <v>Closing</v>
      </c>
      <c r="B962" s="7" t="str">
        <f>IFERROR(__xludf.DUMMYFUNCTION("""COMPUTED_VALUE"""),"ExpSettlOprtn")</f>
        <v>ExpSettlOprtn</v>
      </c>
      <c r="C962" s="7" t="str">
        <f>IFERROR(__xludf.DUMMYFUNCTION("""COMPUTED_VALUE"""),"11EX1Ln-BQAtx9NTd9zfcaia52FGNdZENDW2kwMCJ11HQ")</f>
        <v>11EX1Ln-BQAtx9NTd9zfcaia52FGNdZENDW2kwMCJ11HQ</v>
      </c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 t="str">
        <f>IFERROR(__xludf.DUMMYFUNCTION("""COMPUTED_VALUE"""),"Closing")</f>
        <v>Closing</v>
      </c>
      <c r="B963" s="7" t="str">
        <f>IFERROR(__xludf.DUMMYFUNCTION("""COMPUTED_VALUE"""),"CloseOrderOprtn")</f>
        <v>CloseOrderOprtn</v>
      </c>
      <c r="C963" s="7" t="str">
        <f>IFERROR(__xludf.DUMMYFUNCTION("""COMPUTED_VALUE"""),"11EX1Ln-BQAtx9NTd9zfcaia52FGNdZENDW2kwMCJ12HQ")</f>
        <v>11EX1Ln-BQAtx9NTd9zfcaia52FGNdZENDW2kwMCJ12HQ</v>
      </c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 t="str">
        <f>IFERROR(__xludf.DUMMYFUNCTION("""COMPUTED_VALUE"""),"Closing")</f>
        <v>Closing</v>
      </c>
      <c r="B964" s="7" t="str">
        <f>IFERROR(__xludf.DUMMYFUNCTION("""COMPUTED_VALUE"""),"SelectgrdCloseTrades")</f>
        <v>SelectgrdCloseTrades</v>
      </c>
      <c r="C964" s="7" t="str">
        <f>IFERROR(__xludf.DUMMYFUNCTION("""COMPUTED_VALUE"""),"11EX1Ln-BQAtx9NTd9zfcaia52FGNdZENDW2kwMCJ13HQ")</f>
        <v>11EX1Ln-BQAtx9NTd9zfcaia52FGNdZENDW2kwMCJ13HQ</v>
      </c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 t="str">
        <f>IFERROR(__xludf.DUMMYFUNCTION("""COMPUTED_VALUE"""),"Closing")</f>
        <v>Closing</v>
      </c>
      <c r="B965" s="7" t="str">
        <f>IFERROR(__xludf.DUMMYFUNCTION("""COMPUTED_VALUE"""),"SelectgrdLongTrades")</f>
        <v>SelectgrdLongTrades</v>
      </c>
      <c r="C965" s="7" t="str">
        <f>IFERROR(__xludf.DUMMYFUNCTION("""COMPUTED_VALUE"""),"11EX1Ln-BQAtx9NTd9zfcaia52FGNdZENDW2kwMCJ14HQ")</f>
        <v>11EX1Ln-BQAtx9NTd9zfcaia52FGNdZENDW2kwMCJ14HQ</v>
      </c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 t="str">
        <f>IFERROR(__xludf.DUMMYFUNCTION("""COMPUTED_VALUE"""),"Closing")</f>
        <v>Closing</v>
      </c>
      <c r="B966" s="7" t="str">
        <f>IFERROR(__xludf.DUMMYFUNCTION("""COMPUTED_VALUE"""),"SelectgrdShortTrades")</f>
        <v>SelectgrdShortTrades</v>
      </c>
      <c r="C966" s="7" t="str">
        <f>IFERROR(__xludf.DUMMYFUNCTION("""COMPUTED_VALUE"""),"11EX1Ln-BQAtx9NTd9zfcaia52FGNdZENDW2kwMCJ15HQ")</f>
        <v>11EX1Ln-BQAtx9NTd9zfcaia52FGNdZENDW2kwMCJ15HQ</v>
      </c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 t="str">
        <f>IFERROR(__xludf.DUMMYFUNCTION("""COMPUTED_VALUE"""),"Closing")</f>
        <v>Closing</v>
      </c>
      <c r="B967" s="7" t="str">
        <f>IFERROR(__xludf.DUMMYFUNCTION("""COMPUTED_VALUE"""),"SelectgrdNetPositionTrades")</f>
        <v>SelectgrdNetPositionTrades</v>
      </c>
      <c r="C967" s="7" t="str">
        <f>IFERROR(__xludf.DUMMYFUNCTION("""COMPUTED_VALUE"""),"11EX1Ln-BQAtx9NTd9zfcaia52FGNdZENDW2kwMCJ16HQ")</f>
        <v>11EX1Ln-BQAtx9NTd9zfcaia52FGNdZENDW2kwMCJ16HQ</v>
      </c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 t="str">
        <f>IFERROR(__xludf.DUMMYFUNCTION("""COMPUTED_VALUE"""),"Closing")</f>
        <v>Closing</v>
      </c>
      <c r="B968" s="7" t="str">
        <f>IFERROR(__xludf.DUMMYFUNCTION("""COMPUTED_VALUE"""),"SelectgrdUnexpiredTrades")</f>
        <v>SelectgrdUnexpiredTrades</v>
      </c>
      <c r="C968" s="7" t="str">
        <f>IFERROR(__xludf.DUMMYFUNCTION("""COMPUTED_VALUE"""),"11EX1Ln-BQAtx9NTd9zfcaia52FGNdZENDW2kwMCJ17HQ")</f>
        <v>11EX1Ln-BQAtx9NTd9zfcaia52FGNdZENDW2kwMCJ17HQ</v>
      </c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 t="str">
        <f>IFERROR(__xludf.DUMMYFUNCTION("""COMPUTED_VALUE"""),"Closing")</f>
        <v>Closing</v>
      </c>
      <c r="B969" s="7" t="str">
        <f>IFERROR(__xludf.DUMMYFUNCTION("""COMPUTED_VALUE"""),"SelectgrdCPTrades")</f>
        <v>SelectgrdCPTrades</v>
      </c>
      <c r="C969" s="7" t="str">
        <f>IFERROR(__xludf.DUMMYFUNCTION("""COMPUTED_VALUE"""),"11EX1Ln-BQAtx9NTd9zfcaia52FGNdZENDW2kwMCJ18HQ")</f>
        <v>11EX1Ln-BQAtx9NTd9zfcaia52FGNdZENDW2kwMCJ18HQ</v>
      </c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 t="str">
        <f>IFERROR(__xludf.DUMMYFUNCTION("""COMPUTED_VALUE"""),"Closing")</f>
        <v>Closing</v>
      </c>
      <c r="B970" s="7" t="str">
        <f>IFERROR(__xludf.DUMMYFUNCTION("""COMPUTED_VALUE"""),"SelectgrdExpiredTrades")</f>
        <v>SelectgrdExpiredTrades</v>
      </c>
      <c r="C970" s="7" t="str">
        <f>IFERROR(__xludf.DUMMYFUNCTION("""COMPUTED_VALUE"""),"11EX1Ln-BQAtx9NTd9zfcaia52FGNdZENDW2kwMCJ19HQ")</f>
        <v>11EX1Ln-BQAtx9NTd9zfcaia52FGNdZENDW2kwMCJ19HQ</v>
      </c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 t="str">
        <f>IFERROR(__xludf.DUMMYFUNCTION("""COMPUTED_VALUE"""),"Closing")</f>
        <v>Closing</v>
      </c>
      <c r="B971" s="7" t="str">
        <f>IFERROR(__xludf.DUMMYFUNCTION("""COMPUTED_VALUE"""),"SelectgrdOpenTrades")</f>
        <v>SelectgrdOpenTrades</v>
      </c>
      <c r="C971" s="7" t="str">
        <f>IFERROR(__xludf.DUMMYFUNCTION("""COMPUTED_VALUE"""),"11EX1Ln-BQAtx9NTd9zfcaia52FGNdZENDW2kwMCJ20HQ")</f>
        <v>11EX1Ln-BQAtx9NTd9zfcaia52FGNdZENDW2kwMCJ20HQ</v>
      </c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 t="str">
        <f>IFERROR(__xludf.DUMMYFUNCTION("""COMPUTED_VALUE"""),"Closing")</f>
        <v>Closing</v>
      </c>
      <c r="B972" s="7" t="str">
        <f>IFERROR(__xludf.DUMMYFUNCTION("""COMPUTED_VALUE"""),"GetClosingData")</f>
        <v>GetClosingData</v>
      </c>
      <c r="C972" s="7" t="str">
        <f>IFERROR(__xludf.DUMMYFUNCTION("""COMPUTED_VALUE"""),"11EX1Ln-BQAtx9NTd9zfcaia52FGNdZENDW2kwMCJ20HQ")</f>
        <v>11EX1Ln-BQAtx9NTd9zfcaia52FGNdZENDW2kwMCJ20HQ</v>
      </c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 t="str">
        <f>IFERROR(__xludf.DUMMYFUNCTION("""COMPUTED_VALUE"""),"Closing")</f>
        <v>Closing</v>
      </c>
      <c r="B973" s="7" t="str">
        <f>IFERROR(__xludf.DUMMYFUNCTION("""COMPUTED_VALUE"""),"WizardOptions")</f>
        <v>WizardOptions</v>
      </c>
      <c r="C973" s="7" t="str">
        <f>IFERROR(__xludf.DUMMYFUNCTION("""COMPUTED_VALUE"""),"11EX1Ln-BQAtx9NTd9zfcaia52FGNdZENDW2kwMCJ21HQ")</f>
        <v>11EX1Ln-BQAtx9NTd9zfcaia52FGNdZENDW2kwMCJ21HQ</v>
      </c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 t="str">
        <f>IFERROR(__xludf.DUMMYFUNCTION("""COMPUTED_VALUE"""),"Closing")</f>
        <v>Closing</v>
      </c>
      <c r="B974" s="7" t="str">
        <f>IFERROR(__xludf.DUMMYFUNCTION("""COMPUTED_VALUE"""),"ActionOnClosingWiz")</f>
        <v>ActionOnClosingWiz</v>
      </c>
      <c r="C974" s="7" t="str">
        <f>IFERROR(__xludf.DUMMYFUNCTION("""COMPUTED_VALUE"""),"11EX1Ln-BQAtx9NTd9zfcaia52FGNdZENDW2kwMCJ21HQ")</f>
        <v>11EX1Ln-BQAtx9NTd9zfcaia52FGNdZENDW2kwMCJ21HQ</v>
      </c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 t="str">
        <f>IFERROR(__xludf.DUMMYFUNCTION("""COMPUTED_VALUE"""),"Allocation")</f>
        <v>Allocation</v>
      </c>
      <c r="B975" s="7" t="str">
        <f>IFERROR(__xludf.DUMMYFUNCTION("""COMPUTED_VALUE"""),"VerifyAttRenaming")</f>
        <v>VerifyAttRenaming</v>
      </c>
      <c r="C975" s="7" t="str">
        <f>IFERROR(__xludf.DUMMYFUNCTION("""COMPUTED_VALUE"""),"11EX1Ln-BQAtx9NTd9zfcaia52FGNdZENDW2kwMCJ21HQ")</f>
        <v>11EX1Ln-BQAtx9NTd9zfcaia52FGNdZENDW2kwMCJ21HQ</v>
      </c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 t="str">
        <f>IFERROR(__xludf.DUMMYFUNCTION("""COMPUTED_VALUE"""),"NavLock")</f>
        <v>NavLock</v>
      </c>
      <c r="B976" s="7" t="str">
        <f>IFERROR(__xludf.DUMMYFUNCTION("""COMPUTED_VALUE"""),"DeleteRowNavLock")</f>
        <v>DeleteRowNavLock</v>
      </c>
      <c r="C976" s="7" t="str">
        <f>IFERROR(__xludf.DUMMYFUNCTION("""COMPUTED_VALUE"""),"11EX1Ln-BQAtx9NTd9zfcaia52FGNdZENDW2kwMCJ21HQ")</f>
        <v>11EX1Ln-BQAtx9NTd9zfcaia52FGNdZENDW2kwMCJ21HQ</v>
      </c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>
      <c r="A977" s="7" t="str">
        <f>IFERROR(__xludf.DUMMYFUNCTION("""COMPUTED_VALUE"""),"Closing")</f>
        <v>Closing</v>
      </c>
      <c r="B977" s="7" t="str">
        <f>IFERROR(__xludf.DUMMYFUNCTION("""COMPUTED_VALUE"""),"VerifyLongPositionsGrid")</f>
        <v>VerifyLongPositionsGrid</v>
      </c>
      <c r="C977" s="7" t="str">
        <f>IFERROR(__xludf.DUMMYFUNCTION("""COMPUTED_VALUE"""),"11EX1Ln-BQAtx9NTd9zfcaia52FGNdZENDW2kwMCJ14HQ")</f>
        <v>11EX1Ln-BQAtx9NTd9zfcaia52FGNdZENDW2kwMCJ14HQ</v>
      </c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 t="str">
        <f>IFERROR(__xludf.DUMMYFUNCTION("""COMPUTED_VALUE"""),"Closing")</f>
        <v>Closing</v>
      </c>
      <c r="B978" s="7" t="str">
        <f>IFERROR(__xludf.DUMMYFUNCTION("""COMPUTED_VALUE"""),"VerifyShortPositionsGrid")</f>
        <v>VerifyShortPositionsGrid</v>
      </c>
      <c r="C978" s="7" t="str">
        <f>IFERROR(__xludf.DUMMYFUNCTION("""COMPUTED_VALUE"""),"11EX1Ln-BQAtx9NTd9zfcaia52FGNdZENDW2kwMCJ15HQ")</f>
        <v>11EX1Ln-BQAtx9NTd9zfcaia52FGNdZENDW2kwMCJ15HQ</v>
      </c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 t="str">
        <f>IFERROR(__xludf.DUMMYFUNCTION("""COMPUTED_VALUE"""),"Closing")</f>
        <v>Closing</v>
      </c>
      <c r="B979" s="7" t="str">
        <f>IFERROR(__xludf.DUMMYFUNCTION("""COMPUTED_VALUE"""),"VerifyClosedTrades")</f>
        <v>VerifyClosedTrades</v>
      </c>
      <c r="C979" s="7" t="str">
        <f>IFERROR(__xludf.DUMMYFUNCTION("""COMPUTED_VALUE"""),"11EX1Ln-BQAtx9NTd9zfcaia52FGNdZENDW2kwMCJ16HQ")</f>
        <v>11EX1Ln-BQAtx9NTd9zfcaia52FGNdZENDW2kwMCJ16HQ</v>
      </c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 t="str">
        <f>IFERROR(__xludf.DUMMYFUNCTION("""COMPUTED_VALUE"""),"Closing")</f>
        <v>Closing</v>
      </c>
      <c r="B980" s="7" t="str">
        <f>IFERROR(__xludf.DUMMYFUNCTION("""COMPUTED_VALUE"""),"CloseAmendOprtn")</f>
        <v>CloseAmendOprtn</v>
      </c>
      <c r="C980" s="7" t="str">
        <f>IFERROR(__xludf.DUMMYFUNCTION("""COMPUTED_VALUE"""),"11EX1Ln-BQAtx9NTd9zfcaia52FGNdZENDW2kwMCJ17HQ")</f>
        <v>11EX1Ln-BQAtx9NTd9zfcaia52FGNdZENDW2kwMCJ17HQ</v>
      </c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 t="str">
        <f>IFERROR(__xludf.DUMMYFUNCTION("""COMPUTED_VALUE"""),"Closing")</f>
        <v>Closing</v>
      </c>
      <c r="B981" s="7" t="str">
        <f>IFERROR(__xludf.DUMMYFUNCTION("""COMPUTED_VALUE"""),"ExpSettlOprtn")</f>
        <v>ExpSettlOprtn</v>
      </c>
      <c r="C981" s="7" t="str">
        <f>IFERROR(__xludf.DUMMYFUNCTION("""COMPUTED_VALUE"""),"11EX1Ln-BQAtx9NTd9zfcaia52FGNdZENDW2kwMCJ18HQ")</f>
        <v>11EX1Ln-BQAtx9NTd9zfcaia52FGNdZENDW2kwMCJ18HQ</v>
      </c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 t="str">
        <f>IFERROR(__xludf.DUMMYFUNCTION("""COMPUTED_VALUE"""),"Closing")</f>
        <v>Closing</v>
      </c>
      <c r="B982" s="7" t="str">
        <f>IFERROR(__xludf.DUMMYFUNCTION("""COMPUTED_VALUE"""),"ActionOnExpGrid")</f>
        <v>ActionOnExpGrid</v>
      </c>
      <c r="C982" s="7" t="str">
        <f>IFERROR(__xludf.DUMMYFUNCTION("""COMPUTED_VALUE"""),"11EX1Ln-BQAtx9NTd9zfcaia52FGNdZENDW2kwMCJ19HQ")</f>
        <v>11EX1Ln-BQAtx9NTd9zfcaia52FGNdZENDW2kwMCJ19HQ</v>
      </c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 t="str">
        <f>IFERROR(__xludf.DUMMYFUNCTION("""COMPUTED_VALUE"""),"Closing")</f>
        <v>Closing</v>
      </c>
      <c r="B983" s="7" t="str">
        <f>IFERROR(__xludf.DUMMYFUNCTION("""COMPUTED_VALUE"""),"ActiononIncorrectQty")</f>
        <v>ActiononIncorrectQty</v>
      </c>
      <c r="C983" s="7" t="str">
        <f>IFERROR(__xludf.DUMMYFUNCTION("""COMPUTED_VALUE"""),"11EX1Ln-BQAtx9NTd9zfcaia52FGNdZENDW2kwMCJ20HQ")</f>
        <v>11EX1Ln-BQAtx9NTd9zfcaia52FGNdZENDW2kwMCJ20HQ</v>
      </c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 t="str">
        <f>IFERROR(__xludf.DUMMYFUNCTION("""COMPUTED_VALUE"""),"Closing")</f>
        <v>Closing</v>
      </c>
      <c r="B984" s="7" t="str">
        <f>IFERROR(__xludf.DUMMYFUNCTION("""COMPUTED_VALUE"""),"VerifyIncorrectQty")</f>
        <v>VerifyIncorrectQty</v>
      </c>
      <c r="C984" s="7" t="str">
        <f>IFERROR(__xludf.DUMMYFUNCTION("""COMPUTED_VALUE"""),"11EX1Ln-BQAtx9NTd9zfcaia52FGNdZENDW2kwMCJ21HQ")</f>
        <v>11EX1Ln-BQAtx9NTd9zfcaia52FGNdZENDW2kwMCJ21HQ</v>
      </c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 t="str">
        <f>IFERROR(__xludf.DUMMYFUNCTION("""COMPUTED_VALUE"""),"Closing")</f>
        <v>Closing</v>
      </c>
      <c r="B985" s="7" t="str">
        <f>IFERROR(__xludf.DUMMYFUNCTION("""COMPUTED_VALUE"""),"VerifyOpenTrades")</f>
        <v>VerifyOpenTrades</v>
      </c>
      <c r="C985" s="7" t="str">
        <f>IFERROR(__xludf.DUMMYFUNCTION("""COMPUTED_VALUE"""),"11EX1Ln-BQAtx9NTd9zfcaia52FGNdZENDW2kwMCJ20HQ")</f>
        <v>11EX1Ln-BQAtx9NTd9zfcaia52FGNdZENDW2kwMCJ20HQ</v>
      </c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 t="str">
        <f>IFERROR(__xludf.DUMMYFUNCTION("""COMPUTED_VALUE"""),"CreateTransaction")</f>
        <v>CreateTransaction</v>
      </c>
      <c r="B986" s="7" t="str">
        <f>IFERROR(__xludf.DUMMYFUNCTION("""COMPUTED_VALUE"""),"EditCTGrid")</f>
        <v>EditCTGrid</v>
      </c>
      <c r="C986" s="7" t="str">
        <f>IFERROR(__xludf.DUMMYFUNCTION("""COMPUTED_VALUE"""),"11EX1Ln-BQAtx9NTd9zfcaia52FGNdZENDW2kwMCJ20HQ")</f>
        <v>11EX1Ln-BQAtx9NTd9zfcaia52FGNdZENDW2kwMCJ20HQ</v>
      </c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 t="str">
        <f>IFERROR(__xludf.DUMMYFUNCTION("""COMPUTED_VALUE"""),"CreateTransaction")</f>
        <v>CreateTransaction</v>
      </c>
      <c r="B987" s="7" t="str">
        <f>IFERROR(__xludf.DUMMYFUNCTION("""COMPUTED_VALUE"""),"ActionOnCT")</f>
        <v>ActionOnCT</v>
      </c>
      <c r="C987" s="7" t="str">
        <f>IFERROR(__xludf.DUMMYFUNCTION("""COMPUTED_VALUE"""),"11EX1Ln-BQAtx9NTd9zfcaia52FGNdZENDW2kwMCJ20HQ")</f>
        <v>11EX1Ln-BQAtx9NTd9zfcaia52FGNdZENDW2kwMCJ20HQ</v>
      </c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 t="str">
        <f>IFERROR(__xludf.DUMMYFUNCTION("""COMPUTED_VALUE"""),"Unknown")</f>
        <v>Unknown</v>
      </c>
      <c r="B988" s="7" t="str">
        <f>IFERROR(__xludf.DUMMYFUNCTION("""COMPUTED_VALUE"""),"OpenColumnChooser")</f>
        <v>OpenColumnChooser</v>
      </c>
      <c r="C988" s="7" t="str">
        <f>IFERROR(__xludf.DUMMYFUNCTION("""COMPUTED_VALUE"""),"11EX1Ln-BQAtx9NTd9zfcaia52FGNdZENDW2kwMCJ20HQ")</f>
        <v>11EX1Ln-BQAtx9NTd9zfcaia52FGNdZENDW2kwMCJ20HQ</v>
      </c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 t="str">
        <f>IFERROR(__xludf.DUMMYFUNCTION("""COMPUTED_VALUE"""),"Closing")</f>
        <v>Closing</v>
      </c>
      <c r="B989" s="7" t="str">
        <f>IFERROR(__xludf.DUMMYFUNCTION("""COMPUTED_VALUE"""),"UnExpUnsettOperation")</f>
        <v>UnExpUnsettOperation</v>
      </c>
      <c r="C989" s="7" t="str">
        <f>IFERROR(__xludf.DUMMYFUNCTION("""COMPUTED_VALUE"""),"11EX1Ln-BQAtx9NTd9zfcaia52FGNdZENDW2kwMCJ20HQ")</f>
        <v>11EX1Ln-BQAtx9NTd9zfcaia52FGNdZENDW2kwMCJ20HQ</v>
      </c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 t="str">
        <f>IFERROR(__xludf.DUMMYFUNCTION("""COMPUTED_VALUE"""),"NavLock")</f>
        <v>NavLock</v>
      </c>
      <c r="B990" s="7" t="str">
        <f>IFERROR(__xludf.DUMMYFUNCTION("""COMPUTED_VALUE"""),"ActiononNavLock")</f>
        <v>ActiononNavLock</v>
      </c>
      <c r="C990" s="7" t="str">
        <f>IFERROR(__xludf.DUMMYFUNCTION("""COMPUTED_VALUE"""),"11EX1Ln-BQAtx9NTd9zfcaia52FGNdZENDW2kwMCJ20HQ")</f>
        <v>11EX1Ln-BQAtx9NTd9zfcaia52FGNdZENDW2kwMCJ20HQ</v>
      </c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 t="str">
        <f>IFERROR(__xludf.DUMMYFUNCTION("""COMPUTED_VALUE"""),"Allocation")</f>
        <v>Allocation</v>
      </c>
      <c r="B991" s="7" t="str">
        <f>IFERROR(__xludf.DUMMYFUNCTION("""COMPUTED_VALUE"""),"ActiononFixPref")</f>
        <v>ActiononFixPref</v>
      </c>
      <c r="C991" s="7" t="str">
        <f>IFERROR(__xludf.DUMMYFUNCTION("""COMPUTED_VALUE"""),"11EX1Ln-BQAtx9NTd9zfcaia52FGNdZENDW2kwMCJ20HQ")</f>
        <v>11EX1Ln-BQAtx9NTd9zfcaia52FGNdZENDW2kwMCJ20HQ</v>
      </c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 t="str">
        <f>IFERROR(__xludf.DUMMYFUNCTION("""COMPUTED_VALUE"""),"Blotter")</f>
        <v>Blotter</v>
      </c>
      <c r="B992" s="7" t="str">
        <f>IFERROR(__xludf.DUMMYFUNCTION("""COMPUTED_VALUE"""),"SelectWorkSubsOnBlotter")</f>
        <v>SelectWorkSubsOnBlotter</v>
      </c>
      <c r="C992" s="7" t="str">
        <f>IFERROR(__xludf.DUMMYFUNCTION("""COMPUTED_VALUE"""),"11EX1Ln-BQAtx9NTd9zfcaia52FGNdZENDW2kwMCJ20HQ")</f>
        <v>11EX1Ln-BQAtx9NTd9zfcaia52FGNdZENDW2kwMCJ20HQ</v>
      </c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 t="str">
        <f>IFERROR(__xludf.DUMMYFUNCTION("""COMPUTED_VALUE"""),"Closing")</f>
        <v>Closing</v>
      </c>
      <c r="B993" s="7" t="str">
        <f>IFERROR(__xludf.DUMMYFUNCTION("""COMPUTED_VALUE"""),"VerifyAccountUnexpired")</f>
        <v>VerifyAccountUnexpired</v>
      </c>
      <c r="C993" s="7" t="str">
        <f>IFERROR(__xludf.DUMMYFUNCTION("""COMPUTED_VALUE"""),"11EX1Ln-BQAtx9NTd9zfcaia52FGNdZENDW2kwMCJ20HQ")</f>
        <v>11EX1Ln-BQAtx9NTd9zfcaia52FGNdZENDW2kwMCJ20HQ</v>
      </c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 t="str">
        <f>IFERROR(__xludf.DUMMYFUNCTION("""COMPUTED_VALUE"""),"PortfolioManagement")</f>
        <v>PortfolioManagement</v>
      </c>
      <c r="B994" s="7" t="str">
        <f>IFERROR(__xludf.DUMMYFUNCTION("""COMPUTED_VALUE"""),"ToolBarActiononPM")</f>
        <v>ToolBarActiononPM</v>
      </c>
      <c r="C994" s="7" t="str">
        <f>IFERROR(__xludf.DUMMYFUNCTION("""COMPUTED_VALUE"""),"11EX1Ln-BQAtx9NTd9zfcaia52FGNdZENDW2kwMCJ20HQ")</f>
        <v>11EX1Ln-BQAtx9NTd9zfcaia52FGNdZENDW2kwMCJ20HQ</v>
      </c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 t="str">
        <f>IFERROR(__xludf.DUMMYFUNCTION("""COMPUTED_VALUE"""),"Allocation")</f>
        <v>Allocation</v>
      </c>
      <c r="B995" s="7" t="str">
        <f>IFERROR(__xludf.DUMMYFUNCTION("""COMPUTED_VALUE"""),"EditAttRenaming")</f>
        <v>EditAttRenaming</v>
      </c>
      <c r="C995" s="7" t="str">
        <f>IFERROR(__xludf.DUMMYFUNCTION("""COMPUTED_VALUE"""),"14aTeLjmUbS-nhaQwjtZAMGxdQ5DS6UsBjE5OTWN-LQU")</f>
        <v>14aTeLjmUbS-nhaQwjtZAMGxdQ5DS6UsBjE5OTWN-LQU</v>
      </c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 t="str">
        <f>IFERROR(__xludf.DUMMYFUNCTION("""COMPUTED_VALUE"""),"Unknown")</f>
        <v>Unknown</v>
      </c>
      <c r="B996" s="7" t="str">
        <f>IFERROR(__xludf.DUMMYFUNCTION("""COMPUTED_VALUE"""),"ActiononColumnChooser")</f>
        <v>ActiononColumnChooser</v>
      </c>
      <c r="C996" s="7" t="str">
        <f>IFERROR(__xludf.DUMMYFUNCTION("""COMPUTED_VALUE"""),"14aTeLjmUbS-nhaQwjtZAMGxdQ5DS6UsBjE5OTWN-LQU")</f>
        <v>14aTeLjmUbS-nhaQwjtZAMGxdQ5DS6UsBjE5OTWN-LQU</v>
      </c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 t="str">
        <f>IFERROR(__xludf.DUMMYFUNCTION("""COMPUTED_VALUE"""),"Unknown")</f>
        <v>Unknown</v>
      </c>
      <c r="B997" s="7" t="str">
        <f>IFERROR(__xludf.DUMMYFUNCTION("""COMPUTED_VALUE"""),"VerifyColumnChooser")</f>
        <v>VerifyColumnChooser</v>
      </c>
      <c r="C997" s="7" t="str">
        <f>IFERROR(__xludf.DUMMYFUNCTION("""COMPUTED_VALUE"""),"14aTeLjmUbS-nhaQwjtZAMGxdQ5DS6UsBjE5OTWN-LQU")</f>
        <v>14aTeLjmUbS-nhaQwjtZAMGxdQ5DS6UsBjE5OTWN-LQU</v>
      </c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 t="str">
        <f>IFERROR(__xludf.DUMMYFUNCTION("""COMPUTED_VALUE"""),"Unknown")</f>
        <v>Unknown</v>
      </c>
      <c r="B998" s="7" t="str">
        <f>IFERROR(__xludf.DUMMYFUNCTION("""COMPUTED_VALUE"""),"EditColumnChooser")</f>
        <v>EditColumnChooser</v>
      </c>
      <c r="C998" s="7" t="str">
        <f>IFERROR(__xludf.DUMMYFUNCTION("""COMPUTED_VALUE"""),"14aTeLjmUbS-nhaQwjtZAMGxdQ5DS6UsBjE5OTWN-LQU")</f>
        <v>14aTeLjmUbS-nhaQwjtZAMGxdQ5DS6UsBjE5OTWN-LQU</v>
      </c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 t="str">
        <f>IFERROR(__xludf.DUMMYFUNCTION("""COMPUTED_VALUE"""),"Unknown")</f>
        <v>Unknown</v>
      </c>
      <c r="B999" s="7" t="str">
        <f>IFERROR(__xludf.DUMMYFUNCTION("""COMPUTED_VALUE"""),"OpenColumnChooser")</f>
        <v>OpenColumnChooser</v>
      </c>
      <c r="C999" s="7" t="str">
        <f>IFERROR(__xludf.DUMMYFUNCTION("""COMPUTED_VALUE"""),"14aTeLjmUbS-nhaQwjtZAMGxdQ5DS6UsBjE5OTWN-LQU")</f>
        <v>14aTeLjmUbS-nhaQwjtZAMGxdQ5DS6UsBjE5OTWN-LQU</v>
      </c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 t="str">
        <f>IFERROR(__xludf.DUMMYFUNCTION("""COMPUTED_VALUE"""),"TradingTicket")</f>
        <v>TradingTicket</v>
      </c>
      <c r="B1000" s="7" t="str">
        <f>IFERROR(__xludf.DUMMYFUNCTION("""COMPUTED_VALUE"""),"UpdateTTCA")</f>
        <v>UpdateTTCA</v>
      </c>
      <c r="C1000" s="7" t="str">
        <f>IFERROR(__xludf.DUMMYFUNCTION("""COMPUTED_VALUE"""),"14aTeLjmUbS-nhaQwjtZAMGxdQ5DS6UsBjE5OTWN-LQU")</f>
        <v>14aTeLjmUbS-nhaQwjtZAMGxdQ5DS6UsBjE5OTWN-LQU</v>
      </c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10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2" t="s">
        <v>9</v>
      </c>
      <c r="C3" s="12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13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</row>
    <row r="4" ht="15.75" customHeight="1">
      <c r="A4" s="19"/>
      <c r="B4" s="19" t="str">
        <f>IFERROR(__xludf.DUMMYFUNCTION("IF(C3="""","""",Transpose(IMPORTRANGE('_Settings'!$B$3,C3&amp;""!A4:A1000"")))"),"SetTTUIPreferences")</f>
        <v>SetTTUIPreferences</v>
      </c>
      <c r="C4" s="19" t="str">
        <f>IFERROR(__xludf.DUMMYFUNCTION("""COMPUTED_VALUE"""),"TTPermissionLevel")</f>
        <v>TTPermissionLevel</v>
      </c>
      <c r="D4" s="19" t="str">
        <f>IFERROR(__xludf.DUMMYFUNCTION("""COMPUTED_VALUE"""),"SetCheckSide")</f>
        <v>SetCheckSide</v>
      </c>
      <c r="E4" s="19" t="str">
        <f>IFERROR(__xludf.DUMMYFUNCTION("""COMPUTED_VALUE"""),"SetRollover")</f>
        <v>SetRollover</v>
      </c>
      <c r="F4" s="19" t="str">
        <f>IFERROR(__xludf.DUMMYFUNCTION("""COMPUTED_VALUE"""),"SetActive")</f>
        <v>SetActive</v>
      </c>
      <c r="G4" s="19" t="str">
        <f>IFERROR(__xludf.DUMMYFUNCTION("""COMPUTED_VALUE"""),"SetThirdPartyFormat")</f>
        <v>SetThirdPartyFormat</v>
      </c>
      <c r="H4" s="19" t="str">
        <f>IFERROR(__xludf.DUMMYFUNCTION("""COMPUTED_VALUE"""),"UpdateRoundLot")</f>
        <v>UpdateRoundLot</v>
      </c>
      <c r="I4" s="19" t="str">
        <f>IFERROR(__xludf.DUMMYFUNCTION("""COMPUTED_VALUE"""),"SetTradingComplianceRules")</f>
        <v>SetTradingComplianceRules</v>
      </c>
      <c r="J4" s="19" t="str">
        <f>IFERROR(__xludf.DUMMYFUNCTION("""COMPUTED_VALUE"""),"EnableBreakdownRealizedPNL")</f>
        <v>EnableBreakdownRealizedPNL</v>
      </c>
      <c r="K4" s="19" t="str">
        <f>IFERROR(__xludf.DUMMYFUNCTION("""COMPUTED_VALUE"""),"SetTTGeneralPreferences")</f>
        <v>SetTTGeneralPreferences</v>
      </c>
      <c r="L4" s="19" t="str">
        <f>IFERROR(__xludf.DUMMYFUNCTION("""COMPUTED_VALUE"""),"SetDollarAmountPermission")</f>
        <v>SetDollarAmountPermission</v>
      </c>
      <c r="M4" s="19" t="str">
        <f>IFERROR(__xludf.DUMMYFUNCTION("""COMPUTED_VALUE"""),"EnableDisableModule")</f>
        <v>EnableDisableModule</v>
      </c>
      <c r="N4" s="19" t="str">
        <f>IFERROR(__xludf.DUMMYFUNCTION("""COMPUTED_VALUE"""),"IsImportOverrideOnShortLocate")</f>
        <v>IsImportOverrideOnShortLocate</v>
      </c>
      <c r="O4" s="19" t="str">
        <f>IFERROR(__xludf.DUMMYFUNCTION("""COMPUTED_VALUE"""),"SetShortLocateStructures")</f>
        <v>SetShortLocateStructures</v>
      </c>
      <c r="P4" s="20" t="str">
        <f>IFERROR(__xludf.DUMMYFUNCTION("""COMPUTED_VALUE"""),"SetComplianceAlert")</f>
        <v>SetComplianceAlert</v>
      </c>
      <c r="Q4" s="20" t="str">
        <f>IFERROR(__xludf.DUMMYFUNCTION("""COMPUTED_VALUE"""),"UpdateExpirationDate")</f>
        <v>UpdateExpirationDate</v>
      </c>
      <c r="R4" s="20" t="str">
        <f>IFERROR(__xludf.DUMMYFUNCTION("""COMPUTED_VALUE"""),"RenameMasterStrategy")</f>
        <v>RenameMasterStrategy</v>
      </c>
      <c r="S4" s="20" t="str">
        <f>IFERROR(__xludf.DUMMYFUNCTION("""COMPUTED_VALUE"""),"SetTTUIAdminPreferences")</f>
        <v>SetTTUIAdminPreferences</v>
      </c>
      <c r="T4" s="20" t="str">
        <f>IFERROR(__xludf.DUMMYFUNCTION("""COMPUTED_VALUE"""),"UpdateSecFee")</f>
        <v>UpdateSecFee</v>
      </c>
      <c r="U4" s="20" t="str">
        <f>IFERROR(__xludf.DUMMYFUNCTION("""COMPUTED_VALUE"""),"UpdateFee")</f>
        <v>UpdateFee</v>
      </c>
      <c r="V4" s="20" t="str">
        <f>IFERROR(__xludf.DUMMYFUNCTION("""COMPUTED_VALUE"""),"RevertingSMSharesOutValue")</f>
        <v>RevertingSMSharesOutValue</v>
      </c>
      <c r="W4" s="20" t="str">
        <f>IFERROR(__xludf.DUMMYFUNCTION("""COMPUTED_VALUE"""),"RestartSQL")</f>
        <v>RestartSQL</v>
      </c>
      <c r="X4" s="20" t="str">
        <f>IFERROR(__xludf.DUMMYFUNCTION("""COMPUTED_VALUE"""),"TradeAuditCleanUp")</f>
        <v>TradeAuditCleanUp</v>
      </c>
      <c r="Y4" s="20" t="str">
        <f>IFERROR(__xludf.DUMMYFUNCTION("""COMPUTED_VALUE"""),"DeleteSymbolFromSM")</f>
        <v>DeleteSymbolFromSM</v>
      </c>
      <c r="Z4" s="20" t="str">
        <f>IFERROR(__xludf.DUMMYFUNCTION("""COMPUTED_VALUE"""),"SetCompliancePermission")</f>
        <v>SetCompliancePermission</v>
      </c>
      <c r="AA4" s="20" t="str">
        <f>IFERROR(__xludf.DUMMYFUNCTION("""COMPUTED_VALUE"""),"SetMasterFundOnTT")</f>
        <v>SetMasterFundOnTT</v>
      </c>
      <c r="AB4" s="20" t="str">
        <f>IFERROR(__xludf.DUMMYFUNCTION("""COMPUTED_VALUE"""),"SetMarketDataProvider")</f>
        <v>SetMarketDataProvider</v>
      </c>
      <c r="AC4" s="20" t="str">
        <f>IFERROR(__xludf.DUMMYFUNCTION("""COMPUTED_VALUE"""),"SetAllocationPreferences")</f>
        <v>SetAllocationPreferences</v>
      </c>
      <c r="AD4" s="20" t="str">
        <f>IFERROR(__xludf.DUMMYFUNCTION("""COMPUTED_VALUE"""),"SetRegularCompliancePermission")</f>
        <v>SetRegularCompliancePermission</v>
      </c>
      <c r="AE4" s="20" t="str">
        <f>IFERROR(__xludf.DUMMYFUNCTION("""COMPUTED_VALUE"""),"SetCommissionRule")</f>
        <v>SetCommissionRule</v>
      </c>
      <c r="AF4" s="20" t="str">
        <f>IFERROR(__xludf.DUMMYFUNCTION("""COMPUTED_VALUE"""),"SetPreTradeCompliancePermission")</f>
        <v>SetPreTradeCompliancePermission</v>
      </c>
      <c r="AG4" s="20" t="str">
        <f>IFERROR(__xludf.DUMMYFUNCTION("""COMPUTED_VALUE"""),"SetAuecExecutingBroker")</f>
        <v>SetAuecExecutingBroker</v>
      </c>
      <c r="AH4" s="20" t="str">
        <f>IFERROR(__xludf.DUMMYFUNCTION("""COMPUTED_VALUE"""),"SetAlgoBroker")</f>
        <v>SetAlgoBroker</v>
      </c>
      <c r="AI4" s="20" t="str">
        <f>IFERROR(__xludf.DUMMYFUNCTION("""COMPUTED_VALUE"""),"EnableAutoGroupingAllocation")</f>
        <v>EnableAutoGroupingAllocation</v>
      </c>
      <c r="AJ4" s="20" t="str">
        <f>IFERROR(__xludf.DUMMYFUNCTION("""COMPUTED_VALUE"""),"ConfigUpdater")</f>
        <v>ConfigUpdater</v>
      </c>
      <c r="AK4" s="20" t="str">
        <f>IFERROR(__xludf.DUMMYFUNCTION("""COMPUTED_VALUE"""),"AccountPermission")</f>
        <v>AccountPermission</v>
      </c>
      <c r="AL4" s="20" t="str">
        <f>IFERROR(__xludf.DUMMYFUNCTION("""COMPUTED_VALUE"""),"BasketPermission")</f>
        <v>BasketPermission</v>
      </c>
      <c r="AM4" s="20" t="str">
        <f>IFERROR(__xludf.DUMMYFUNCTION("""COMPUTED_VALUE"""),"ChangeDate")</f>
        <v>ChangeDate</v>
      </c>
      <c r="AN4" s="20" t="str">
        <f>IFERROR(__xludf.DUMMYFUNCTION("""COMPUTED_VALUE"""),"AuecVenueExchange")</f>
        <v>AuecVenueExchange</v>
      </c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IFERROR(__xludf.DUMMYFUNCTION("""COMPUTED_VALUE"""),"Account")</f>
        <v>Account</v>
      </c>
      <c r="C5" s="22" t="str">
        <f>IFERROR(__xludf.DUMMYFUNCTION("""COMPUTED_VALUE"""),"Broker")</f>
        <v>Broker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</row>
    <row r="6" ht="15.75" customHeight="1">
      <c r="A6" s="6"/>
      <c r="B6" s="24" t="s">
        <v>16</v>
      </c>
      <c r="C6" s="6" t="s">
        <v>17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4" t="s">
        <v>18</v>
      </c>
      <c r="C7" s="6" t="s">
        <v>19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25" t="s">
        <v>20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</row>
    <row r="4" ht="15.75" customHeight="1">
      <c r="A4" s="19"/>
      <c r="B4" s="19" t="str">
        <f>IFERROR(__xludf.DUMMYFUNCTION("IF(C3="""","""",Transpose(IMPORTRANGE('_Settings'!$B$3,C3&amp;""!A4:A1000"")))"),"SetTTUIPreferences")</f>
        <v>SetTTUIPreferences</v>
      </c>
      <c r="C4" s="19" t="str">
        <f>IFERROR(__xludf.DUMMYFUNCTION("""COMPUTED_VALUE"""),"TTPermissionLevel")</f>
        <v>TTPermissionLevel</v>
      </c>
      <c r="D4" s="19" t="str">
        <f>IFERROR(__xludf.DUMMYFUNCTION("""COMPUTED_VALUE"""),"SetCheckSide")</f>
        <v>SetCheckSide</v>
      </c>
      <c r="E4" s="19" t="str">
        <f>IFERROR(__xludf.DUMMYFUNCTION("""COMPUTED_VALUE"""),"SetRollover")</f>
        <v>SetRollover</v>
      </c>
      <c r="F4" s="19" t="str">
        <f>IFERROR(__xludf.DUMMYFUNCTION("""COMPUTED_VALUE"""),"SetActive")</f>
        <v>SetActive</v>
      </c>
      <c r="G4" s="19" t="str">
        <f>IFERROR(__xludf.DUMMYFUNCTION("""COMPUTED_VALUE"""),"SetThirdPartyFormat")</f>
        <v>SetThirdPartyFormat</v>
      </c>
      <c r="H4" s="19" t="str">
        <f>IFERROR(__xludf.DUMMYFUNCTION("""COMPUTED_VALUE"""),"UpdateRoundLot")</f>
        <v>UpdateRoundLot</v>
      </c>
      <c r="I4" s="19" t="str">
        <f>IFERROR(__xludf.DUMMYFUNCTION("""COMPUTED_VALUE"""),"SetTradingComplianceRules")</f>
        <v>SetTradingComplianceRules</v>
      </c>
      <c r="J4" s="19" t="str">
        <f>IFERROR(__xludf.DUMMYFUNCTION("""COMPUTED_VALUE"""),"EnableBreakdownRealizedPNL")</f>
        <v>EnableBreakdownRealizedPNL</v>
      </c>
      <c r="K4" s="19" t="str">
        <f>IFERROR(__xludf.DUMMYFUNCTION("""COMPUTED_VALUE"""),"SetTTGeneralPreferences")</f>
        <v>SetTTGeneralPreferences</v>
      </c>
      <c r="L4" s="19" t="str">
        <f>IFERROR(__xludf.DUMMYFUNCTION("""COMPUTED_VALUE"""),"SetDollarAmountPermission")</f>
        <v>SetDollarAmountPermission</v>
      </c>
      <c r="M4" s="19" t="str">
        <f>IFERROR(__xludf.DUMMYFUNCTION("""COMPUTED_VALUE"""),"EnableDisableModule")</f>
        <v>EnableDisableModule</v>
      </c>
      <c r="N4" s="19" t="str">
        <f>IFERROR(__xludf.DUMMYFUNCTION("""COMPUTED_VALUE"""),"IsImportOverrideOnShortLocate")</f>
        <v>IsImportOverrideOnShortLocate</v>
      </c>
      <c r="O4" s="19" t="str">
        <f>IFERROR(__xludf.DUMMYFUNCTION("""COMPUTED_VALUE"""),"SetShortLocateStructures")</f>
        <v>SetShortLocateStructures</v>
      </c>
      <c r="P4" s="20" t="str">
        <f>IFERROR(__xludf.DUMMYFUNCTION("""COMPUTED_VALUE"""),"SetComplianceAlert")</f>
        <v>SetComplianceAlert</v>
      </c>
      <c r="Q4" s="20" t="str">
        <f>IFERROR(__xludf.DUMMYFUNCTION("""COMPUTED_VALUE"""),"UpdateExpirationDate")</f>
        <v>UpdateExpirationDate</v>
      </c>
      <c r="R4" s="20" t="str">
        <f>IFERROR(__xludf.DUMMYFUNCTION("""COMPUTED_VALUE"""),"RenameMasterStrategy")</f>
        <v>RenameMasterStrategy</v>
      </c>
      <c r="S4" s="20" t="str">
        <f>IFERROR(__xludf.DUMMYFUNCTION("""COMPUTED_VALUE"""),"SetTTUIAdminPreferences")</f>
        <v>SetTTUIAdminPreferences</v>
      </c>
      <c r="T4" s="20" t="str">
        <f>IFERROR(__xludf.DUMMYFUNCTION("""COMPUTED_VALUE"""),"UpdateSecFee")</f>
        <v>UpdateSecFee</v>
      </c>
      <c r="U4" s="20" t="str">
        <f>IFERROR(__xludf.DUMMYFUNCTION("""COMPUTED_VALUE"""),"UpdateFee")</f>
        <v>UpdateFee</v>
      </c>
      <c r="V4" s="20" t="str">
        <f>IFERROR(__xludf.DUMMYFUNCTION("""COMPUTED_VALUE"""),"RevertingSMSharesOutValue")</f>
        <v>RevertingSMSharesOutValue</v>
      </c>
      <c r="W4" s="20" t="str">
        <f>IFERROR(__xludf.DUMMYFUNCTION("""COMPUTED_VALUE"""),"RestartSQL")</f>
        <v>RestartSQL</v>
      </c>
      <c r="X4" s="20" t="str">
        <f>IFERROR(__xludf.DUMMYFUNCTION("""COMPUTED_VALUE"""),"TradeAuditCleanUp")</f>
        <v>TradeAuditCleanUp</v>
      </c>
      <c r="Y4" s="20" t="str">
        <f>IFERROR(__xludf.DUMMYFUNCTION("""COMPUTED_VALUE"""),"DeleteSymbolFromSM")</f>
        <v>DeleteSymbolFromSM</v>
      </c>
      <c r="Z4" s="20" t="str">
        <f>IFERROR(__xludf.DUMMYFUNCTION("""COMPUTED_VALUE"""),"SetCompliancePermission")</f>
        <v>SetCompliancePermission</v>
      </c>
      <c r="AA4" s="20" t="str">
        <f>IFERROR(__xludf.DUMMYFUNCTION("""COMPUTED_VALUE"""),"SetMasterFundOnTT")</f>
        <v>SetMasterFundOnTT</v>
      </c>
      <c r="AB4" s="20" t="str">
        <f>IFERROR(__xludf.DUMMYFUNCTION("""COMPUTED_VALUE"""),"SetMarketDataProvider")</f>
        <v>SetMarketDataProvider</v>
      </c>
      <c r="AC4" s="20" t="str">
        <f>IFERROR(__xludf.DUMMYFUNCTION("""COMPUTED_VALUE"""),"SetAllocationPreferences")</f>
        <v>SetAllocationPreferences</v>
      </c>
      <c r="AD4" s="20" t="str">
        <f>IFERROR(__xludf.DUMMYFUNCTION("""COMPUTED_VALUE"""),"SetRegularCompliancePermission")</f>
        <v>SetRegularCompliancePermission</v>
      </c>
      <c r="AE4" s="20" t="str">
        <f>IFERROR(__xludf.DUMMYFUNCTION("""COMPUTED_VALUE"""),"SetCommissionRule")</f>
        <v>SetCommissionRule</v>
      </c>
      <c r="AF4" s="20" t="str">
        <f>IFERROR(__xludf.DUMMYFUNCTION("""COMPUTED_VALUE"""),"SetPreTradeCompliancePermission")</f>
        <v>SetPreTradeCompliancePermission</v>
      </c>
      <c r="AG4" s="20" t="str">
        <f>IFERROR(__xludf.DUMMYFUNCTION("""COMPUTED_VALUE"""),"SetAuecExecutingBroker")</f>
        <v>SetAuecExecutingBroker</v>
      </c>
      <c r="AH4" s="20" t="str">
        <f>IFERROR(__xludf.DUMMYFUNCTION("""COMPUTED_VALUE"""),"SetAlgoBroker")</f>
        <v>SetAlgoBroker</v>
      </c>
      <c r="AI4" s="20" t="str">
        <f>IFERROR(__xludf.DUMMYFUNCTION("""COMPUTED_VALUE"""),"EnableAutoGroupingAllocation")</f>
        <v>EnableAutoGroupingAllocation</v>
      </c>
      <c r="AJ4" s="20" t="str">
        <f>IFERROR(__xludf.DUMMYFUNCTION("""COMPUTED_VALUE"""),"ConfigUpdater")</f>
        <v>ConfigUpdater</v>
      </c>
      <c r="AK4" s="20" t="str">
        <f>IFERROR(__xludf.DUMMYFUNCTION("""COMPUTED_VALUE"""),"AccountPermission")</f>
        <v>AccountPermission</v>
      </c>
      <c r="AL4" s="20" t="str">
        <f>IFERROR(__xludf.DUMMYFUNCTION("""COMPUTED_VALUE"""),"BasketPermission")</f>
        <v>BasketPermission</v>
      </c>
      <c r="AM4" s="20" t="str">
        <f>IFERROR(__xludf.DUMMYFUNCTION("""COMPUTED_VALUE"""),"ChangeDate")</f>
        <v>ChangeDate</v>
      </c>
      <c r="AN4" s="20" t="str">
        <f>IFERROR(__xludf.DUMMYFUNCTION("""COMPUTED_VALUE"""),"AuecVenueExchange")</f>
        <v>AuecVenueExchange</v>
      </c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IFERROR(__xludf.DUMMYFUNCTION("""COMPUTED_VALUE"""),"FromTableVenueID")</f>
        <v>FromTableVenueID</v>
      </c>
      <c r="C5" s="22" t="str">
        <f>IFERROR(__xludf.DUMMYFUNCTION("""COMPUTED_VALUE"""),"ToTableVenueID")</f>
        <v>ToTableVenueID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</row>
    <row r="6" ht="15.75" customHeight="1">
      <c r="A6" s="6"/>
      <c r="B6" s="26">
        <v>1.0</v>
      </c>
      <c r="C6" s="26">
        <v>103.0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4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AuecVenueExchange!$4:$4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25" t="s">
        <v>21</v>
      </c>
      <c r="D3" s="4" t="s">
        <v>9</v>
      </c>
      <c r="E3" s="25" t="s">
        <v>22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</row>
    <row r="4" ht="15.75" customHeight="1">
      <c r="A4" s="19"/>
      <c r="B4" s="19" t="str">
        <f>IFERROR(__xludf.DUMMYFUNCTION("IF(C3="""","""",Transpose(IMPORTRANGE('_Settings'!$B$3,C3&amp;""!A4:A1000"")))"),"UpdateBeta")</f>
        <v>UpdateBeta</v>
      </c>
      <c r="C4" s="19" t="str">
        <f>IFERROR(__xludf.DUMMYFUNCTION("""COMPUTED_VALUE"""),"UpdateDailyCash")</f>
        <v>UpdateDailyCash</v>
      </c>
      <c r="D4" s="19" t="str">
        <f>IFERROR(__xludf.DUMMYFUNCTION("""COMPUTED_VALUE"""),"UpdateMultipleDailyCash")</f>
        <v>UpdateMultipleDailyCash</v>
      </c>
      <c r="E4" s="19" t="str">
        <f>IFERROR(__xludf.DUMMYFUNCTION("""COMPUTED_VALUE"""),"UpdateForexConversion")</f>
        <v>UpdateForexConversion</v>
      </c>
      <c r="F4" s="19" t="str">
        <f>IFERROR(__xludf.DUMMYFUNCTION("""COMPUTED_VALUE"""),"UpdateMarkPrice")</f>
        <v>UpdateMarkPrice</v>
      </c>
      <c r="G4" s="19" t="str">
        <f>IFERROR(__xludf.DUMMYFUNCTION("""COMPUTED_VALUE"""),"CleanUp")</f>
        <v>CleanUp</v>
      </c>
      <c r="H4" s="19" t="str">
        <f>IFERROR(__xludf.DUMMYFUNCTION("""COMPUTED_VALUE"""),"GetMarkPriceData")</f>
        <v>GetMarkPriceData</v>
      </c>
      <c r="I4" s="19" t="str">
        <f>IFERROR(__xludf.DUMMYFUNCTION("""COMPUTED_VALUE"""),"GetForwardPoints")</f>
        <v>GetForwardPoints</v>
      </c>
      <c r="J4" s="19" t="str">
        <f>IFERROR(__xludf.DUMMYFUNCTION("""COMPUTED_VALUE"""),"UpdateForwardPoints")</f>
        <v>UpdateForwardPoints</v>
      </c>
      <c r="K4" s="19" t="str">
        <f>IFERROR(__xludf.DUMMYFUNCTION("""COMPUTED_VALUE"""),"GetForexConversion")</f>
        <v>GetForexConversion</v>
      </c>
      <c r="L4" s="19" t="str">
        <f>IFERROR(__xludf.DUMMYFUNCTION("""COMPUTED_VALUE"""),"DeleteNAV")</f>
        <v>DeleteNAV</v>
      </c>
      <c r="M4" s="19" t="str">
        <f>IFERROR(__xludf.DUMMYFUNCTION("""COMPUTED_VALUE"""),"GetDailyCash")</f>
        <v>GetDailyCash</v>
      </c>
      <c r="N4" s="19" t="str">
        <f>IFERROR(__xludf.DUMMYFUNCTION("""COMPUTED_VALUE"""),"GetDailyBeta")</f>
        <v>GetDailyBeta</v>
      </c>
      <c r="O4" s="19" t="str">
        <f>IFERROR(__xludf.DUMMYFUNCTION("""COMPUTED_VALUE"""),"GetDailyVolatility")</f>
        <v>GetDailyVolatility</v>
      </c>
      <c r="P4" s="20" t="str">
        <f>IFERROR(__xludf.DUMMYFUNCTION("""COMPUTED_VALUE"""),"GetDailyDividendYield")</f>
        <v>GetDailyDividendYield</v>
      </c>
      <c r="Q4" s="20" t="str">
        <f>IFERROR(__xludf.DUMMYFUNCTION("""COMPUTED_VALUE"""),"GetDailyTradingVolume")</f>
        <v>GetDailyTradingVolume</v>
      </c>
      <c r="R4" s="20" t="str">
        <f>IFERROR(__xludf.DUMMYFUNCTION("""COMPUTED_VALUE"""),"GetDailyOutstandings")</f>
        <v>GetDailyOutstandings</v>
      </c>
      <c r="S4" s="20" t="str">
        <f>IFERROR(__xludf.DUMMYFUNCTION("""COMPUTED_VALUE"""),"GetDailyDelta")</f>
        <v>GetDailyDelta</v>
      </c>
      <c r="T4" s="20" t="str">
        <f>IFERROR(__xludf.DUMMYFUNCTION("""COMPUTED_VALUE"""),"UpdateDailyVolatility")</f>
        <v>UpdateDailyVolatility</v>
      </c>
      <c r="U4" s="20" t="str">
        <f>IFERROR(__xludf.DUMMYFUNCTION("""COMPUTED_VALUE"""),"UpdateDividendYield")</f>
        <v>UpdateDividendYield</v>
      </c>
      <c r="V4" s="20" t="str">
        <f>IFERROR(__xludf.DUMMYFUNCTION("""COMPUTED_VALUE"""),"UpdateTradingVolume")</f>
        <v>UpdateTradingVolume</v>
      </c>
      <c r="W4" s="20" t="str">
        <f>IFERROR(__xludf.DUMMYFUNCTION("""COMPUTED_VALUE"""),"UpdateDailyDelta")</f>
        <v>UpdateDailyDelta</v>
      </c>
      <c r="X4" s="20" t="str">
        <f>IFERROR(__xludf.DUMMYFUNCTION("""COMPUTED_VALUE"""),"UpdateDailyOutstandings")</f>
        <v>UpdateDailyOutstandings</v>
      </c>
      <c r="Y4" s="20" t="str">
        <f>IFERROR(__xludf.DUMMYFUNCTION("""COMPUTED_VALUE"""),"UpdateBeta")</f>
        <v>UpdateBeta</v>
      </c>
      <c r="Z4" s="20" t="str">
        <f>IFERROR(__xludf.DUMMYFUNCTION("""COMPUTED_VALUE"""),"UpdateNAV")</f>
        <v>UpdateNAV</v>
      </c>
      <c r="AA4" s="20" t="str">
        <f>IFERROR(__xludf.DUMMYFUNCTION("""COMPUTED_VALUE"""),"UpdateDailyCash")</f>
        <v>UpdateDailyCash</v>
      </c>
      <c r="AB4" s="20" t="str">
        <f>IFERROR(__xludf.DUMMYFUNCTION("""COMPUTED_VALUE"""),"UpdateDailyCreditLimt")</f>
        <v>UpdateDailyCreditLimt</v>
      </c>
      <c r="AC4" s="20" t="str">
        <f>IFERROR(__xludf.DUMMYFUNCTION("""COMPUTED_VALUE"""),"RemoveDailyCreditLimit")</f>
        <v>RemoveDailyCreditLimit</v>
      </c>
      <c r="AD4" s="20" t="str">
        <f>IFERROR(__xludf.DUMMYFUNCTION("""COMPUTED_VALUE"""),"RemoveDailyCash")</f>
        <v>RemoveDailyCash</v>
      </c>
      <c r="AE4" s="20" t="str">
        <f>IFERROR(__xludf.DUMMYFUNCTION("""COMPUTED_VALUE"""),"RemoveNAV")</f>
        <v>RemoveNAV</v>
      </c>
      <c r="AF4" s="20" t="str">
        <f>IFERROR(__xludf.DUMMYFUNCTION("""COMPUTED_VALUE"""),"UpdateForexConversionMonthly")</f>
        <v>UpdateForexConversionMonthly</v>
      </c>
      <c r="AG4" s="20" t="str">
        <f>IFERROR(__xludf.DUMMYFUNCTION("""COMPUTED_VALUE"""),"UpdateMarkPriceMonthly")</f>
        <v>UpdateMarkPriceMonthly</v>
      </c>
      <c r="AH4" s="20" t="str">
        <f>IFERROR(__xludf.DUMMYFUNCTION("""COMPUTED_VALUE"""),"VerifyDailyCash")</f>
        <v>VerifyDailyCash</v>
      </c>
      <c r="AI4" s="20" t="str">
        <f>IFERROR(__xludf.DUMMYFUNCTION("""COMPUTED_VALUE"""),"EnableBlankMarkPrices")</f>
        <v>EnableBlankMarkPrices</v>
      </c>
      <c r="AJ4" s="20" t="str">
        <f>IFERROR(__xludf.DUMMYFUNCTION("""COMPUTED_VALUE"""),"UpateSymbolBlankMP")</f>
        <v>UpateSymbolBlankMP</v>
      </c>
      <c r="AK4" s="20" t="str">
        <f>IFERROR(__xludf.DUMMYFUNCTION("""COMPUTED_VALUE"""),"UpdateBlankMP")</f>
        <v>UpdateBlankMP</v>
      </c>
      <c r="AL4" s="20" t="str">
        <f>IFERROR(__xludf.DUMMYFUNCTION("""COMPUTED_VALUE"""),"FilterBlankMP")</f>
        <v>FilterBlankMP</v>
      </c>
      <c r="AM4" s="20" t="str">
        <f>IFERROR(__xludf.DUMMYFUNCTION("""COMPUTED_VALUE"""),"VerifyDVNavLockPopup")</f>
        <v>VerifyDVNavLockPopup</v>
      </c>
      <c r="AN4" s="20" t="str">
        <f>IFERROR(__xludf.DUMMYFUNCTION("""COMPUTED_VALUE"""),"SelectDateAtMPFC")</f>
        <v>SelectDateAtMPFC</v>
      </c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IFERROR(__xludf.DUMMYFUNCTION("""COMPUTED_VALUE"""),"Select Date")</f>
        <v>Select Date</v>
      </c>
      <c r="C5" s="22" t="str">
        <f>IFERROR(__xludf.DUMMYFUNCTION("""COMPUTED_VALUE"""),"Copy From")</f>
        <v>Copy From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</row>
    <row r="6" ht="15.75" customHeight="1">
      <c r="A6" s="6"/>
      <c r="B6" s="27">
        <f>TODAY()-1</f>
        <v>45911</v>
      </c>
      <c r="C6" s="27">
        <f>TODAY()</f>
        <v>45912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4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25" t="s">
        <v>21</v>
      </c>
      <c r="D3" s="4" t="s">
        <v>9</v>
      </c>
      <c r="E3" s="25" t="s">
        <v>23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</row>
    <row r="4" ht="15.75" customHeight="1">
      <c r="A4" s="19"/>
      <c r="B4" s="19" t="str">
        <f>IFERROR(__xludf.DUMMYFUNCTION("IF(C3="""","""",Transpose(IMPORTRANGE('_Settings'!$B$3,C3&amp;""!A4:A1000"")))"),"UpdateBeta")</f>
        <v>UpdateBeta</v>
      </c>
      <c r="C4" s="19" t="str">
        <f>IFERROR(__xludf.DUMMYFUNCTION("""COMPUTED_VALUE"""),"UpdateDailyCash")</f>
        <v>UpdateDailyCash</v>
      </c>
      <c r="D4" s="19" t="str">
        <f>IFERROR(__xludf.DUMMYFUNCTION("""COMPUTED_VALUE"""),"UpdateMultipleDailyCash")</f>
        <v>UpdateMultipleDailyCash</v>
      </c>
      <c r="E4" s="19" t="str">
        <f>IFERROR(__xludf.DUMMYFUNCTION("""COMPUTED_VALUE"""),"UpdateForexConversion")</f>
        <v>UpdateForexConversion</v>
      </c>
      <c r="F4" s="19" t="str">
        <f>IFERROR(__xludf.DUMMYFUNCTION("""COMPUTED_VALUE"""),"UpdateMarkPrice")</f>
        <v>UpdateMarkPrice</v>
      </c>
      <c r="G4" s="19" t="str">
        <f>IFERROR(__xludf.DUMMYFUNCTION("""COMPUTED_VALUE"""),"CleanUp")</f>
        <v>CleanUp</v>
      </c>
      <c r="H4" s="19" t="str">
        <f>IFERROR(__xludf.DUMMYFUNCTION("""COMPUTED_VALUE"""),"GetMarkPriceData")</f>
        <v>GetMarkPriceData</v>
      </c>
      <c r="I4" s="19" t="str">
        <f>IFERROR(__xludf.DUMMYFUNCTION("""COMPUTED_VALUE"""),"GetForwardPoints")</f>
        <v>GetForwardPoints</v>
      </c>
      <c r="J4" s="19" t="str">
        <f>IFERROR(__xludf.DUMMYFUNCTION("""COMPUTED_VALUE"""),"UpdateForwardPoints")</f>
        <v>UpdateForwardPoints</v>
      </c>
      <c r="K4" s="19" t="str">
        <f>IFERROR(__xludf.DUMMYFUNCTION("""COMPUTED_VALUE"""),"GetForexConversion")</f>
        <v>GetForexConversion</v>
      </c>
      <c r="L4" s="19" t="str">
        <f>IFERROR(__xludf.DUMMYFUNCTION("""COMPUTED_VALUE"""),"DeleteNAV")</f>
        <v>DeleteNAV</v>
      </c>
      <c r="M4" s="19" t="str">
        <f>IFERROR(__xludf.DUMMYFUNCTION("""COMPUTED_VALUE"""),"GetDailyCash")</f>
        <v>GetDailyCash</v>
      </c>
      <c r="N4" s="19" t="str">
        <f>IFERROR(__xludf.DUMMYFUNCTION("""COMPUTED_VALUE"""),"GetDailyBeta")</f>
        <v>GetDailyBeta</v>
      </c>
      <c r="O4" s="19" t="str">
        <f>IFERROR(__xludf.DUMMYFUNCTION("""COMPUTED_VALUE"""),"GetDailyVolatility")</f>
        <v>GetDailyVolatility</v>
      </c>
      <c r="P4" s="20" t="str">
        <f>IFERROR(__xludf.DUMMYFUNCTION("""COMPUTED_VALUE"""),"GetDailyDividendYield")</f>
        <v>GetDailyDividendYield</v>
      </c>
      <c r="Q4" s="20" t="str">
        <f>IFERROR(__xludf.DUMMYFUNCTION("""COMPUTED_VALUE"""),"GetDailyTradingVolume")</f>
        <v>GetDailyTradingVolume</v>
      </c>
      <c r="R4" s="20" t="str">
        <f>IFERROR(__xludf.DUMMYFUNCTION("""COMPUTED_VALUE"""),"GetDailyOutstandings")</f>
        <v>GetDailyOutstandings</v>
      </c>
      <c r="S4" s="20" t="str">
        <f>IFERROR(__xludf.DUMMYFUNCTION("""COMPUTED_VALUE"""),"GetDailyDelta")</f>
        <v>GetDailyDelta</v>
      </c>
      <c r="T4" s="20" t="str">
        <f>IFERROR(__xludf.DUMMYFUNCTION("""COMPUTED_VALUE"""),"UpdateDailyVolatility")</f>
        <v>UpdateDailyVolatility</v>
      </c>
      <c r="U4" s="20" t="str">
        <f>IFERROR(__xludf.DUMMYFUNCTION("""COMPUTED_VALUE"""),"UpdateDividendYield")</f>
        <v>UpdateDividendYield</v>
      </c>
      <c r="V4" s="20" t="str">
        <f>IFERROR(__xludf.DUMMYFUNCTION("""COMPUTED_VALUE"""),"UpdateTradingVolume")</f>
        <v>UpdateTradingVolume</v>
      </c>
      <c r="W4" s="20" t="str">
        <f>IFERROR(__xludf.DUMMYFUNCTION("""COMPUTED_VALUE"""),"UpdateDailyDelta")</f>
        <v>UpdateDailyDelta</v>
      </c>
      <c r="X4" s="20" t="str">
        <f>IFERROR(__xludf.DUMMYFUNCTION("""COMPUTED_VALUE"""),"UpdateDailyOutstandings")</f>
        <v>UpdateDailyOutstandings</v>
      </c>
      <c r="Y4" s="20" t="str">
        <f>IFERROR(__xludf.DUMMYFUNCTION("""COMPUTED_VALUE"""),"UpdateBeta")</f>
        <v>UpdateBeta</v>
      </c>
      <c r="Z4" s="20" t="str">
        <f>IFERROR(__xludf.DUMMYFUNCTION("""COMPUTED_VALUE"""),"UpdateNAV")</f>
        <v>UpdateNAV</v>
      </c>
      <c r="AA4" s="20" t="str">
        <f>IFERROR(__xludf.DUMMYFUNCTION("""COMPUTED_VALUE"""),"UpdateDailyCash")</f>
        <v>UpdateDailyCash</v>
      </c>
      <c r="AB4" s="20" t="str">
        <f>IFERROR(__xludf.DUMMYFUNCTION("""COMPUTED_VALUE"""),"UpdateDailyCreditLimt")</f>
        <v>UpdateDailyCreditLimt</v>
      </c>
      <c r="AC4" s="20" t="str">
        <f>IFERROR(__xludf.DUMMYFUNCTION("""COMPUTED_VALUE"""),"RemoveDailyCreditLimit")</f>
        <v>RemoveDailyCreditLimit</v>
      </c>
      <c r="AD4" s="20" t="str">
        <f>IFERROR(__xludf.DUMMYFUNCTION("""COMPUTED_VALUE"""),"RemoveDailyCash")</f>
        <v>RemoveDailyCash</v>
      </c>
      <c r="AE4" s="20" t="str">
        <f>IFERROR(__xludf.DUMMYFUNCTION("""COMPUTED_VALUE"""),"RemoveNAV")</f>
        <v>RemoveNAV</v>
      </c>
      <c r="AF4" s="20" t="str">
        <f>IFERROR(__xludf.DUMMYFUNCTION("""COMPUTED_VALUE"""),"UpdateForexConversionMonthly")</f>
        <v>UpdateForexConversionMonthly</v>
      </c>
      <c r="AG4" s="20" t="str">
        <f>IFERROR(__xludf.DUMMYFUNCTION("""COMPUTED_VALUE"""),"UpdateMarkPriceMonthly")</f>
        <v>UpdateMarkPriceMonthly</v>
      </c>
      <c r="AH4" s="20" t="str">
        <f>IFERROR(__xludf.DUMMYFUNCTION("""COMPUTED_VALUE"""),"VerifyDailyCash")</f>
        <v>VerifyDailyCash</v>
      </c>
      <c r="AI4" s="20" t="str">
        <f>IFERROR(__xludf.DUMMYFUNCTION("""COMPUTED_VALUE"""),"EnableBlankMarkPrices")</f>
        <v>EnableBlankMarkPrices</v>
      </c>
      <c r="AJ4" s="20" t="str">
        <f>IFERROR(__xludf.DUMMYFUNCTION("""COMPUTED_VALUE"""),"UpateSymbolBlankMP")</f>
        <v>UpateSymbolBlankMP</v>
      </c>
      <c r="AK4" s="20" t="str">
        <f>IFERROR(__xludf.DUMMYFUNCTION("""COMPUTED_VALUE"""),"UpdateBlankMP")</f>
        <v>UpdateBlankMP</v>
      </c>
      <c r="AL4" s="20" t="str">
        <f>IFERROR(__xludf.DUMMYFUNCTION("""COMPUTED_VALUE"""),"FilterBlankMP")</f>
        <v>FilterBlankMP</v>
      </c>
      <c r="AM4" s="20" t="str">
        <f>IFERROR(__xludf.DUMMYFUNCTION("""COMPUTED_VALUE"""),"VerifyDVNavLockPopup")</f>
        <v>VerifyDVNavLockPopup</v>
      </c>
      <c r="AN4" s="20" t="str">
        <f>IFERROR(__xludf.DUMMYFUNCTION("""COMPUTED_VALUE"""),"SelectDateAtMPFC")</f>
        <v>SelectDateAtMPFC</v>
      </c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IFERROR(__xludf.DUMMYFUNCTION("""COMPUTED_VALUE"""),"Account")</f>
        <v>Account</v>
      </c>
      <c r="C5" s="22" t="str">
        <f>IFERROR(__xludf.DUMMYFUNCTION("""COMPUTED_VALUE"""),"Local Currency")</f>
        <v>Local Currency</v>
      </c>
      <c r="D5" s="22" t="str">
        <f>IFERROR(__xludf.DUMMYFUNCTION("""COMPUTED_VALUE"""),"Cash Value Local")</f>
        <v>Cash Value Local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</row>
    <row r="6" ht="15.75" customHeight="1">
      <c r="A6" s="6"/>
      <c r="B6" s="24" t="s">
        <v>16</v>
      </c>
      <c r="C6" s="24" t="s">
        <v>24</v>
      </c>
      <c r="D6" s="26">
        <v>100000.0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4" t="s">
        <v>18</v>
      </c>
      <c r="C7" s="24" t="s">
        <v>24</v>
      </c>
      <c r="D7" s="26">
        <v>100000.0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5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25</v>
      </c>
      <c r="D3" s="4" t="s">
        <v>9</v>
      </c>
      <c r="E3" s="11" t="s">
        <v>26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</row>
    <row r="4" ht="15.75" customHeight="1">
      <c r="A4" s="19"/>
      <c r="B4" s="19" t="str">
        <f>IFERROR(__xludf.DUMMYFUNCTION("IF(C3="""","""",Transpose(IMPORTRANGE('_Settings'!$B$3,C3&amp;""!A4:A1000"")))"),"CheckCompliance")</f>
        <v>CheckCompliance</v>
      </c>
      <c r="C4" s="19" t="str">
        <f>IFERROR(__xludf.DUMMYFUNCTION("""COMPUTED_VALUE"""),"VerifyAccountDivisorWindow")</f>
        <v>VerifyAccountDivisorWindow</v>
      </c>
      <c r="D4" s="19" t="str">
        <f>IFERROR(__xludf.DUMMYFUNCTION("""COMPUTED_VALUE"""),"VerifyAccountSymbolDivisorWindow")</f>
        <v>VerifyAccountSymbolDivisorWindow</v>
      </c>
      <c r="E4" s="19" t="str">
        <f>IFERROR(__xludf.DUMMYFUNCTION("""COMPUTED_VALUE"""),"VerifyAggregationAccountSymbolWithNav")</f>
        <v>VerifyAggregationAccountSymbolWithNav</v>
      </c>
      <c r="F4" s="19" t="str">
        <f>IFERROR(__xludf.DUMMYFUNCTION("""COMPUTED_VALUE"""),"VerifyAggregationAccountWithNav")</f>
        <v>VerifyAggregationAccountWithNav</v>
      </c>
      <c r="G4" s="19" t="str">
        <f>IFERROR(__xludf.DUMMYFUNCTION("""COMPUTED_VALUE"""),"VerifyAggregationMasterFundSymbolWithNav")</f>
        <v>VerifyAggregationMasterFundSymbolWithNav</v>
      </c>
      <c r="H4" s="19" t="str">
        <f>IFERROR(__xludf.DUMMYFUNCTION("""COMPUTED_VALUE"""),"VerifyAggregationMasterFundUnderlyingSymbolWithNav")</f>
        <v>VerifyAggregationMasterFundUnderlyingSymbolWithNav</v>
      </c>
      <c r="I4" s="19" t="str">
        <f>IFERROR(__xludf.DUMMYFUNCTION("""COMPUTED_VALUE"""),"VerifyAggregationMasterFundWithNav")</f>
        <v>VerifyAggregationMasterFundWithNav</v>
      </c>
      <c r="J4" s="19" t="str">
        <f>IFERROR(__xludf.DUMMYFUNCTION("""COMPUTED_VALUE"""),"VerifyAggregationSectorWithNav")</f>
        <v>VerifyAggregationSectorWithNav</v>
      </c>
      <c r="K4" s="19" t="str">
        <f>IFERROR(__xludf.DUMMYFUNCTION("""COMPUTED_VALUE"""),"VerifyAggregationUnderlyingSymbolWithNav")</f>
        <v>VerifyAggregationUnderlyingSymbolWithNav</v>
      </c>
      <c r="L4" s="19" t="str">
        <f>IFERROR(__xludf.DUMMYFUNCTION("""COMPUTED_VALUE"""),"VerifyAuecWindow")</f>
        <v>VerifyAuecWindow</v>
      </c>
      <c r="M4" s="19" t="str">
        <f>IFERROR(__xludf.DUMMYFUNCTION("""COMPUTED_VALUE"""),"VerifyBetaWindow")</f>
        <v>VerifyBetaWindow</v>
      </c>
      <c r="N4" s="19" t="str">
        <f>IFERROR(__xludf.DUMMYFUNCTION("""COMPUTED_VALUE"""),"VerifyCustomSymbolDataWindow")</f>
        <v>VerifyCustomSymbolDataWindow</v>
      </c>
      <c r="O4" s="19" t="str">
        <f>IFERROR(__xludf.DUMMYFUNCTION("""COMPUTED_VALUE"""),"VerifyDayEndCashAccountWindow")</f>
        <v>VerifyDayEndCashAccountWindow</v>
      </c>
      <c r="P4" s="20" t="str">
        <f>IFERROR(__xludf.DUMMYFUNCTION("""COMPUTED_VALUE"""),"VerifyDbNavWindow")</f>
        <v>VerifyDbNavWindow</v>
      </c>
      <c r="Q4" s="20" t="str">
        <f>IFERROR(__xludf.DUMMYFUNCTION("""COMPUTED_VALUE"""),"VerifyGlobalDivisorWindow")</f>
        <v>VerifyGlobalDivisorWindow</v>
      </c>
      <c r="R4" s="20" t="str">
        <f>IFERROR(__xludf.DUMMYFUNCTION("""COMPUTED_VALUE"""),"VerifyPmCalculationPreferenceWindow")</f>
        <v>VerifyPmCalculationPreferenceWindow</v>
      </c>
      <c r="S4" s="20" t="str">
        <f>IFERROR(__xludf.DUMMYFUNCTION("""COMPUTED_VALUE"""),"VerifyRowCalculationBaseWindow")</f>
        <v>VerifyRowCalculationBaseWindow</v>
      </c>
      <c r="T4" s="20" t="str">
        <f>IFERROR(__xludf.DUMMYFUNCTION("""COMPUTED_VALUE"""),"VerifySecurityWindow")</f>
        <v>VerifySecurityWindow</v>
      </c>
      <c r="U4" s="20" t="str">
        <f>IFERROR(__xludf.DUMMYFUNCTION("""COMPUTED_VALUE"""),"VerifySymbolDataWindow")</f>
        <v>VerifySymbolDataWindow</v>
      </c>
      <c r="V4" s="20" t="str">
        <f>IFERROR(__xludf.DUMMYFUNCTION("""COMPUTED_VALUE"""),"VerifySymbolDivisorWindow")</f>
        <v>VerifySymbolDivisorWindow</v>
      </c>
      <c r="W4" s="20" t="str">
        <f>IFERROR(__xludf.DUMMYFUNCTION("""COMPUTED_VALUE"""),"VerifyTaxlotWindow")</f>
        <v>VerifyTaxlotWindow</v>
      </c>
      <c r="X4" s="20" t="str">
        <f>IFERROR(__xludf.DUMMYFUNCTION("""COMPUTED_VALUE"""),"RestartEsper")</f>
        <v>RestartEsper</v>
      </c>
      <c r="Y4" s="20" t="str">
        <f>IFERROR(__xludf.DUMMYFUNCTION("""COMPUTED_VALUE"""),"VerifyAccountNavPreferenceWindow")</f>
        <v>VerifyAccountNavPreferenceWindow</v>
      </c>
      <c r="Z4" s="20" t="str">
        <f>IFERROR(__xludf.DUMMYFUNCTION("""COMPUTED_VALUE"""),"VerifyAggregationAccountUnderlyingSymbolWithNav")</f>
        <v>VerifyAggregationAccountUnderlyingSymbolWithNav</v>
      </c>
      <c r="AA4" s="20" t="str">
        <f>IFERROR(__xludf.DUMMYFUNCTION("""COMPUTED_VALUE"""),"VerifyAggregationAssetWithNav")</f>
        <v>VerifyAggregationAssetWithNav</v>
      </c>
      <c r="AB4" s="20" t="str">
        <f>IFERROR(__xludf.DUMMYFUNCTION("""COMPUTED_VALUE"""),"VerifyAggregationSymbolWithNav")</f>
        <v>VerifyAggregationSymbolWithNav</v>
      </c>
      <c r="AC4" s="20" t="str">
        <f>IFERROR(__xludf.DUMMYFUNCTION("""COMPUTED_VALUE"""),"VerifyAggregationSubSectorWithNav")</f>
        <v>VerifyAggregationSubSectorWithNav</v>
      </c>
      <c r="AD4" s="20" t="str">
        <f>IFERROR(__xludf.DUMMYFUNCTION("""COMPUTED_VALUE"""),"VerifyAggregationGlobalWithNav")</f>
        <v>VerifyAggregationGlobalWithNav</v>
      </c>
      <c r="AE4" s="20" t="str">
        <f>IFERROR(__xludf.DUMMYFUNCTION("""COMPUTED_VALUE"""),"VerifyAggregationGlobalWithNav")</f>
        <v>VerifyAggregationGlobalWithNav</v>
      </c>
      <c r="AF4" s="20" t="str">
        <f>IFERROR(__xludf.DUMMYFUNCTION("""COMPUTED_VALUE"""),"VerifyGlobalDivisorWindow")</f>
        <v>VerifyGlobalDivisorWindow</v>
      </c>
      <c r="AG4" s="20" t="str">
        <f>IFERROR(__xludf.DUMMYFUNCTION("""COMPUTED_VALUE"""),"VerifyAccrualForAccountWindow")</f>
        <v>VerifyAccrualForAccountWindow</v>
      </c>
      <c r="AH4" s="20" t="str">
        <f>IFERROR(__xludf.DUMMYFUNCTION("""COMPUTED_VALUE"""),"VerifyGlobalDivisorWindow")</f>
        <v>VerifyGlobalDivisorWindow</v>
      </c>
      <c r="AI4" s="20" t="str">
        <f>IFERROR(__xludf.DUMMYFUNCTION("""COMPUTED_VALUE"""),"VerifyMasterFundDivisorWindow")</f>
        <v>VerifyMasterFundDivisorWindow</v>
      </c>
      <c r="AJ4" s="20" t="str">
        <f>IFERROR(__xludf.DUMMYFUNCTION("""COMPUTED_VALUE"""),"VerifyMasterFundSymbolDivisorWindow")</f>
        <v>VerifyMasterFundSymbolDivisorWindow</v>
      </c>
      <c r="AK4" s="20" t="str">
        <f>IFERROR(__xludf.DUMMYFUNCTION("""COMPUTED_VALUE"""),"RestartRuleMediator")</f>
        <v>RestartRuleMediator</v>
      </c>
      <c r="AL4" s="20" t="str">
        <f>IFERROR(__xludf.DUMMYFUNCTION("""COMPUTED_VALUE"""),"VerifyAggAccountSymbolWithNav")</f>
        <v>VerifyAggAccountSymbolWithNav</v>
      </c>
      <c r="AM4" s="20" t="str">
        <f>IFERROR(__xludf.DUMMYFUNCTION("""COMPUTED_VALUE"""),"ApproveorRejectpendingapproval")</f>
        <v>ApproveorRejectpendingapproval</v>
      </c>
      <c r="AN4" s="20" t="str">
        <f>IFERROR(__xludf.DUMMYFUNCTION("""COMPUTED_VALUE"""),"VerifyAlertHistory")</f>
        <v>VerifyAlertHistory</v>
      </c>
      <c r="AO4" s="20" t="str">
        <f>IFERROR(__xludf.DUMMYFUNCTION("""COMPUTED_VALUE"""),"EditInterceptorFile")</f>
        <v>EditInterceptorFile</v>
      </c>
      <c r="AP4" s="20" t="str">
        <f>IFERROR(__xludf.DUMMYFUNCTION("""COMPUTED_VALUE"""),"ReplaceInterceptorFile")</f>
        <v>ReplaceInterceptorFile</v>
      </c>
      <c r="AQ4" s="20" t="str">
        <f>IFERROR(__xludf.DUMMYFUNCTION("""COMPUTED_VALUE"""),"RestartReleasesAndServices")</f>
        <v>RestartReleasesAndServices</v>
      </c>
      <c r="AR4" s="20" t="str">
        <f>IFERROR(__xludf.DUMMYFUNCTION("""COMPUTED_VALUE"""),"GetEmail")</f>
        <v>GetEmail</v>
      </c>
      <c r="AS4" s="20" t="str">
        <f>IFERROR(__xludf.DUMMYFUNCTION("""COMPUTED_VALUE"""),"EnableDisableRule")</f>
        <v>EnableDisableRule</v>
      </c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IFERROR(__xludf.DUMMYFUNCTION("""COMPUTED_VALUE"""),"Restart Basket")</f>
        <v>Restart Basket</v>
      </c>
      <c r="C5" s="22" t="str">
        <f>IFERROR(__xludf.DUMMYFUNCTION("""COMPUTED_VALUE"""),"DontShutSimulator")</f>
        <v>DontShutSimulator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</row>
    <row r="6" ht="15.75" customHeight="1">
      <c r="A6" s="6"/>
      <c r="B6" s="6"/>
      <c r="C6" s="6" t="b">
        <v>1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27</v>
      </c>
      <c r="D3" s="4" t="s">
        <v>9</v>
      </c>
      <c r="E3" s="11" t="s">
        <v>28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IFERROR(__xludf.DUMMYFUNCTION("""COMPUTED_VALUE"""),"DefaultSymbology")</f>
        <v>DefaultSymbology</v>
      </c>
      <c r="C5" s="22" t="str">
        <f>IFERROR(__xludf.DUMMYFUNCTION("""COMPUTED_VALUE"""),"DefaultOptionType")</f>
        <v>DefaultOptionType</v>
      </c>
      <c r="D5" s="22" t="str">
        <f>IFERROR(__xludf.DUMMYFUNCTION("""COMPUTED_VALUE"""),"DefaultNotes")</f>
        <v>DefaultNotes</v>
      </c>
      <c r="E5" s="22" t="str">
        <f>IFERROR(__xludf.DUMMYFUNCTION("""COMPUTED_VALUE"""),"DefaultBrokerNotes")</f>
        <v>DefaultBrokerNotes</v>
      </c>
      <c r="F5" s="22" t="str">
        <f>IFERROR(__xludf.DUMMYFUNCTION("""COMPUTED_VALUE"""),"KeepTradingTicketOpenAfterTrade")</f>
        <v>KeepTradingTicketOpenAfterTrade</v>
      </c>
      <c r="G5" s="22" t="str">
        <f>IFERROR(__xludf.DUMMYFUNCTION("""COMPUTED_VALUE"""),"ShowOptionDetails")</f>
        <v>ShowOptionDetails</v>
      </c>
      <c r="H5" s="22" t="str">
        <f>IFERROR(__xludf.DUMMYFUNCTION("""COMPUTED_VALUE"""),"Use Custodian Broker")</f>
        <v>Use Custodian Broker</v>
      </c>
      <c r="I5" s="22" t="str">
        <f>IFERROR(__xludf.DUMMYFUNCTION("""COMPUTED_VALUE"""),"Button_Status")</f>
        <v>Button_Status</v>
      </c>
      <c r="J5" s="22" t="str">
        <f>IFERROR(__xludf.DUMMYFUNCTION("""COMPUTED_VALUE"""),"ClearColumnValue")</f>
        <v>ClearColumnValue</v>
      </c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6"/>
      <c r="B6" s="6"/>
      <c r="C6" s="6"/>
      <c r="D6" s="6"/>
      <c r="E6" s="6"/>
      <c r="F6" s="6"/>
      <c r="G6" s="6"/>
      <c r="H6" s="6" t="b">
        <v>1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27</v>
      </c>
      <c r="D3" s="4" t="s">
        <v>9</v>
      </c>
      <c r="E3" s="11" t="s">
        <v>29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IFERROR(__xludf.DUMMYFUNCTION("""COMPUTED_VALUE"""),"Quantity")</f>
        <v>Quantity</v>
      </c>
      <c r="D5" s="22" t="str">
        <f>IFERROR(__xludf.DUMMYFUNCTION("""COMPUTED_VALUE"""),"Price")</f>
        <v>Price</v>
      </c>
      <c r="E5" s="22" t="str">
        <f>IFERROR(__xludf.DUMMYFUNCTION("""COMPUTED_VALUE"""),"Order type button")</f>
        <v>Order type button</v>
      </c>
      <c r="F5" s="22" t="str">
        <f>IFERROR(__xludf.DUMMYFUNCTION("""COMPUTED_VALUE"""),"SharesOutstandingPopUp")</f>
        <v>SharesOutstandingPopUp</v>
      </c>
      <c r="G5" s="22" t="str">
        <f>IFERROR(__xludf.DUMMYFUNCTION("""COMPUTED_VALUE"""),"TT_Open")</f>
        <v>TT_Open</v>
      </c>
      <c r="H5" s="22" t="str">
        <f>IFERROR(__xludf.DUMMYFUNCTION("""COMPUTED_VALUE"""),"SharesOutstandingPopUpQty")</f>
        <v>SharesOutstandingPopUpQty</v>
      </c>
      <c r="I5" s="22" t="str">
        <f>IFERROR(__xludf.DUMMYFUNCTION("""COMPUTED_VALUE"""),"AllocationMethod")</f>
        <v>AllocationMethod</v>
      </c>
      <c r="J5" s="22" t="str">
        <f>IFERROR(__xludf.DUMMYFUNCTION("""COMPUTED_VALUE"""),"Order Side")</f>
        <v>Order Side</v>
      </c>
      <c r="K5" s="22" t="str">
        <f>IFERROR(__xludf.DUMMYFUNCTION("""COMPUTED_VALUE"""),"DB_Check")</f>
        <v>DB_Check</v>
      </c>
      <c r="L5" s="22" t="str">
        <f>IFERROR(__xludf.DUMMYFUNCTION("""COMPUTED_VALUE"""),"CommissionBasis")</f>
        <v>CommissionBasis</v>
      </c>
      <c r="M5" s="22" t="str">
        <f>IFERROR(__xludf.DUMMYFUNCTION("""COMPUTED_VALUE"""),"CommissionRate")</f>
        <v>CommissionRate</v>
      </c>
      <c r="N5" s="22" t="str">
        <f>IFERROR(__xludf.DUMMYFUNCTION("""COMPUTED_VALUE"""),"SoftBasis")</f>
        <v>SoftBasis</v>
      </c>
      <c r="O5" s="22" t="str">
        <f>IFERROR(__xludf.DUMMYFUNCTION("""COMPUTED_VALUE"""),"SoftRate")</f>
        <v>SoftRate</v>
      </c>
      <c r="P5" s="22" t="str">
        <f>IFERROR(__xludf.DUMMYFUNCTION("""COMPUTED_VALUE"""),"Account")</f>
        <v>Account</v>
      </c>
      <c r="Q5" s="22" t="str">
        <f>IFERROR(__xludf.DUMMYFUNCTION("""COMPUTED_VALUE"""),"Account %")</f>
        <v>Account %</v>
      </c>
      <c r="R5" s="22" t="str">
        <f>IFERROR(__xludf.DUMMYFUNCTION("""COMPUTED_VALUE"""),"VerifySuggestions")</f>
        <v>VerifySuggestions</v>
      </c>
      <c r="S5" s="22" t="str">
        <f>IFERROR(__xludf.DUMMYFUNCTION("""COMPUTED_VALUE"""),"SymbolToPickFromSuggesstions")</f>
        <v>SymbolToPickFromSuggesstions</v>
      </c>
      <c r="T5" s="23" t="str">
        <f>IFERROR(__xludf.DUMMYFUNCTION("""COMPUTED_VALUE"""),"TypedSymbolAvailableOnSuggestion")</f>
        <v>TypedSymbolAvailableOnSuggestion</v>
      </c>
      <c r="U5" s="23" t="str">
        <f>IFERROR(__xludf.DUMMYFUNCTION("""COMPUTED_VALUE"""),"TIF")</f>
        <v>TIF</v>
      </c>
      <c r="V5" s="23" t="str">
        <f>IFERROR(__xludf.DUMMYFUNCTION("""COMPUTED_VALUE"""),"Order Type")</f>
        <v>Order Type</v>
      </c>
      <c r="W5" s="23" t="str">
        <f>IFERROR(__xludf.DUMMYFUNCTION("""COMPUTED_VALUE"""),"Stop")</f>
        <v>Stop</v>
      </c>
      <c r="X5" s="23" t="str">
        <f>IFERROR(__xludf.DUMMYFUNCTION("""COMPUTED_VALUE"""),"Limit")</f>
        <v>Limit</v>
      </c>
      <c r="Y5" s="23" t="str">
        <f>IFERROR(__xludf.DUMMYFUNCTION("""COMPUTED_VALUE"""),"Expiration Date")</f>
        <v>Expiration Date</v>
      </c>
      <c r="Z5" s="23" t="str">
        <f>IFERROR(__xludf.DUMMYFUNCTION("""COMPUTED_VALUE"""),"Trade Date")</f>
        <v>Trade Date</v>
      </c>
      <c r="AA5" s="23" t="str">
        <f>IFERROR(__xludf.DUMMYFUNCTION("""COMPUTED_VALUE"""),"Broker")</f>
        <v>Broker</v>
      </c>
      <c r="AB5" s="23" t="str">
        <f>IFERROR(__xludf.DUMMYFUNCTION("""COMPUTED_VALUE"""),"Padlock Visiblity")</f>
        <v>Padlock Visiblity</v>
      </c>
      <c r="AC5" s="23" t="str">
        <f>IFERROR(__xludf.DUMMYFUNCTION("""COMPUTED_VALUE"""),"Padlock Unlock")</f>
        <v>Padlock Unlock</v>
      </c>
      <c r="AD5" s="23" t="str">
        <f>IFERROR(__xludf.DUMMYFUNCTION("""COMPUTED_VALUE"""),"Venue")</f>
        <v>Venue</v>
      </c>
      <c r="AE5" s="23" t="str">
        <f>IFERROR(__xludf.DUMMYFUNCTION("""COMPUTED_VALUE"""),"Fx Rate")</f>
        <v>Fx Rate</v>
      </c>
      <c r="AF5" s="23" t="str">
        <f>IFERROR(__xludf.DUMMYFUNCTION("""COMPUTED_VALUE"""),"Fx Operator")</f>
        <v>Fx Operator</v>
      </c>
      <c r="AG5" s="23" t="str">
        <f>IFERROR(__xludf.DUMMYFUNCTION("""COMPUTED_VALUE"""),"PendingApprovalPopUp")</f>
        <v>PendingApprovalPopUp</v>
      </c>
      <c r="AH5" s="23" t="str">
        <f>IFERROR(__xludf.DUMMYFUNCTION("""COMPUTED_VALUE"""),"TradeBy")</f>
        <v>TradeBy</v>
      </c>
      <c r="AI5" s="23" t="str">
        <f>IFERROR(__xludf.DUMMYFUNCTION("""COMPUTED_VALUE"""),"BookAsSwap")</f>
        <v>BookAsSwap</v>
      </c>
      <c r="AJ5" s="23" t="str">
        <f>IFERROR(__xludf.DUMMYFUNCTION("""COMPUTED_VALUE"""),"RoundLot")</f>
        <v>RoundLot</v>
      </c>
      <c r="AK5" s="23" t="str">
        <f>IFERROR(__xludf.DUMMYFUNCTION("""COMPUTED_VALUE"""),"Increment")</f>
        <v>Increment</v>
      </c>
      <c r="AL5" s="23" t="str">
        <f>IFERROR(__xludf.DUMMYFUNCTION("""COMPUTED_VALUE"""),"Decrement")</f>
        <v>Decrement</v>
      </c>
      <c r="AM5" s="23" t="str">
        <f>IFERROR(__xludf.DUMMYFUNCTION("""COMPUTED_VALUE"""),"Trade Attribute 01")</f>
        <v>Trade Attribute 01</v>
      </c>
      <c r="AN5" s="23" t="str">
        <f>IFERROR(__xludf.DUMMYFUNCTION("""COMPUTED_VALUE"""),"Trade Attribute 02")</f>
        <v>Trade Attribute 02</v>
      </c>
      <c r="AO5" s="23" t="str">
        <f>IFERROR(__xludf.DUMMYFUNCTION("""COMPUTED_VALUE"""),"Trade Attribute 03")</f>
        <v>Trade Attribute 03</v>
      </c>
      <c r="AP5" s="23" t="str">
        <f>IFERROR(__xludf.DUMMYFUNCTION("""COMPUTED_VALUE"""),"Trade Attribute 04")</f>
        <v>Trade Attribute 04</v>
      </c>
      <c r="AQ5" s="23" t="str">
        <f>IFERROR(__xludf.DUMMYFUNCTION("""COMPUTED_VALUE"""),"Trade Attribute 05")</f>
        <v>Trade Attribute 05</v>
      </c>
      <c r="AR5" s="23" t="str">
        <f>IFERROR(__xludf.DUMMYFUNCTION("""COMPUTED_VALUE"""),"Trade Attribute 06")</f>
        <v>Trade Attribute 06</v>
      </c>
      <c r="AS5" s="23" t="str">
        <f>IFERROR(__xludf.DUMMYFUNCTION("""COMPUTED_VALUE"""),"Trade Attribute 01 suggestion")</f>
        <v>Trade Attribute 01 suggestion</v>
      </c>
      <c r="AT5" s="23" t="str">
        <f>IFERROR(__xludf.DUMMYFUNCTION("""COMPUTED_VALUE"""),"Trade Attribute 02 suggestion")</f>
        <v>Trade Attribute 02 suggestion</v>
      </c>
      <c r="AU5" s="23" t="str">
        <f>IFERROR(__xludf.DUMMYFUNCTION("""COMPUTED_VALUE"""),"Trade Attribute 03 suggestion")</f>
        <v>Trade Attribute 03 suggestion</v>
      </c>
      <c r="AV5" s="23" t="str">
        <f>IFERROR(__xludf.DUMMYFUNCTION("""COMPUTED_VALUE"""),"Trade Attribute 04 suggestion")</f>
        <v>Trade Attribute 04 suggestion</v>
      </c>
      <c r="AW5" s="23" t="str">
        <f>IFERROR(__xludf.DUMMYFUNCTION("""COMPUTED_VALUE"""),"Trade Attribute 05 suggestion")</f>
        <v>Trade Attribute 05 suggestion</v>
      </c>
      <c r="AX5" s="23" t="str">
        <f>IFERROR(__xludf.DUMMYFUNCTION("""COMPUTED_VALUE"""),"Trade Attribute 06 suggestion")</f>
        <v>Trade Attribute 06 suggestion</v>
      </c>
      <c r="AY5" s="23" t="str">
        <f>IFERROR(__xludf.DUMMYFUNCTION("""COMPUTED_VALUE"""),"Strategy")</f>
        <v>Strategy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6"/>
      <c r="B6" s="6" t="s">
        <v>30</v>
      </c>
      <c r="C6" s="6">
        <v>100.0</v>
      </c>
      <c r="D6" s="6">
        <v>2.0</v>
      </c>
      <c r="E6" s="6" t="s">
        <v>31</v>
      </c>
      <c r="F6" s="6"/>
      <c r="G6" s="6"/>
      <c r="H6" s="6"/>
      <c r="I6" s="6" t="s">
        <v>16</v>
      </c>
      <c r="J6" s="6" t="s">
        <v>32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33</v>
      </c>
      <c r="D3" s="4" t="s">
        <v>9</v>
      </c>
      <c r="E3" s="11" t="s">
        <v>34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 ht="15.75" customHeight="1">
      <c r="A4" s="19"/>
      <c r="B4" s="19" t="str">
        <f>IFERROR(__xludf.DUMMYFUNCTION("IF(C3="""","""",Transpose(IMPORTRANGE('_Settings'!$B$3,C3&amp;""!A4:A1000"")))"),"RestartClient")</f>
        <v>RestartClient</v>
      </c>
      <c r="C4" s="19" t="str">
        <f>IFERROR(__xludf.DUMMYFUNCTION("""COMPUTED_VALUE"""),"UpdateClientConfig")</f>
        <v>UpdateClientConfig</v>
      </c>
      <c r="D4" s="19" t="str">
        <f>IFERROR(__xludf.DUMMYFUNCTION("""COMPUTED_VALUE"""),"PranaClient")</f>
        <v>PranaClient</v>
      </c>
      <c r="E4" s="19" t="str">
        <f>IFERROR(__xludf.DUMMYFUNCTION("""COMPUTED_VALUE"""),"CompareXML")</f>
        <v>CompareXML</v>
      </c>
      <c r="F4" s="19" t="str">
        <f>IFERROR(__xludf.DUMMYFUNCTION("""COMPUTED_VALUE"""),"LoginClient")</f>
        <v>LoginClient</v>
      </c>
      <c r="G4" s="19" t="str">
        <f>IFERROR(__xludf.DUMMYFUNCTION("""COMPUTED_VALUE"""),"DbPicker")</f>
        <v>DbPicker</v>
      </c>
      <c r="H4" s="19" t="str">
        <f>IFERROR(__xludf.DUMMYFUNCTION("""COMPUTED_VALUE"""),"RunPortfolio")</f>
        <v>RunPortfolio</v>
      </c>
      <c r="I4" s="19" t="str">
        <f>IFERROR(__xludf.DUMMYFUNCTION("""COMPUTED_VALUE"""),"MoveFile")</f>
        <v>MoveFile</v>
      </c>
      <c r="J4" s="19" t="str">
        <f>IFERROR(__xludf.DUMMYFUNCTION("""COMPUTED_VALUE"""),"UpdateLiveExcelSheetForRTPNL")</f>
        <v>UpdateLiveExcelSheetForRTPNL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IFERROR(__xludf.DUMMYFUNCTION("""COMPUTED_VALUE"""),"LoginUserName")</f>
        <v>LoginUserName</v>
      </c>
      <c r="C5" s="22" t="str">
        <f>IFERROR(__xludf.DUMMYFUNCTION("""COMPUTED_VALUE"""),"LoginPassword")</f>
        <v>LoginPassword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</row>
    <row r="6" ht="15.75" customHeight="1">
      <c r="A6" s="6"/>
      <c r="B6" s="6" t="s">
        <v>35</v>
      </c>
      <c r="C6" s="6" t="s">
        <v>36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33</v>
      </c>
      <c r="D3" s="4" t="s">
        <v>9</v>
      </c>
      <c r="E3" s="11" t="s">
        <v>34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 ht="15.75" customHeight="1">
      <c r="A4" s="19"/>
      <c r="B4" s="19" t="str">
        <f>IFERROR(__xludf.DUMMYFUNCTION("IF(C3="""","""",Transpose(IMPORTRANGE('_Settings'!$B$3,C3&amp;""!A4:A1000"")))"),"RestartClient")</f>
        <v>RestartClient</v>
      </c>
      <c r="C4" s="19" t="str">
        <f>IFERROR(__xludf.DUMMYFUNCTION("""COMPUTED_VALUE"""),"UpdateClientConfig")</f>
        <v>UpdateClientConfig</v>
      </c>
      <c r="D4" s="19" t="str">
        <f>IFERROR(__xludf.DUMMYFUNCTION("""COMPUTED_VALUE"""),"PranaClient")</f>
        <v>PranaClient</v>
      </c>
      <c r="E4" s="19" t="str">
        <f>IFERROR(__xludf.DUMMYFUNCTION("""COMPUTED_VALUE"""),"CompareXML")</f>
        <v>CompareXML</v>
      </c>
      <c r="F4" s="19" t="str">
        <f>IFERROR(__xludf.DUMMYFUNCTION("""COMPUTED_VALUE"""),"LoginClient")</f>
        <v>LoginClient</v>
      </c>
      <c r="G4" s="19" t="str">
        <f>IFERROR(__xludf.DUMMYFUNCTION("""COMPUTED_VALUE"""),"DbPicker")</f>
        <v>DbPicker</v>
      </c>
      <c r="H4" s="19" t="str">
        <f>IFERROR(__xludf.DUMMYFUNCTION("""COMPUTED_VALUE"""),"RunPortfolio")</f>
        <v>RunPortfolio</v>
      </c>
      <c r="I4" s="19" t="str">
        <f>IFERROR(__xludf.DUMMYFUNCTION("""COMPUTED_VALUE"""),"MoveFile")</f>
        <v>MoveFile</v>
      </c>
      <c r="J4" s="19" t="str">
        <f>IFERROR(__xludf.DUMMYFUNCTION("""COMPUTED_VALUE"""),"UpdateLiveExcelSheetForRTPNL")</f>
        <v>UpdateLiveExcelSheetForRTPNL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IFERROR(__xludf.DUMMYFUNCTION("""COMPUTED_VALUE"""),"LoginUserName")</f>
        <v>LoginUserName</v>
      </c>
      <c r="C5" s="22" t="str">
        <f>IFERROR(__xludf.DUMMYFUNCTION("""COMPUTED_VALUE"""),"LoginPassword")</f>
        <v>LoginPassword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</row>
    <row r="6" ht="15.75" customHeight="1">
      <c r="A6" s="6"/>
      <c r="B6" s="28" t="s">
        <v>37</v>
      </c>
      <c r="C6" s="6" t="s">
        <v>36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5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38</v>
      </c>
      <c r="D3" s="4" t="s">
        <v>9</v>
      </c>
      <c r="E3" s="11" t="s">
        <v>39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 t="str">
        <f>IFERROR(__xludf.DUMMYFUNCTION("""COMPUTED_VALUE"""),"ManageHotButton")</f>
        <v>ManageHotButton</v>
      </c>
      <c r="DI4" s="20" t="str">
        <f>IFERROR(__xludf.DUMMYFUNCTION("""COMPUTED_VALUE"""),"EditTradeAttributesWindow")</f>
        <v>EditTradeAttributesWindow</v>
      </c>
      <c r="DJ4" s="20" t="str">
        <f>IFERROR(__xludf.DUMMYFUNCTION("""COMPUTED_VALUE"""),"EditTradeAttributesOrders")</f>
        <v>EditTradeAttributesOrders</v>
      </c>
      <c r="DK4" s="20" t="str">
        <f>IFERROR(__xludf.DUMMYFUNCTION("""COMPUTED_VALUE"""),"EditTradeAttributesWorkingSub")</f>
        <v>EditTradeAttributesWorkingSub</v>
      </c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IFERROR(__xludf.DUMMYFUNCTION("""COMPUTED_VALUE"""),"Current User")</f>
        <v>Current 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6")</f>
        <v>Trade Attribute 6</v>
      </c>
      <c r="N5" s="22" t="str">
        <f>IFERROR(__xludf.DUMMYFUNCTION("""COMPUTED_VALUE"""),"Trade Attribute 5")</f>
        <v>Trade Attribute 5</v>
      </c>
      <c r="O5" s="22" t="str">
        <f>IFERROR(__xludf.DUMMYFUNCTION("""COMPUTED_VALUE"""),"Trade Attribute 4")</f>
        <v>Trade Attribute 4</v>
      </c>
      <c r="P5" s="22" t="str">
        <f>IFERROR(__xludf.DUMMYFUNCTION("""COMPUTED_VALUE"""),"Trade Attribute 3")</f>
        <v>Trade Attribute 3</v>
      </c>
      <c r="Q5" s="22" t="str">
        <f>IFERROR(__xludf.DUMMYFUNCTION("""COMPUTED_VALUE"""),"Trade Attribute 1")</f>
        <v>Trade Attribute 1</v>
      </c>
      <c r="R5" s="22" t="str">
        <f>IFERROR(__xludf.DUMMYFUNCTION("""COMPUTED_VALUE"""),"Trade Attribute 2")</f>
        <v>Trade Attribute 2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Currency")</f>
        <v>Settlement Currency</v>
      </c>
      <c r="V5" s="23" t="str">
        <f>IFERROR(__xludf.DUMMYFUNCTION("""COMPUTED_VALUE"""),"Put/Call")</f>
        <v>Put/Call</v>
      </c>
      <c r="W5" s="23" t="str">
        <f>IFERROR(__xludf.DUMMYFUNCTION("""COMPUTED_VALUE"""),"Process Date")</f>
        <v>Process Date</v>
      </c>
      <c r="X5" s="23" t="str">
        <f>IFERROR(__xludf.DUMMYFUNCTION("""COMPUTED_VALUE"""),"Peg")</f>
        <v>Peg</v>
      </c>
      <c r="Y5" s="23" t="str">
        <f>IFERROR(__xludf.DUMMYFUNCTION("""COMPUTED_VALUE"""),"ParentClOrderID")</f>
        <v>ParentClOrderID</v>
      </c>
      <c r="Z5" s="23" t="str">
        <f>IFERROR(__xludf.DUMMYFUNCTION("""COMPUTED_VALUE"""),"OrderID")</f>
        <v>OrderID</v>
      </c>
      <c r="AA5" s="23" t="str">
        <f>IFERROR(__xludf.DUMMYFUNCTION("""COMPUTED_VALUE"""),"Master Fund")</f>
        <v>Master Fund</v>
      </c>
      <c r="AB5" s="23" t="str">
        <f>IFERROR(__xludf.DUMMYFUNCTION("""COMPUTED_VALUE"""),"Last Shares")</f>
        <v>Last Shares</v>
      </c>
      <c r="AC5" s="23" t="str">
        <f>IFERROR(__xludf.DUMMYFUNCTION("""COMPUTED_VALUE"""),"Internal Comments")</f>
        <v>Internal Comments</v>
      </c>
      <c r="AD5" s="23" t="str">
        <f>IFERROR(__xludf.DUMMYFUNCTION("""COMPUTED_VALUE"""),"FX Rate")</f>
        <v>FX Rate</v>
      </c>
      <c r="AE5" s="23" t="str">
        <f>IFERROR(__xludf.DUMMYFUNCTION("""COMPUTED_VALUE"""),"Imported File Name")</f>
        <v>Imported File Name</v>
      </c>
      <c r="AF5" s="23" t="str">
        <f>IFERROR(__xludf.DUMMYFUNCTION("""COMPUTED_VALUE"""),"FX Conversion Operator")</f>
        <v>FX Conversion Operator</v>
      </c>
      <c r="AG5" s="23" t="str">
        <f>IFERROR(__xludf.DUMMYFUNCTION("""COMPUTED_VALUE"""),"Day Average Price")</f>
        <v>Day Average Price</v>
      </c>
      <c r="AH5" s="23" t="str">
        <f>IFERROR(__xludf.DUMMYFUNCTION("""COMPUTED_VALUE"""),"Asset Class")</f>
        <v>Asset Class</v>
      </c>
      <c r="AI5" s="23" t="str">
        <f>IFERROR(__xludf.DUMMYFUNCTION("""COMPUTED_VALUE"""),"Symbol")</f>
        <v>Symbol</v>
      </c>
      <c r="AJ5" s="23" t="str">
        <f>IFERROR(__xludf.DUMMYFUNCTION("""COMPUTED_VALUE"""),"Side")</f>
        <v>Side</v>
      </c>
      <c r="AK5" s="23" t="str">
        <f>IFERROR(__xludf.DUMMYFUNCTION("""COMPUTED_VALUE"""),"Status")</f>
        <v>Status</v>
      </c>
      <c r="AL5" s="23" t="str">
        <f>IFERROR(__xludf.DUMMYFUNCTION("""COMPUTED_VALUE"""),"Target Qty")</f>
        <v>Target Qty</v>
      </c>
      <c r="AM5" s="23" t="str">
        <f>IFERROR(__xludf.DUMMYFUNCTION("""COMPUTED_VALUE"""),"Total Executed Qty")</f>
        <v>Total Executed Qty</v>
      </c>
      <c r="AN5" s="23" t="str">
        <f>IFERROR(__xludf.DUMMYFUNCTION("""COMPUTED_VALUE"""),"% Executed")</f>
        <v>% Executed</v>
      </c>
      <c r="AO5" s="23" t="str">
        <f>IFERROR(__xludf.DUMMYFUNCTION("""COMPUTED_VALUE"""),"Day Executed Qty")</f>
        <v>Day Executed Qty</v>
      </c>
      <c r="AP5" s="23" t="str">
        <f>IFERROR(__xludf.DUMMYFUNCTION("""COMPUTED_VALUE"""),"Uncommitted Qty")</f>
        <v>Uncommitted Qty</v>
      </c>
      <c r="AQ5" s="23" t="str">
        <f>IFERROR(__xludf.DUMMYFUNCTION("""COMPUTED_VALUE"""),"Last Fill Price (Local)")</f>
        <v>Last Fill Price (Local)</v>
      </c>
      <c r="AR5" s="23" t="str">
        <f>IFERROR(__xludf.DUMMYFUNCTION("""COMPUTED_VALUE"""),"Avg Fill Price (Local)")</f>
        <v>Avg Fill Price (Local)</v>
      </c>
      <c r="AS5" s="23" t="str">
        <f>IFERROR(__xludf.DUMMYFUNCTION("""COMPUTED_VALUE"""),"Broker")</f>
        <v>Broker</v>
      </c>
      <c r="AT5" s="23" t="str">
        <f>IFERROR(__xludf.DUMMYFUNCTION("""COMPUTED_VALUE"""),"Account")</f>
        <v>Account</v>
      </c>
      <c r="AU5" s="23" t="str">
        <f>IFERROR(__xludf.DUMMYFUNCTION("""COMPUTED_VALUE"""),"Order Type")</f>
        <v>Order Type</v>
      </c>
      <c r="AV5" s="23" t="str">
        <f>IFERROR(__xludf.DUMMYFUNCTION("""COMPUTED_VALUE"""),"Principal Amount (Local)")</f>
        <v>Principal Amount (Local)</v>
      </c>
      <c r="AW5" s="23" t="str">
        <f>IFERROR(__xludf.DUMMYFUNCTION("""COMPUTED_VALUE"""),"Principal Amount (Base)")</f>
        <v>Principal Amount (Base)</v>
      </c>
      <c r="AX5" s="23" t="str">
        <f>IFERROR(__xludf.DUMMYFUNCTION("""COMPUTED_VALUE"""),"Allocation Scheme Name")</f>
        <v>Allocation Scheme Name</v>
      </c>
      <c r="AY5" s="23" t="str">
        <f>IFERROR(__xludf.DUMMYFUNCTION("""COMPUTED_VALUE"""),"Start of Day Qty")</f>
        <v>Start of Day Qty</v>
      </c>
      <c r="AZ5" s="23" t="str">
        <f>IFERROR(__xludf.DUMMYFUNCTION("""COMPUTED_VALUE"""),"Leaves")</f>
        <v>Leaves</v>
      </c>
      <c r="BA5" s="23" t="str">
        <f>IFERROR(__xludf.DUMMYFUNCTION("""COMPUTED_VALUE"""),"Actual User")</f>
        <v>Actual User</v>
      </c>
      <c r="BB5" s="23" t="str">
        <f>IFERROR(__xludf.DUMMYFUNCTION("""COMPUTED_VALUE"""),"Testing Type")</f>
        <v>Testing Type</v>
      </c>
      <c r="BC5" s="23" t="str">
        <f>IFERROR(__xludf.DUMMYFUNCTION("""COMPUTED_VALUE"""),"Testing Column")</f>
        <v>Testing Column</v>
      </c>
      <c r="BD5" s="23" t="str">
        <f>IFERROR(__xludf.DUMMYFUNCTION("""COMPUTED_VALUE"""),"Testing Col Value")</f>
        <v>Testing Col Value</v>
      </c>
      <c r="BE5" s="23" t="str">
        <f>IFERROR(__xludf.DUMMYFUNCTION("""COMPUTED_VALUE"""),"DuplicateRow")</f>
        <v>DuplicateRow</v>
      </c>
      <c r="BF5" s="23" t="str">
        <f>IFERROR(__xludf.DUMMYFUNCTION("""COMPUTED_VALUE"""),"DuplicateCountOnUI")</f>
        <v>DuplicateCountOnUI</v>
      </c>
      <c r="BG5" s="23" t="str">
        <f>IFERROR(__xludf.DUMMYFUNCTION("""COMPUTED_VALUE"""),"Transaction Source")</f>
        <v>Transaction Source</v>
      </c>
      <c r="BH5" s="23" t="str">
        <f>IFERROR(__xludf.DUMMYFUNCTION("""COMPUTED_VALUE"""),"TIF")</f>
        <v>TIF</v>
      </c>
      <c r="BI5" s="23" t="str">
        <f>IFERROR(__xludf.DUMMYFUNCTION("""COMPUTED_VALUE"""),"ACTIV Symbol")</f>
        <v>ACTIV Symbol</v>
      </c>
      <c r="BJ5" s="23" t="str">
        <f>IFERROR(__xludf.DUMMYFUNCTION("""COMPUTED_VALUE"""),"FactSet Symbol")</f>
        <v>FactSet Symbol</v>
      </c>
      <c r="BK5" s="23" t="str">
        <f>IFERROR(__xludf.DUMMYFUNCTION("""COMPUTED_VALUE"""),"MandatoryColumn")</f>
        <v>MandatoryColumn</v>
      </c>
      <c r="BL5" s="23" t="str">
        <f>IFERROR(__xludf.DUMMYFUNCTION("""COMPUTED_VALUE"""),"Rebalancer File Name")</f>
        <v>Rebalancer File Name</v>
      </c>
      <c r="BM5" s="23" t="str">
        <f>IFERROR(__xludf.DUMMYFUNCTION("""COMPUTED_VALUE"""),"Borrower ID")</f>
        <v>Borrower ID</v>
      </c>
      <c r="BN5" s="23" t="str">
        <f>IFERROR(__xludf.DUMMYFUNCTION("""COMPUTED_VALUE"""),"Borrow Rate(%)")</f>
        <v>Borrow Rate(%)</v>
      </c>
      <c r="BO5" s="23" t="str">
        <f>IFERROR(__xludf.DUMMYFUNCTION("""COMPUTED_VALUE"""),"Borrow Broker")</f>
        <v>Borrow Broker</v>
      </c>
      <c r="BP5" s="23" t="str">
        <f>IFERROR(__xludf.DUMMYFUNCTION("""COMPUTED_VALUE"""),"Expiry Date")</f>
        <v>Expiry Date</v>
      </c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</row>
    <row r="6" ht="15.75" customHeight="1">
      <c r="A6" s="6"/>
      <c r="B6" s="6"/>
      <c r="C6" s="6"/>
      <c r="D6" s="6"/>
      <c r="E6" s="6"/>
      <c r="F6" s="6"/>
      <c r="G6" s="28"/>
      <c r="H6" s="28" t="s">
        <v>40</v>
      </c>
      <c r="I6" s="6"/>
      <c r="J6" s="6"/>
      <c r="K6" s="6"/>
      <c r="L6" s="6"/>
      <c r="M6" s="6"/>
      <c r="N6" s="6"/>
      <c r="O6" s="6"/>
      <c r="AH6" s="8" t="s">
        <v>41</v>
      </c>
      <c r="AI6" s="8" t="s">
        <v>30</v>
      </c>
      <c r="AJ6" s="8" t="s">
        <v>32</v>
      </c>
      <c r="AK6" s="8" t="s">
        <v>42</v>
      </c>
      <c r="AS6" s="8" t="s">
        <v>17</v>
      </c>
      <c r="AT6" s="8" t="s">
        <v>16</v>
      </c>
      <c r="BA6" s="8" t="s">
        <v>43</v>
      </c>
      <c r="BG6" s="8" t="s">
        <v>27</v>
      </c>
      <c r="BH6" s="8" t="s">
        <v>44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45</v>
      </c>
      <c r="D3" s="4" t="s">
        <v>9</v>
      </c>
      <c r="E3" s="11" t="s">
        <v>46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IFERROR(__xludf.DUMMYFUNCTION("""COMPUTED_VALUE"""),"OpenWindow")</f>
        <v>OpenWindow</v>
      </c>
      <c r="C5" s="22" t="str">
        <f>IFERROR(__xludf.DUMMYFUNCTION("""COMPUTED_VALUE"""),"TabName")</f>
        <v>TabName</v>
      </c>
      <c r="D5" s="22" t="str">
        <f>IFERROR(__xludf.DUMMYFUNCTION("""COMPUTED_VALUE"""),"Description")</f>
        <v>Description</v>
      </c>
      <c r="E5" s="22" t="str">
        <f>IFERROR(__xludf.DUMMYFUNCTION("""COMPUTED_VALUE"""),"Save?")</f>
        <v>Save?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6"/>
      <c r="B6" s="6" t="s">
        <v>47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5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25</v>
      </c>
      <c r="D3" s="4" t="s">
        <v>9</v>
      </c>
      <c r="E3" s="11" t="s">
        <v>48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</row>
    <row r="4" ht="15.75" customHeight="1">
      <c r="A4" s="19"/>
      <c r="B4" s="19" t="str">
        <f>IFERROR(__xludf.DUMMYFUNCTION("IF(C3="""","""",Transpose(IMPORTRANGE('_Settings'!$B$3,C3&amp;""!A4:A1000"")))"),"CheckCompliance")</f>
        <v>CheckCompliance</v>
      </c>
      <c r="C4" s="19" t="str">
        <f>IFERROR(__xludf.DUMMYFUNCTION("""COMPUTED_VALUE"""),"VerifyAccountDivisorWindow")</f>
        <v>VerifyAccountDivisorWindow</v>
      </c>
      <c r="D4" s="19" t="str">
        <f>IFERROR(__xludf.DUMMYFUNCTION("""COMPUTED_VALUE"""),"VerifyAccountSymbolDivisorWindow")</f>
        <v>VerifyAccountSymbolDivisorWindow</v>
      </c>
      <c r="E4" s="19" t="str">
        <f>IFERROR(__xludf.DUMMYFUNCTION("""COMPUTED_VALUE"""),"VerifyAggregationAccountSymbolWithNav")</f>
        <v>VerifyAggregationAccountSymbolWithNav</v>
      </c>
      <c r="F4" s="19" t="str">
        <f>IFERROR(__xludf.DUMMYFUNCTION("""COMPUTED_VALUE"""),"VerifyAggregationAccountWithNav")</f>
        <v>VerifyAggregationAccountWithNav</v>
      </c>
      <c r="G4" s="19" t="str">
        <f>IFERROR(__xludf.DUMMYFUNCTION("""COMPUTED_VALUE"""),"VerifyAggregationMasterFundSymbolWithNav")</f>
        <v>VerifyAggregationMasterFundSymbolWithNav</v>
      </c>
      <c r="H4" s="19" t="str">
        <f>IFERROR(__xludf.DUMMYFUNCTION("""COMPUTED_VALUE"""),"VerifyAggregationMasterFundUnderlyingSymbolWithNav")</f>
        <v>VerifyAggregationMasterFundUnderlyingSymbolWithNav</v>
      </c>
      <c r="I4" s="19" t="str">
        <f>IFERROR(__xludf.DUMMYFUNCTION("""COMPUTED_VALUE"""),"VerifyAggregationMasterFundWithNav")</f>
        <v>VerifyAggregationMasterFundWithNav</v>
      </c>
      <c r="J4" s="19" t="str">
        <f>IFERROR(__xludf.DUMMYFUNCTION("""COMPUTED_VALUE"""),"VerifyAggregationSectorWithNav")</f>
        <v>VerifyAggregationSectorWithNav</v>
      </c>
      <c r="K4" s="19" t="str">
        <f>IFERROR(__xludf.DUMMYFUNCTION("""COMPUTED_VALUE"""),"VerifyAggregationUnderlyingSymbolWithNav")</f>
        <v>VerifyAggregationUnderlyingSymbolWithNav</v>
      </c>
      <c r="L4" s="19" t="str">
        <f>IFERROR(__xludf.DUMMYFUNCTION("""COMPUTED_VALUE"""),"VerifyAuecWindow")</f>
        <v>VerifyAuecWindow</v>
      </c>
      <c r="M4" s="19" t="str">
        <f>IFERROR(__xludf.DUMMYFUNCTION("""COMPUTED_VALUE"""),"VerifyBetaWindow")</f>
        <v>VerifyBetaWindow</v>
      </c>
      <c r="N4" s="19" t="str">
        <f>IFERROR(__xludf.DUMMYFUNCTION("""COMPUTED_VALUE"""),"VerifyCustomSymbolDataWindow")</f>
        <v>VerifyCustomSymbolDataWindow</v>
      </c>
      <c r="O4" s="19" t="str">
        <f>IFERROR(__xludf.DUMMYFUNCTION("""COMPUTED_VALUE"""),"VerifyDayEndCashAccountWindow")</f>
        <v>VerifyDayEndCashAccountWindow</v>
      </c>
      <c r="P4" s="20" t="str">
        <f>IFERROR(__xludf.DUMMYFUNCTION("""COMPUTED_VALUE"""),"VerifyDbNavWindow")</f>
        <v>VerifyDbNavWindow</v>
      </c>
      <c r="Q4" s="20" t="str">
        <f>IFERROR(__xludf.DUMMYFUNCTION("""COMPUTED_VALUE"""),"VerifyGlobalDivisorWindow")</f>
        <v>VerifyGlobalDivisorWindow</v>
      </c>
      <c r="R4" s="20" t="str">
        <f>IFERROR(__xludf.DUMMYFUNCTION("""COMPUTED_VALUE"""),"VerifyPmCalculationPreferenceWindow")</f>
        <v>VerifyPmCalculationPreferenceWindow</v>
      </c>
      <c r="S4" s="20" t="str">
        <f>IFERROR(__xludf.DUMMYFUNCTION("""COMPUTED_VALUE"""),"VerifyRowCalculationBaseWindow")</f>
        <v>VerifyRowCalculationBaseWindow</v>
      </c>
      <c r="T4" s="20" t="str">
        <f>IFERROR(__xludf.DUMMYFUNCTION("""COMPUTED_VALUE"""),"VerifySecurityWindow")</f>
        <v>VerifySecurityWindow</v>
      </c>
      <c r="U4" s="20" t="str">
        <f>IFERROR(__xludf.DUMMYFUNCTION("""COMPUTED_VALUE"""),"VerifySymbolDataWindow")</f>
        <v>VerifySymbolDataWindow</v>
      </c>
      <c r="V4" s="20" t="str">
        <f>IFERROR(__xludf.DUMMYFUNCTION("""COMPUTED_VALUE"""),"VerifySymbolDivisorWindow")</f>
        <v>VerifySymbolDivisorWindow</v>
      </c>
      <c r="W4" s="20" t="str">
        <f>IFERROR(__xludf.DUMMYFUNCTION("""COMPUTED_VALUE"""),"VerifyTaxlotWindow")</f>
        <v>VerifyTaxlotWindow</v>
      </c>
      <c r="X4" s="20" t="str">
        <f>IFERROR(__xludf.DUMMYFUNCTION("""COMPUTED_VALUE"""),"RestartEsper")</f>
        <v>RestartEsper</v>
      </c>
      <c r="Y4" s="20" t="str">
        <f>IFERROR(__xludf.DUMMYFUNCTION("""COMPUTED_VALUE"""),"VerifyAccountNavPreferenceWindow")</f>
        <v>VerifyAccountNavPreferenceWindow</v>
      </c>
      <c r="Z4" s="20" t="str">
        <f>IFERROR(__xludf.DUMMYFUNCTION("""COMPUTED_VALUE"""),"VerifyAggregationAccountUnderlyingSymbolWithNav")</f>
        <v>VerifyAggregationAccountUnderlyingSymbolWithNav</v>
      </c>
      <c r="AA4" s="20" t="str">
        <f>IFERROR(__xludf.DUMMYFUNCTION("""COMPUTED_VALUE"""),"VerifyAggregationAssetWithNav")</f>
        <v>VerifyAggregationAssetWithNav</v>
      </c>
      <c r="AB4" s="20" t="str">
        <f>IFERROR(__xludf.DUMMYFUNCTION("""COMPUTED_VALUE"""),"VerifyAggregationSymbolWithNav")</f>
        <v>VerifyAggregationSymbolWithNav</v>
      </c>
      <c r="AC4" s="20" t="str">
        <f>IFERROR(__xludf.DUMMYFUNCTION("""COMPUTED_VALUE"""),"VerifyAggregationSubSectorWithNav")</f>
        <v>VerifyAggregationSubSectorWithNav</v>
      </c>
      <c r="AD4" s="20" t="str">
        <f>IFERROR(__xludf.DUMMYFUNCTION("""COMPUTED_VALUE"""),"VerifyAggregationGlobalWithNav")</f>
        <v>VerifyAggregationGlobalWithNav</v>
      </c>
      <c r="AE4" s="20" t="str">
        <f>IFERROR(__xludf.DUMMYFUNCTION("""COMPUTED_VALUE"""),"VerifyAggregationGlobalWithNav")</f>
        <v>VerifyAggregationGlobalWithNav</v>
      </c>
      <c r="AF4" s="20" t="str">
        <f>IFERROR(__xludf.DUMMYFUNCTION("""COMPUTED_VALUE"""),"VerifyGlobalDivisorWindow")</f>
        <v>VerifyGlobalDivisorWindow</v>
      </c>
      <c r="AG4" s="20" t="str">
        <f>IFERROR(__xludf.DUMMYFUNCTION("""COMPUTED_VALUE"""),"VerifyAccrualForAccountWindow")</f>
        <v>VerifyAccrualForAccountWindow</v>
      </c>
      <c r="AH4" s="20" t="str">
        <f>IFERROR(__xludf.DUMMYFUNCTION("""COMPUTED_VALUE"""),"VerifyGlobalDivisorWindow")</f>
        <v>VerifyGlobalDivisorWindow</v>
      </c>
      <c r="AI4" s="20" t="str">
        <f>IFERROR(__xludf.DUMMYFUNCTION("""COMPUTED_VALUE"""),"VerifyMasterFundDivisorWindow")</f>
        <v>VerifyMasterFundDivisorWindow</v>
      </c>
      <c r="AJ4" s="20" t="str">
        <f>IFERROR(__xludf.DUMMYFUNCTION("""COMPUTED_VALUE"""),"VerifyMasterFundSymbolDivisorWindow")</f>
        <v>VerifyMasterFundSymbolDivisorWindow</v>
      </c>
      <c r="AK4" s="20" t="str">
        <f>IFERROR(__xludf.DUMMYFUNCTION("""COMPUTED_VALUE"""),"RestartRuleMediator")</f>
        <v>RestartRuleMediator</v>
      </c>
      <c r="AL4" s="20" t="str">
        <f>IFERROR(__xludf.DUMMYFUNCTION("""COMPUTED_VALUE"""),"VerifyAggAccountSymbolWithNav")</f>
        <v>VerifyAggAccountSymbolWithNav</v>
      </c>
      <c r="AM4" s="20" t="str">
        <f>IFERROR(__xludf.DUMMYFUNCTION("""COMPUTED_VALUE"""),"ApproveorRejectpendingapproval")</f>
        <v>ApproveorRejectpendingapproval</v>
      </c>
      <c r="AN4" s="20" t="str">
        <f>IFERROR(__xludf.DUMMYFUNCTION("""COMPUTED_VALUE"""),"VerifyAlertHistory")</f>
        <v>VerifyAlertHistory</v>
      </c>
      <c r="AO4" s="20" t="str">
        <f>IFERROR(__xludf.DUMMYFUNCTION("""COMPUTED_VALUE"""),"EditInterceptorFile")</f>
        <v>EditInterceptorFile</v>
      </c>
      <c r="AP4" s="20" t="str">
        <f>IFERROR(__xludf.DUMMYFUNCTION("""COMPUTED_VALUE"""),"ReplaceInterceptorFile")</f>
        <v>ReplaceInterceptorFile</v>
      </c>
      <c r="AQ4" s="20" t="str">
        <f>IFERROR(__xludf.DUMMYFUNCTION("""COMPUTED_VALUE"""),"RestartReleasesAndServices")</f>
        <v>RestartReleasesAndServices</v>
      </c>
      <c r="AR4" s="20" t="str">
        <f>IFERROR(__xludf.DUMMYFUNCTION("""COMPUTED_VALUE"""),"GetEmail")</f>
        <v>GetEmail</v>
      </c>
      <c r="AS4" s="20" t="str">
        <f>IFERROR(__xludf.DUMMYFUNCTION("""COMPUTED_VALUE"""),"EnableDisableRule")</f>
        <v>EnableDisableRule</v>
      </c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IFERROR(__xludf.DUMMYFUNCTION("""COMPUTED_VALUE"""),"Trade Date")</f>
        <v>Trade Date</v>
      </c>
      <c r="C5" s="22" t="str">
        <f>IFERROR(__xludf.DUMMYFUNCTION("""COMPUTED_VALUE"""),"Symbols")</f>
        <v>Symbols</v>
      </c>
      <c r="D5" s="22" t="str">
        <f>IFERROR(__xludf.DUMMYFUNCTION("""COMPUTED_VALUE"""),"Trade Origination")</f>
        <v>Trade Origination</v>
      </c>
      <c r="E5" s="22" t="str">
        <f>IFERROR(__xludf.DUMMYFUNCTION("""COMPUTED_VALUE"""),"Trader")</f>
        <v>Trader</v>
      </c>
      <c r="F5" s="22" t="str">
        <f>IFERROR(__xludf.DUMMYFUNCTION("""COMPUTED_VALUE"""),"Trade Details")</f>
        <v>Trade Details</v>
      </c>
      <c r="G5" s="22" t="str">
        <f>IFERROR(__xludf.DUMMYFUNCTION("""COMPUTED_VALUE"""),"Trade Notes")</f>
        <v>Trade Notes</v>
      </c>
      <c r="H5" s="22" t="str">
        <f>IFERROR(__xludf.DUMMYFUNCTION("""COMPUTED_VALUE"""),"Compliance Officer Notes")</f>
        <v>Compliance Officer Notes</v>
      </c>
      <c r="I5" s="22" t="str">
        <f>IFERROR(__xludf.DUMMYFUNCTION("""COMPUTED_VALUE"""),"User Name")</f>
        <v>User Name</v>
      </c>
      <c r="J5" s="22" t="str">
        <f>IFERROR(__xludf.DUMMYFUNCTION("""COMPUTED_VALUE"""),"Trade Price")</f>
        <v>Trade Price</v>
      </c>
      <c r="K5" s="22" t="str">
        <f>IFERROR(__xludf.DUMMYFUNCTION("""COMPUTED_VALUE"""),"Basket Name")</f>
        <v>Basket Name</v>
      </c>
      <c r="L5" s="22" t="str">
        <f>IFERROR(__xludf.DUMMYFUNCTION("""COMPUTED_VALUE"""),"Quantity")</f>
        <v>Quantity</v>
      </c>
      <c r="M5" s="22" t="str">
        <f>IFERROR(__xludf.DUMMYFUNCTION("""COMPUTED_VALUE"""),"Broker")</f>
        <v>Broker</v>
      </c>
      <c r="N5" s="22" t="str">
        <f>IFERROR(__xludf.DUMMYFUNCTION("""COMPUTED_VALUE"""),"Status")</f>
        <v>Status</v>
      </c>
      <c r="O5" s="22" t="str">
        <f>IFERROR(__xludf.DUMMYFUNCTION("""COMPUTED_VALUE"""),"Order Side")</f>
        <v>Order Side</v>
      </c>
      <c r="P5" s="22" t="str">
        <f>IFERROR(__xludf.DUMMYFUNCTION("""COMPUTED_VALUE"""),"ApproveorRejectAll")</f>
        <v>ApproveorRejectAll</v>
      </c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</row>
    <row r="6" ht="15.75" customHeight="1">
      <c r="A6" s="6"/>
      <c r="B6" s="6"/>
      <c r="C6" s="6" t="s">
        <v>30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 t="s">
        <v>32</v>
      </c>
      <c r="P6" s="8" t="s">
        <v>49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45</v>
      </c>
      <c r="D3" s="4" t="s">
        <v>9</v>
      </c>
      <c r="E3" s="11" t="s">
        <v>50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IFERROR(__xludf.DUMMYFUNCTION("""COMPUTED_VALUE"""),"Account")</f>
        <v>Account</v>
      </c>
      <c r="C5" s="22" t="str">
        <f>IFERROR(__xludf.DUMMYFUNCTION("""COMPUTED_VALUE"""),"Fund")</f>
        <v>Fund</v>
      </c>
      <c r="D5" s="22" t="str">
        <f>IFERROR(__xludf.DUMMYFUNCTION("""COMPUTED_VALUE"""),"Market Value")</f>
        <v>Market Value</v>
      </c>
      <c r="E5" s="22" t="str">
        <f>IFERROR(__xludf.DUMMYFUNCTION("""COMPUTED_VALUE"""),"P&amp;L")</f>
        <v>P&amp;L</v>
      </c>
      <c r="F5" s="22" t="str">
        <f>IFERROR(__xludf.DUMMYFUNCTION("""COMPUTED_VALUE"""),"Day P&amp;L")</f>
        <v>Day P&amp;L</v>
      </c>
      <c r="G5" s="22" t="str">
        <f>IFERROR(__xludf.DUMMYFUNCTION("""COMPUTED_VALUE"""),"Exposure")</f>
        <v>Exposure</v>
      </c>
      <c r="H5" s="22" t="str">
        <f>IFERROR(__xludf.DUMMYFUNCTION("""COMPUTED_VALUE"""),"% Gain/Loss Day")</f>
        <v>% Gain/Loss Day</v>
      </c>
      <c r="I5" s="22" t="str">
        <f>IFERROR(__xludf.DUMMYFUNCTION("""COMPUTED_VALUE"""),"% Gain/Loss Cost")</f>
        <v>% Gain/Loss Cost</v>
      </c>
      <c r="J5" s="22" t="str">
        <f>IFERROR(__xludf.DUMMYFUNCTION("""COMPUTED_VALUE"""),"% Market Value")</f>
        <v>% Market Value</v>
      </c>
      <c r="K5" s="22" t="str">
        <f>IFERROR(__xludf.DUMMYFUNCTION("""COMPUTED_VALUE"""),"% Exposure")</f>
        <v>% Exposure</v>
      </c>
      <c r="L5" s="22" t="str">
        <f>IFERROR(__xludf.DUMMYFUNCTION("""COMPUTED_VALUE"""),"Short Exposure")</f>
        <v>Short Exposure</v>
      </c>
      <c r="M5" s="22" t="str">
        <f>IFERROR(__xludf.DUMMYFUNCTION("""COMPUTED_VALUE"""),"% Short Exposure")</f>
        <v>% Short Exposure</v>
      </c>
      <c r="N5" s="22" t="str">
        <f>IFERROR(__xludf.DUMMYFUNCTION("""COMPUTED_VALUE"""),"Long Exposure")</f>
        <v>Long Exposure</v>
      </c>
      <c r="O5" s="22" t="str">
        <f>IFERROR(__xludf.DUMMYFUNCTION("""COMPUTED_VALUE"""),"% Long Exposure")</f>
        <v>% Long Exposure</v>
      </c>
      <c r="P5" s="22" t="str">
        <f>IFERROR(__xludf.DUMMYFUNCTION("""COMPUTED_VALUE"""),"Accruals")</f>
        <v>Accruals</v>
      </c>
      <c r="Q5" s="22" t="str">
        <f>IFERROR(__xludf.DUMMYFUNCTION("""COMPUTED_VALUE"""),"Cash")</f>
        <v>Cash</v>
      </c>
      <c r="R5" s="22" t="str">
        <f>IFERROR(__xludf.DUMMYFUNCTION("""COMPUTED_VALUE"""),"NAV")</f>
        <v>NAV</v>
      </c>
      <c r="S5" s="22" t="str">
        <f>IFERROR(__xludf.DUMMYFUNCTION("""COMPUTED_VALUE"""),"Testing Type")</f>
        <v>Testing Type</v>
      </c>
      <c r="T5" s="23" t="str">
        <f>IFERROR(__xludf.DUMMYFUNCTION("""COMPUTED_VALUE"""),"Testing Column")</f>
        <v>Testing Column</v>
      </c>
      <c r="U5" s="23" t="str">
        <f>IFERROR(__xludf.DUMMYFUNCTION("""COMPUTED_VALUE"""),"Testing Col Value")</f>
        <v>Testing Col Value</v>
      </c>
      <c r="V5" s="23" t="str">
        <f>IFERROR(__xludf.DUMMYFUNCTION("""COMPUTED_VALUE"""),"DuplicateCountOnUI")</f>
        <v>DuplicateCountOnUI</v>
      </c>
      <c r="W5" s="23" t="str">
        <f>IFERROR(__xludf.DUMMYFUNCTION("""COMPUTED_VALUE"""),"DuplicateRow")</f>
        <v>DuplicateRow</v>
      </c>
      <c r="X5" s="23" t="str">
        <f>IFERROR(__xludf.DUMMYFUNCTION("""COMPUTED_VALUE"""),"TabName")</f>
        <v>TabName</v>
      </c>
      <c r="Y5" s="23" t="str">
        <f>IFERROR(__xludf.DUMMYFUNCTION("""COMPUTED_VALUE"""),"GridDataWidgetName")</f>
        <v>GridDataWidgetName</v>
      </c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6"/>
      <c r="B6" s="6" t="s">
        <v>16</v>
      </c>
      <c r="C6" s="6" t="s">
        <v>51</v>
      </c>
      <c r="D6" s="6"/>
      <c r="E6" s="6"/>
      <c r="F6" s="6"/>
      <c r="G6" s="28">
        <v>0.0</v>
      </c>
      <c r="H6" s="6"/>
      <c r="I6" s="6"/>
      <c r="J6" s="6"/>
      <c r="K6" s="28">
        <v>0.0</v>
      </c>
      <c r="L6" s="6"/>
      <c r="M6" s="6"/>
      <c r="N6" s="6"/>
      <c r="O6" s="6"/>
      <c r="Q6" s="29">
        <v>100000.0</v>
      </c>
      <c r="R6" s="29">
        <v>100000.0</v>
      </c>
    </row>
    <row r="7" ht="15.75" customHeight="1">
      <c r="A7" s="6"/>
      <c r="B7" s="6" t="s">
        <v>18</v>
      </c>
      <c r="C7" s="28" t="s">
        <v>52</v>
      </c>
      <c r="D7" s="6"/>
      <c r="E7" s="6"/>
      <c r="F7" s="6"/>
      <c r="G7" s="28">
        <v>0.0</v>
      </c>
      <c r="H7" s="6"/>
      <c r="I7" s="6"/>
      <c r="J7" s="6"/>
      <c r="K7" s="28">
        <v>0.0</v>
      </c>
      <c r="L7" s="6"/>
      <c r="M7" s="6"/>
      <c r="N7" s="6"/>
      <c r="O7" s="6"/>
      <c r="Q7" s="29">
        <v>100000.0</v>
      </c>
      <c r="R7" s="29">
        <v>100000.0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CheckAccountLevelAggregation!$4:$4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53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</row>
    <row r="4" ht="15.75" customHeight="1">
      <c r="A4" s="19"/>
      <c r="B4" s="19" t="str">
        <f>IFERROR(__xludf.DUMMYFUNCTION("IF(C3="""","""",Transpose(IMPORTRANGE('_Settings'!$B$3,C3&amp;""!A4:A1000"")))"),"SetTTUIPreferences")</f>
        <v>SetTTUIPreferences</v>
      </c>
      <c r="C4" s="19" t="str">
        <f>IFERROR(__xludf.DUMMYFUNCTION("""COMPUTED_VALUE"""),"TTPermissionLevel")</f>
        <v>TTPermissionLevel</v>
      </c>
      <c r="D4" s="19" t="str">
        <f>IFERROR(__xludf.DUMMYFUNCTION("""COMPUTED_VALUE"""),"SetCheckSide")</f>
        <v>SetCheckSide</v>
      </c>
      <c r="E4" s="19" t="str">
        <f>IFERROR(__xludf.DUMMYFUNCTION("""COMPUTED_VALUE"""),"SetRollover")</f>
        <v>SetRollover</v>
      </c>
      <c r="F4" s="19" t="str">
        <f>IFERROR(__xludf.DUMMYFUNCTION("""COMPUTED_VALUE"""),"SetActive")</f>
        <v>SetActive</v>
      </c>
      <c r="G4" s="19" t="str">
        <f>IFERROR(__xludf.DUMMYFUNCTION("""COMPUTED_VALUE"""),"SetThirdPartyFormat")</f>
        <v>SetThirdPartyFormat</v>
      </c>
      <c r="H4" s="19" t="str">
        <f>IFERROR(__xludf.DUMMYFUNCTION("""COMPUTED_VALUE"""),"UpdateRoundLot")</f>
        <v>UpdateRoundLot</v>
      </c>
      <c r="I4" s="19" t="str">
        <f>IFERROR(__xludf.DUMMYFUNCTION("""COMPUTED_VALUE"""),"SetTradingComplianceRules")</f>
        <v>SetTradingComplianceRules</v>
      </c>
      <c r="J4" s="19" t="str">
        <f>IFERROR(__xludf.DUMMYFUNCTION("""COMPUTED_VALUE"""),"EnableBreakdownRealizedPNL")</f>
        <v>EnableBreakdownRealizedPNL</v>
      </c>
      <c r="K4" s="19" t="str">
        <f>IFERROR(__xludf.DUMMYFUNCTION("""COMPUTED_VALUE"""),"SetTTGeneralPreferences")</f>
        <v>SetTTGeneralPreferences</v>
      </c>
      <c r="L4" s="19" t="str">
        <f>IFERROR(__xludf.DUMMYFUNCTION("""COMPUTED_VALUE"""),"SetDollarAmountPermission")</f>
        <v>SetDollarAmountPermission</v>
      </c>
      <c r="M4" s="19" t="str">
        <f>IFERROR(__xludf.DUMMYFUNCTION("""COMPUTED_VALUE"""),"EnableDisableModule")</f>
        <v>EnableDisableModule</v>
      </c>
      <c r="N4" s="19" t="str">
        <f>IFERROR(__xludf.DUMMYFUNCTION("""COMPUTED_VALUE"""),"IsImportOverrideOnShortLocate")</f>
        <v>IsImportOverrideOnShortLocate</v>
      </c>
      <c r="O4" s="19" t="str">
        <f>IFERROR(__xludf.DUMMYFUNCTION("""COMPUTED_VALUE"""),"SetShortLocateStructures")</f>
        <v>SetShortLocateStructures</v>
      </c>
      <c r="P4" s="20" t="str">
        <f>IFERROR(__xludf.DUMMYFUNCTION("""COMPUTED_VALUE"""),"SetComplianceAlert")</f>
        <v>SetComplianceAlert</v>
      </c>
      <c r="Q4" s="20" t="str">
        <f>IFERROR(__xludf.DUMMYFUNCTION("""COMPUTED_VALUE"""),"UpdateExpirationDate")</f>
        <v>UpdateExpirationDate</v>
      </c>
      <c r="R4" s="20" t="str">
        <f>IFERROR(__xludf.DUMMYFUNCTION("""COMPUTED_VALUE"""),"RenameMasterStrategy")</f>
        <v>RenameMasterStrategy</v>
      </c>
      <c r="S4" s="20" t="str">
        <f>IFERROR(__xludf.DUMMYFUNCTION("""COMPUTED_VALUE"""),"SetTTUIAdminPreferences")</f>
        <v>SetTTUIAdminPreferences</v>
      </c>
      <c r="T4" s="20" t="str">
        <f>IFERROR(__xludf.DUMMYFUNCTION("""COMPUTED_VALUE"""),"UpdateSecFee")</f>
        <v>UpdateSecFee</v>
      </c>
      <c r="U4" s="20" t="str">
        <f>IFERROR(__xludf.DUMMYFUNCTION("""COMPUTED_VALUE"""),"UpdateFee")</f>
        <v>UpdateFee</v>
      </c>
      <c r="V4" s="20" t="str">
        <f>IFERROR(__xludf.DUMMYFUNCTION("""COMPUTED_VALUE"""),"RevertingSMSharesOutValue")</f>
        <v>RevertingSMSharesOutValue</v>
      </c>
      <c r="W4" s="20" t="str">
        <f>IFERROR(__xludf.DUMMYFUNCTION("""COMPUTED_VALUE"""),"RestartSQL")</f>
        <v>RestartSQL</v>
      </c>
      <c r="X4" s="20" t="str">
        <f>IFERROR(__xludf.DUMMYFUNCTION("""COMPUTED_VALUE"""),"TradeAuditCleanUp")</f>
        <v>TradeAuditCleanUp</v>
      </c>
      <c r="Y4" s="20" t="str">
        <f>IFERROR(__xludf.DUMMYFUNCTION("""COMPUTED_VALUE"""),"DeleteSymbolFromSM")</f>
        <v>DeleteSymbolFromSM</v>
      </c>
      <c r="Z4" s="20" t="str">
        <f>IFERROR(__xludf.DUMMYFUNCTION("""COMPUTED_VALUE"""),"SetCompliancePermission")</f>
        <v>SetCompliancePermission</v>
      </c>
      <c r="AA4" s="20" t="str">
        <f>IFERROR(__xludf.DUMMYFUNCTION("""COMPUTED_VALUE"""),"SetMasterFundOnTT")</f>
        <v>SetMasterFundOnTT</v>
      </c>
      <c r="AB4" s="20" t="str">
        <f>IFERROR(__xludf.DUMMYFUNCTION("""COMPUTED_VALUE"""),"SetMarketDataProvider")</f>
        <v>SetMarketDataProvider</v>
      </c>
      <c r="AC4" s="20" t="str">
        <f>IFERROR(__xludf.DUMMYFUNCTION("""COMPUTED_VALUE"""),"SetAllocationPreferences")</f>
        <v>SetAllocationPreferences</v>
      </c>
      <c r="AD4" s="20" t="str">
        <f>IFERROR(__xludf.DUMMYFUNCTION("""COMPUTED_VALUE"""),"SetRegularCompliancePermission")</f>
        <v>SetRegularCompliancePermission</v>
      </c>
      <c r="AE4" s="20" t="str">
        <f>IFERROR(__xludf.DUMMYFUNCTION("""COMPUTED_VALUE"""),"SetCommissionRule")</f>
        <v>SetCommissionRule</v>
      </c>
      <c r="AF4" s="20" t="str">
        <f>IFERROR(__xludf.DUMMYFUNCTION("""COMPUTED_VALUE"""),"SetPreTradeCompliancePermission")</f>
        <v>SetPreTradeCompliancePermission</v>
      </c>
      <c r="AG4" s="20" t="str">
        <f>IFERROR(__xludf.DUMMYFUNCTION("""COMPUTED_VALUE"""),"SetAuecExecutingBroker")</f>
        <v>SetAuecExecutingBroker</v>
      </c>
      <c r="AH4" s="20" t="str">
        <f>IFERROR(__xludf.DUMMYFUNCTION("""COMPUTED_VALUE"""),"SetAlgoBroker")</f>
        <v>SetAlgoBroker</v>
      </c>
      <c r="AI4" s="20" t="str">
        <f>IFERROR(__xludf.DUMMYFUNCTION("""COMPUTED_VALUE"""),"EnableAutoGroupingAllocation")</f>
        <v>EnableAutoGroupingAllocation</v>
      </c>
      <c r="AJ4" s="20" t="str">
        <f>IFERROR(__xludf.DUMMYFUNCTION("""COMPUTED_VALUE"""),"ConfigUpdater")</f>
        <v>ConfigUpdater</v>
      </c>
      <c r="AK4" s="20" t="str">
        <f>IFERROR(__xludf.DUMMYFUNCTION("""COMPUTED_VALUE"""),"AccountPermission")</f>
        <v>AccountPermission</v>
      </c>
      <c r="AL4" s="20" t="str">
        <f>IFERROR(__xludf.DUMMYFUNCTION("""COMPUTED_VALUE"""),"BasketPermission")</f>
        <v>BasketPermission</v>
      </c>
      <c r="AM4" s="20" t="str">
        <f>IFERROR(__xludf.DUMMYFUNCTION("""COMPUTED_VALUE"""),"ChangeDate")</f>
        <v>ChangeDate</v>
      </c>
      <c r="AN4" s="20" t="str">
        <f>IFERROR(__xludf.DUMMYFUNCTION("""COMPUTED_VALUE"""),"AuecVenueExchange")</f>
        <v>AuecVenueExchange</v>
      </c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IFERROR(__xludf.DUMMYFUNCTION("""COMPUTED_VALUE"""),"Rule Name")</f>
        <v>Rule Name</v>
      </c>
      <c r="C5" s="22" t="str">
        <f>IFERROR(__xludf.DUMMYFUNCTION("""COMPUTED_VALUE"""),"Alert Type Permission")</f>
        <v>Alert Type Permission</v>
      </c>
      <c r="D5" s="22" t="str">
        <f>IFERROR(__xludf.DUMMYFUNCTION("""COMPUTED_VALUE"""),"UserID")</f>
        <v>UserID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</row>
    <row r="6" ht="15.75" customHeight="1">
      <c r="A6" s="6"/>
      <c r="B6" s="24" t="s">
        <v>54</v>
      </c>
      <c r="C6" s="24" t="s">
        <v>55</v>
      </c>
      <c r="D6" s="26">
        <v>17.0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