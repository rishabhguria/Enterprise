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SelectTradeUnexpiredUnsettled" sheetId="5" r:id="rId7"/>
    <sheet state="visible" name="ExerciseAssignment" sheetId="6" r:id="rId8"/>
    <sheet state="visible" name="ManualClosing" sheetId="7" r:id="rId9"/>
    <sheet state="visible" name="UnwindClosing" sheetId="8" r:id="rId10"/>
    <sheet state="visible" name="UnWindTradeSettlement" sheetId="9" r:id="rId11"/>
    <sheet state="visible" name="Copy of Data" sheetId="10" r:id="rId12"/>
  </sheets>
  <definedNames/>
  <calcPr/>
</workbook>
</file>

<file path=xl/sharedStrings.xml><?xml version="1.0" encoding="utf-8"?>
<sst xmlns="http://schemas.openxmlformats.org/spreadsheetml/2006/main" count="85" uniqueCount="32">
  <si>
    <t>Master Data Info</t>
  </si>
  <si>
    <t>Modules Info</t>
  </si>
  <si>
    <t>Settings</t>
  </si>
  <si>
    <t>Modules</t>
  </si>
  <si>
    <t>Module</t>
  </si>
  <si>
    <t>Module Step Setting File</t>
  </si>
  <si>
    <t>1sG6uB28jAaiyaldDeMtbboQN41jJ2tAmE2rg6U9qH5o</t>
  </si>
  <si>
    <t>Step</t>
  </si>
  <si>
    <t>Master Data Sheet</t>
  </si>
  <si>
    <t>Master Data Settings File</t>
  </si>
  <si>
    <t>1hEhI9rg16D4Xvfk19pDaFUFF78jjfIG29BBaNg8kT0A</t>
  </si>
  <si>
    <t>Data</t>
  </si>
  <si>
    <t>TradingTicket</t>
  </si>
  <si>
    <t>CreateDoneAwayOrder</t>
  </si>
  <si>
    <t>Data Format</t>
  </si>
  <si>
    <t>Input Format</t>
  </si>
  <si>
    <t>O:MSFT 12K31.00</t>
  </si>
  <si>
    <t>Buy to Open</t>
  </si>
  <si>
    <t>Allocation1</t>
  </si>
  <si>
    <t>MSFT</t>
  </si>
  <si>
    <t>Sell</t>
  </si>
  <si>
    <t>Closing</t>
  </si>
  <si>
    <t>SelectTradeUnexpiredUnsettled</t>
  </si>
  <si>
    <t>EquityOption</t>
  </si>
  <si>
    <t>ExerciseAssignment</t>
  </si>
  <si>
    <t>ManualClosing</t>
  </si>
  <si>
    <t>Equity</t>
  </si>
  <si>
    <t>Buy</t>
  </si>
  <si>
    <t>UnwindClosing</t>
  </si>
  <si>
    <t>UnWindTradeSettlement</t>
  </si>
  <si>
    <t>msft</t>
  </si>
  <si>
    <t>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</si>
</sst>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sz val="14.0"/>
      <color rgb="FFFFFFFF"/>
      <name val="Calibri"/>
    </font>
    <font>
      <name val="Arial"/>
    </font>
    <font>
      <name val="Calibri"/>
    </font>
    <font>
      <b/>
      <color rgb="FFFFFFFF"/>
      <name val="Calibri"/>
    </font>
    <font>
      <b/>
      <color rgb="FFFFFFFF"/>
      <name val="Arial"/>
    </font>
    <font>
      <color rgb="FFFFFFFF"/>
      <name val="Calibri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0"/>
    </xf>
    <xf borderId="2" fillId="0" fontId="2" numFmtId="0" xfId="0" applyBorder="1" applyFont="1"/>
    <xf borderId="1" fillId="2" fontId="1" numFmtId="0" xfId="0" applyAlignment="1" applyBorder="1" applyFont="1">
      <alignment horizontal="center" shrinkToFit="0" wrapText="0"/>
    </xf>
    <xf borderId="1" fillId="2" fontId="3" numFmtId="0" xfId="0" applyAlignment="1" applyBorder="1" applyFont="1">
      <alignment horizontal="center" shrinkToFit="0" wrapText="0"/>
    </xf>
    <xf borderId="3" fillId="0" fontId="2" numFmtId="0" xfId="0" applyBorder="1" applyFont="1"/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4" fillId="3" fontId="6" numFmtId="0" xfId="0" applyAlignment="1" applyBorder="1" applyFill="1" applyFont="1">
      <alignment shrinkToFit="0" wrapText="0"/>
    </xf>
    <xf borderId="4" fillId="3" fontId="4" numFmtId="0" xfId="0" applyAlignment="1" applyBorder="1" applyFont="1">
      <alignment readingOrder="0" shrinkToFit="0" wrapText="0"/>
    </xf>
    <xf borderId="4" fillId="3" fontId="6" numFmtId="0" xfId="0" applyAlignment="1" applyBorder="1" applyFont="1">
      <alignment readingOrder="0" shrinkToFit="0" wrapText="0"/>
    </xf>
    <xf borderId="4" fillId="3" fontId="4" numFmtId="0" xfId="0" applyAlignment="1" applyBorder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6" numFmtId="0" xfId="0" applyAlignment="1" applyFill="1" applyFont="1">
      <alignment shrinkToFit="0" wrapText="0"/>
    </xf>
    <xf borderId="4" fillId="5" fontId="6" numFmtId="0" xfId="0" applyAlignment="1" applyBorder="1" applyFont="1">
      <alignment shrinkToFit="0" wrapText="0"/>
    </xf>
    <xf borderId="4" fillId="5" fontId="6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4" xfId="0" applyAlignment="1" applyFont="1" applyNumberFormat="1">
      <alignment shrinkToFit="0" wrapText="0"/>
    </xf>
    <xf borderId="0" fillId="0" fontId="2" numFmtId="0" xfId="0" applyAlignment="1" applyFont="1">
      <alignment readingOrder="0"/>
    </xf>
    <xf borderId="0" fillId="0" fontId="4" numFmtId="0" xfId="0" applyAlignment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4" numFmtId="0" xfId="0" applyAlignment="1" applyBorder="1" applyFont="1">
      <alignment vertical="bottom"/>
    </xf>
    <xf borderId="5" fillId="0" fontId="4" numFmtId="14" xfId="0" applyAlignment="1" applyBorder="1" applyFont="1" applyNumberForma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readingOrder="0" vertical="bottom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horizontal="right" readingOrder="0" vertical="bottom"/>
    </xf>
    <xf borderId="0" fillId="0" fontId="5" numFmtId="0" xfId="0" applyAlignment="1" applyFont="1">
      <alignment readingOrder="0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3" t="s">
        <v>1</v>
      </c>
      <c r="B1" s="2"/>
      <c r="C1" s="2"/>
      <c r="D1" s="2"/>
      <c r="E1" s="2"/>
      <c r="F1" s="5"/>
    </row>
    <row r="2" ht="15.75" customHeight="1">
      <c r="A2" s="6"/>
      <c r="B2" s="6"/>
      <c r="C2" s="6"/>
      <c r="D2" s="6"/>
      <c r="E2" s="6"/>
      <c r="F2" s="6"/>
    </row>
    <row r="3" ht="15.75" customHeight="1">
      <c r="A3" s="8" t="s">
        <v>3</v>
      </c>
      <c r="B3" s="9"/>
      <c r="C3" s="11"/>
      <c r="D3" s="11"/>
      <c r="E3" s="11"/>
      <c r="F3" s="11"/>
    </row>
    <row r="4" ht="15.75" customHeight="1">
      <c r="A4" s="7" t="str">
        <f>IFERROR(__xludf.DUMMYFUNCTION("IMPORTRANGE('_Settings'!B3,""Modules!A4:L1000"")"),"Allocation")</f>
        <v>Allocation</v>
      </c>
      <c r="B4" s="6" t="str">
        <f>IFERROR(__xludf.DUMMYFUNCTION("""COMPUTED_VALUE"""),"Allocate")</f>
        <v>Allocate</v>
      </c>
      <c r="C4" s="6" t="str">
        <f>IFERROR(__xludf.DUMMYFUNCTION("""COMPUTED_VALUE"""),"Undefined")</f>
        <v>Undefined</v>
      </c>
      <c r="D4" s="6" t="str">
        <f>IFERROR(__xludf.DUMMYFUNCTION("""COMPUTED_VALUE"""),"")</f>
        <v/>
      </c>
      <c r="E4" s="6" t="str">
        <f>IFERROR(__xludf.DUMMYFUNCTION("""COMPUTED_VALUE"""),"")</f>
        <v/>
      </c>
      <c r="F4" s="6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7" t="str">
        <f>IFERROR(__xludf.DUMMYFUNCTION("""COMPUTED_VALUE"""),"Allocation")</f>
        <v>Allocation</v>
      </c>
      <c r="B5" s="6" t="str">
        <f>IFERROR(__xludf.DUMMYFUNCTION("""COMPUTED_VALUE"""),"CheckAllocatedGroups")</f>
        <v>CheckAllocatedGroups</v>
      </c>
      <c r="C5" s="6" t="str">
        <f>IFERROR(__xludf.DUMMYFUNCTION("""COMPUTED_VALUE"""),"1ASulLlGAl--JRs7NVIiQ-6Q2Y2P3o7Y40cokKmMg-UA")</f>
        <v>1ASulLlGAl--JRs7NVIiQ-6Q2Y2P3o7Y40cokKmMg-UA</v>
      </c>
      <c r="D5" s="6" t="str">
        <f>IFERROR(__xludf.DUMMYFUNCTION("""COMPUTED_VALUE"""),"")</f>
        <v/>
      </c>
      <c r="E5" s="6" t="str">
        <f>IFERROR(__xludf.DUMMYFUNCTION("""COMPUTED_VALUE"""),"")</f>
        <v/>
      </c>
      <c r="F5" s="6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6" t="str">
        <f>IFERROR(__xludf.DUMMYFUNCTION("""COMPUTED_VALUE"""),"Allocation")</f>
        <v>Allocation</v>
      </c>
      <c r="B6" s="6" t="str">
        <f>IFERROR(__xludf.DUMMYFUNCTION("""COMPUTED_VALUE"""),"Unallocate")</f>
        <v>Unallocate</v>
      </c>
      <c r="C6" s="6" t="str">
        <f>IFERROR(__xludf.DUMMYFUNCTION("""COMPUTED_VALUE"""),"153rAtnJuNh4UK26GjSOxUSjAHcOxzWv7CRGvmhrIJRs")</f>
        <v>153rAtnJuNh4UK26GjSOxUSjAHcOxzWv7CRGvmhrIJRs</v>
      </c>
      <c r="D6" s="6" t="str">
        <f>IFERROR(__xludf.DUMMYFUNCTION("""COMPUTED_VALUE"""),"")</f>
        <v/>
      </c>
      <c r="E6" s="6" t="str">
        <f>IFERROR(__xludf.DUMMYFUNCTION("""COMPUTED_VALUE"""),"")</f>
        <v/>
      </c>
      <c r="F6" s="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6" t="str">
        <f>IFERROR(__xludf.DUMMYFUNCTION("""COMPUTED_VALUE"""),"Allocation")</f>
        <v>Allocation</v>
      </c>
      <c r="B7" s="6" t="str">
        <f>IFERROR(__xludf.DUMMYFUNCTION("""COMPUTED_VALUE"""),"GetDataAllocation")</f>
        <v>GetDataAllocation</v>
      </c>
      <c r="C7" s="6" t="str">
        <f>IFERROR(__xludf.DUMMYFUNCTION("""COMPUTED_VALUE"""),"14c4GsPTH5D3eyeeKaMiqJQXOT6OiyIKnC2Ey2f-mzXU")</f>
        <v>14c4GsPTH5D3eyeeKaMiqJQXOT6OiyIKnC2Ey2f-mzXU</v>
      </c>
      <c r="D7" s="6" t="str">
        <f>IFERROR(__xludf.DUMMYFUNCTION("""COMPUTED_VALUE"""),"")</f>
        <v/>
      </c>
      <c r="E7" s="6" t="str">
        <f>IFERROR(__xludf.DUMMYFUNCTION("""COMPUTED_VALUE"""),"")</f>
        <v/>
      </c>
      <c r="F7" s="6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6" t="str">
        <f>IFERROR(__xludf.DUMMYFUNCTION("""COMPUTED_VALUE"""),"Allocation")</f>
        <v>Allocation</v>
      </c>
      <c r="B8" s="6" t="str">
        <f>IFERROR(__xludf.DUMMYFUNCTION("""COMPUTED_VALUE"""),"SelectAllocatedGroup")</f>
        <v>SelectAllocatedGroup</v>
      </c>
      <c r="C8" s="6" t="str">
        <f>IFERROR(__xludf.DUMMYFUNCTION("""COMPUTED_VALUE"""),"1FoqTScZHaIaLmwoImnVY7WWuCKEwJNYw8_jsXiT_wz4")</f>
        <v>1FoqTScZHaIaLmwoImnVY7WWuCKEwJNYw8_jsXiT_wz4</v>
      </c>
      <c r="D8" s="6" t="str">
        <f>IFERROR(__xludf.DUMMYFUNCTION("""COMPUTED_VALUE"""),"")</f>
        <v/>
      </c>
      <c r="E8" s="6" t="str">
        <f>IFERROR(__xludf.DUMMYFUNCTION("""COMPUTED_VALUE"""),"")</f>
        <v/>
      </c>
      <c r="F8" s="6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6" t="str">
        <f>IFERROR(__xludf.DUMMYFUNCTION("""COMPUTED_VALUE"""),"Allocation")</f>
        <v>Allocation</v>
      </c>
      <c r="B9" s="6" t="str">
        <f>IFERROR(__xludf.DUMMYFUNCTION("""COMPUTED_VALUE"""),"EditTradesAllocated")</f>
        <v>EditTradesAllocated</v>
      </c>
      <c r="C9" s="6" t="str">
        <f>IFERROR(__xludf.DUMMYFUNCTION("""COMPUTED_VALUE"""),"1nx-Ntcckcf-w1Yr5yyOw4Vmcr4UsalakHe-CHaRihg0")</f>
        <v>1nx-Ntcckcf-w1Yr5yyOw4Vmcr4UsalakHe-CHaRihg0</v>
      </c>
      <c r="D9" s="6" t="str">
        <f>IFERROR(__xludf.DUMMYFUNCTION("""COMPUTED_VALUE"""),"")</f>
        <v/>
      </c>
      <c r="E9" s="6" t="str">
        <f>IFERROR(__xludf.DUMMYFUNCTION("""COMPUTED_VALUE"""),"")</f>
        <v/>
      </c>
      <c r="F9" s="6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6" t="str">
        <f>IFERROR(__xludf.DUMMYFUNCTION("""COMPUTED_VALUE"""),"Allocation")</f>
        <v>Allocation</v>
      </c>
      <c r="B10" s="6" t="str">
        <f>IFERROR(__xludf.DUMMYFUNCTION("""COMPUTED_VALUE"""),"EditTradesUnallocated")</f>
        <v>EditTradesUnallocated</v>
      </c>
      <c r="C10" s="6" t="str">
        <f>IFERROR(__xludf.DUMMYFUNCTION("""COMPUTED_VALUE"""),"1aOr-_cYT21IfJctqcBB50iQOXfB0qUo9bBesL3tt_2o")</f>
        <v>1aOr-_cYT21IfJctqcBB50iQOXfB0qUo9bBesL3tt_2o</v>
      </c>
      <c r="D10" s="6" t="str">
        <f>IFERROR(__xludf.DUMMYFUNCTION("""COMPUTED_VALUE"""),"")</f>
        <v/>
      </c>
      <c r="E10" s="6" t="str">
        <f>IFERROR(__xludf.DUMMYFUNCTION("""COMPUTED_VALUE"""),"")</f>
        <v/>
      </c>
      <c r="F10" s="6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6" t="str">
        <f>IFERROR(__xludf.DUMMYFUNCTION("""COMPUTED_VALUE"""),"Allocation")</f>
        <v>Allocation</v>
      </c>
      <c r="B11" s="6" t="str">
        <f>IFERROR(__xludf.DUMMYFUNCTION("""COMPUTED_VALUE"""),"Reallocate")</f>
        <v>Reallocate</v>
      </c>
      <c r="C11" s="6" t="str">
        <f>IFERROR(__xludf.DUMMYFUNCTION("""COMPUTED_VALUE"""),"Undefined")</f>
        <v>Undefined</v>
      </c>
      <c r="D11" s="6" t="str">
        <f>IFERROR(__xludf.DUMMYFUNCTION("""COMPUTED_VALUE"""),"")</f>
        <v/>
      </c>
      <c r="E11" s="6" t="str">
        <f>IFERROR(__xludf.DUMMYFUNCTION("""COMPUTED_VALUE"""),"")</f>
        <v/>
      </c>
      <c r="F11" s="6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6" t="str">
        <f>IFERROR(__xludf.DUMMYFUNCTION("""COMPUTED_VALUE"""),"Blotter")</f>
        <v>Blotter</v>
      </c>
      <c r="B12" s="6" t="str">
        <f>IFERROR(__xludf.DUMMYFUNCTION("""COMPUTED_VALUE"""),"ReplaceFillsOnBlotter")</f>
        <v>ReplaceFillsOnBlotter</v>
      </c>
      <c r="C12" s="6" t="str">
        <f>IFERROR(__xludf.DUMMYFUNCTION("""COMPUTED_VALUE"""),"Undefined")</f>
        <v>Undefined</v>
      </c>
      <c r="D12" s="6" t="str">
        <f>IFERROR(__xludf.DUMMYFUNCTION("""COMPUTED_VALUE"""),"")</f>
        <v/>
      </c>
      <c r="E12" s="6" t="str">
        <f>IFERROR(__xludf.DUMMYFUNCTION("""COMPUTED_VALUE"""),"")</f>
        <v/>
      </c>
      <c r="F12" s="6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6" t="str">
        <f>IFERROR(__xludf.DUMMYFUNCTION("""COMPUTED_VALUE"""),"Blotter")</f>
        <v>Blotter</v>
      </c>
      <c r="B13" s="6" t="str">
        <f>IFERROR(__xludf.DUMMYFUNCTION("""COMPUTED_VALUE"""),"CheckBlotter")</f>
        <v>CheckBlotter</v>
      </c>
      <c r="C13" s="6" t="str">
        <f>IFERROR(__xludf.DUMMYFUNCTION("""COMPUTED_VALUE"""),"1NSNUZ7aVjKq-fJWvjMKU9f1Hhbf0UmIY3RQLFu0_U94")</f>
        <v>1NSNUZ7aVjKq-fJWvjMKU9f1Hhbf0UmIY3RQLFu0_U94</v>
      </c>
      <c r="D13" s="6" t="str">
        <f>IFERROR(__xludf.DUMMYFUNCTION("""COMPUTED_VALUE"""),"")</f>
        <v/>
      </c>
      <c r="E13" s="6" t="str">
        <f>IFERROR(__xludf.DUMMYFUNCTION("""COMPUTED_VALUE"""),"")</f>
        <v/>
      </c>
      <c r="F13" s="6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6" t="str">
        <f>IFERROR(__xludf.DUMMYFUNCTION("""COMPUTED_VALUE"""),"GeneralLedger")</f>
        <v>GeneralLedger</v>
      </c>
      <c r="B14" s="6" t="str">
        <f>IFERROR(__xludf.DUMMYFUNCTION("""COMPUTED_VALUE"""),"GetDataCash")</f>
        <v>GetDataCash</v>
      </c>
      <c r="C14" s="6" t="str">
        <f>IFERROR(__xludf.DUMMYFUNCTION("""COMPUTED_VALUE"""),"1qcpgHRQFZbpv-NnW8K-CvX_auKXD5UD0KzrBvuBL6yQ")</f>
        <v>1qcpgHRQFZbpv-NnW8K-CvX_auKXD5UD0KzrBvuBL6yQ</v>
      </c>
      <c r="D14" s="6" t="str">
        <f>IFERROR(__xludf.DUMMYFUNCTION("""COMPUTED_VALUE"""),"")</f>
        <v/>
      </c>
      <c r="E14" s="6" t="str">
        <f>IFERROR(__xludf.DUMMYFUNCTION("""COMPUTED_VALUE"""),"")</f>
        <v/>
      </c>
      <c r="F14" s="6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6" t="str">
        <f>IFERROR(__xludf.DUMMYFUNCTION("""COMPUTED_VALUE"""),"GeneralLedger")</f>
        <v>GeneralLedger</v>
      </c>
      <c r="B15" s="6" t="str">
        <f>IFERROR(__xludf.DUMMYFUNCTION("""COMPUTED_VALUE"""),"EnterCashDividends")</f>
        <v>EnterCashDividends</v>
      </c>
      <c r="C15" s="6" t="str">
        <f>IFERROR(__xludf.DUMMYFUNCTION("""COMPUTED_VALUE"""),"1AcxAZQwu6HAEJMCMK3bk08quIeXstZWKnCNeDGuqkgc")</f>
        <v>1AcxAZQwu6HAEJMCMK3bk08quIeXstZWKnCNeDGuqkgc</v>
      </c>
      <c r="D15" s="6" t="str">
        <f>IFERROR(__xludf.DUMMYFUNCTION("""COMPUTED_VALUE"""),"")</f>
        <v/>
      </c>
      <c r="E15" s="6" t="str">
        <f>IFERROR(__xludf.DUMMYFUNCTION("""COMPUTED_VALUE"""),"")</f>
        <v/>
      </c>
      <c r="F15" s="6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6" t="str">
        <f>IFERROR(__xludf.DUMMYFUNCTION("""COMPUTED_VALUE"""),"GeneralLedger")</f>
        <v>GeneralLedger</v>
      </c>
      <c r="B16" s="6" t="str">
        <f>IFERROR(__xludf.DUMMYFUNCTION("""COMPUTED_VALUE"""),"EnterNonTradingTransaction")</f>
        <v>EnterNonTradingTransaction</v>
      </c>
      <c r="C16" s="6" t="str">
        <f>IFERROR(__xludf.DUMMYFUNCTION("""COMPUTED_VALUE"""),"1VLF0uNJJlumCyBscfuDhTN1tOv-0IRCkYlwfDU8GczQ")</f>
        <v>1VLF0uNJJlumCyBscfuDhTN1tOv-0IRCkYlwfDU8GczQ</v>
      </c>
      <c r="D16" s="6" t="str">
        <f>IFERROR(__xludf.DUMMYFUNCTION("""COMPUTED_VALUE"""),"")</f>
        <v/>
      </c>
      <c r="E16" s="6" t="str">
        <f>IFERROR(__xludf.DUMMYFUNCTION("""COMPUTED_VALUE"""),"")</f>
        <v/>
      </c>
      <c r="F16" s="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6" t="str">
        <f>IFERROR(__xludf.DUMMYFUNCTION("""COMPUTED_VALUE"""),"GeneralLedger")</f>
        <v>GeneralLedger</v>
      </c>
      <c r="B17" s="6" t="str">
        <f>IFERROR(__xludf.DUMMYFUNCTION("""COMPUTED_VALUE"""),"VerifyCash")</f>
        <v>VerifyCash</v>
      </c>
      <c r="C17" s="6" t="str">
        <f>IFERROR(__xludf.DUMMYFUNCTION("""COMPUTED_VALUE"""),"1_8MIcc2OK_ojl_V4NIwMLs9H7qkQkwyq9sDf1PpIqc8")</f>
        <v>1_8MIcc2OK_ojl_V4NIwMLs9H7qkQkwyq9sDf1PpIqc8</v>
      </c>
      <c r="D17" s="6" t="str">
        <f>IFERROR(__xludf.DUMMYFUNCTION("""COMPUTED_VALUE"""),"")</f>
        <v/>
      </c>
      <c r="E17" s="6" t="str">
        <f>IFERROR(__xludf.DUMMYFUNCTION("""COMPUTED_VALUE"""),"")</f>
        <v/>
      </c>
      <c r="F17" s="6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6" t="str">
        <f>IFERROR(__xludf.DUMMYFUNCTION("""COMPUTED_VALUE"""),"GeneralLedger")</f>
        <v>GeneralLedger</v>
      </c>
      <c r="B18" s="6" t="str">
        <f>IFERROR(__xludf.DUMMYFUNCTION("""COMPUTED_VALUE"""),"VerifyActivity")</f>
        <v>VerifyActivity</v>
      </c>
      <c r="C18" s="6" t="str">
        <f>IFERROR(__xludf.DUMMYFUNCTION("""COMPUTED_VALUE"""),"1tN1tbsnXiVRytGN-WCzTnGTmfRxY2nBklQk3AQSJo2c")</f>
        <v>1tN1tbsnXiVRytGN-WCzTnGTmfRxY2nBklQk3AQSJo2c</v>
      </c>
      <c r="D18" s="6" t="str">
        <f>IFERROR(__xludf.DUMMYFUNCTION("""COMPUTED_VALUE"""),"")</f>
        <v/>
      </c>
      <c r="E18" s="6" t="str">
        <f>IFERROR(__xludf.DUMMYFUNCTION("""COMPUTED_VALUE"""),"")</f>
        <v/>
      </c>
      <c r="F18" s="6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6" t="str">
        <f>IFERROR(__xludf.DUMMYFUNCTION("""COMPUTED_VALUE"""),"GeneralLedger")</f>
        <v>GeneralLedger</v>
      </c>
      <c r="B19" s="6" t="str">
        <f>IFERROR(__xludf.DUMMYFUNCTION("""COMPUTED_VALUE"""),"VerifyTradingTransaction")</f>
        <v>VerifyTradingTransaction</v>
      </c>
      <c r="C19" s="6" t="str">
        <f>IFERROR(__xludf.DUMMYFUNCTION("""COMPUTED_VALUE"""),"1VRRuQCPazoSKAv27NBzQzv_Yw_Kgakw-yyKn6w1zhKU")</f>
        <v>1VRRuQCPazoSKAv27NBzQzv_Yw_Kgakw-yyKn6w1zhKU</v>
      </c>
      <c r="D19" s="6" t="str">
        <f>IFERROR(__xludf.DUMMYFUNCTION("""COMPUTED_VALUE"""),"")</f>
        <v/>
      </c>
      <c r="E19" s="6" t="str">
        <f>IFERROR(__xludf.DUMMYFUNCTION("""COMPUTED_VALUE"""),"")</f>
        <v/>
      </c>
      <c r="F19" s="6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6" t="str">
        <f>IFERROR(__xludf.DUMMYFUNCTION("""COMPUTED_VALUE"""),"GeneralLedger")</f>
        <v>GeneralLedger</v>
      </c>
      <c r="B20" s="6" t="str">
        <f>IFERROR(__xludf.DUMMYFUNCTION("""COMPUTED_VALUE"""),"VerifyRevaluationData")</f>
        <v>VerifyRevaluationData</v>
      </c>
      <c r="C20" s="6" t="str">
        <f>IFERROR(__xludf.DUMMYFUNCTION("""COMPUTED_VALUE"""),"1fGo94nf55bWXddEMlTwX902cb1V6cWr9GHWYy_sZ8IU")</f>
        <v>1fGo94nf55bWXddEMlTwX902cb1V6cWr9GHWYy_sZ8IU</v>
      </c>
      <c r="D20" s="6" t="str">
        <f>IFERROR(__xludf.DUMMYFUNCTION("""COMPUTED_VALUE"""),"")</f>
        <v/>
      </c>
      <c r="E20" s="6" t="str">
        <f>IFERROR(__xludf.DUMMYFUNCTION("""COMPUTED_VALUE"""),"")</f>
        <v/>
      </c>
      <c r="F20" s="6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6" t="str">
        <f>IFERROR(__xludf.DUMMYFUNCTION("""COMPUTED_VALUE"""),"CorporateAction")</f>
        <v>CorporateAction</v>
      </c>
      <c r="B21" s="6" t="str">
        <f>IFERROR(__xludf.DUMMYFUNCTION("""COMPUTED_VALUE"""),"CorporateAction")</f>
        <v>CorporateAction</v>
      </c>
      <c r="C21" s="6" t="str">
        <f>IFERROR(__xludf.DUMMYFUNCTION("""COMPUTED_VALUE"""),"1rOMKu0Ez7NdxjtZC05lRrPUSa0tkOQSvbOhxjuijMsU")</f>
        <v>1rOMKu0Ez7NdxjtZC05lRrPUSa0tkOQSvbOhxjuijMsU</v>
      </c>
      <c r="D21" s="6" t="str">
        <f>IFERROR(__xludf.DUMMYFUNCTION("""COMPUTED_VALUE"""),"")</f>
        <v/>
      </c>
      <c r="E21" s="6" t="str">
        <f>IFERROR(__xludf.DUMMYFUNCTION("""COMPUTED_VALUE"""),"")</f>
        <v/>
      </c>
      <c r="F21" s="6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6" t="str">
        <f>IFERROR(__xludf.DUMMYFUNCTION("""COMPUTED_VALUE"""),"CreateTransaction")</f>
        <v>CreateTransaction</v>
      </c>
      <c r="B22" s="6" t="str">
        <f>IFERROR(__xludf.DUMMYFUNCTION("""COMPUTED_VALUE"""),"CreateTransaction")</f>
        <v>CreateTransaction</v>
      </c>
      <c r="C22" s="6" t="str">
        <f>IFERROR(__xludf.DUMMYFUNCTION("""COMPUTED_VALUE"""),"1yBi-hp0jcYIFB6ymnlQIlx-pUUkfcjJU7Ap0azBbNcE")</f>
        <v>1yBi-hp0jcYIFB6ymnlQIlx-pUUkfcjJU7Ap0azBbNcE</v>
      </c>
      <c r="D22" s="6" t="str">
        <f>IFERROR(__xludf.DUMMYFUNCTION("""COMPUTED_VALUE"""),"")</f>
        <v/>
      </c>
      <c r="E22" s="6" t="str">
        <f>IFERROR(__xludf.DUMMYFUNCTION("""COMPUTED_VALUE"""),"")</f>
        <v/>
      </c>
      <c r="F22" s="6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6" t="str">
        <f>IFERROR(__xludf.DUMMYFUNCTION("""COMPUTED_VALUE"""),"DailyValuation")</f>
        <v>DailyValuation</v>
      </c>
      <c r="B23" s="6" t="str">
        <f>IFERROR(__xludf.DUMMYFUNCTION("""COMPUTED_VALUE"""),"UpdateBeta")</f>
        <v>UpdateBeta</v>
      </c>
      <c r="C23" s="6" t="str">
        <f>IFERROR(__xludf.DUMMYFUNCTION("""COMPUTED_VALUE"""),"1x5iUjYB72ZJ35IOvQ_JQkWHV-d1FlgKY3bIxxTpk-f0")</f>
        <v>1x5iUjYB72ZJ35IOvQ_JQkWHV-d1FlgKY3bIxxTpk-f0</v>
      </c>
      <c r="D23" s="6" t="str">
        <f>IFERROR(__xludf.DUMMYFUNCTION("""COMPUTED_VALUE"""),"")</f>
        <v/>
      </c>
      <c r="E23" s="6" t="str">
        <f>IFERROR(__xludf.DUMMYFUNCTION("""COMPUTED_VALUE"""),"")</f>
        <v/>
      </c>
      <c r="F23" s="6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6" t="str">
        <f>IFERROR(__xludf.DUMMYFUNCTION("""COMPUTED_VALUE"""),"DailyValuation")</f>
        <v>DailyValuation</v>
      </c>
      <c r="B24" s="6" t="str">
        <f>IFERROR(__xludf.DUMMYFUNCTION("""COMPUTED_VALUE"""),"UpdateDailyCash")</f>
        <v>UpdateDailyCash</v>
      </c>
      <c r="C24" s="6" t="str">
        <f>IFERROR(__xludf.DUMMYFUNCTION("""COMPUTED_VALUE"""),"1Li5RKULV7Lc2MLczTkVbzq0oDYcFGfTlBUO9__NoODc")</f>
        <v>1Li5RKULV7Lc2MLczTkVbzq0oDYcFGfTlBUO9__NoODc</v>
      </c>
      <c r="D24" s="6" t="str">
        <f>IFERROR(__xludf.DUMMYFUNCTION("""COMPUTED_VALUE"""),"")</f>
        <v/>
      </c>
      <c r="E24" s="6" t="str">
        <f>IFERROR(__xludf.DUMMYFUNCTION("""COMPUTED_VALUE"""),"")</f>
        <v/>
      </c>
      <c r="F24" s="6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6" t="str">
        <f>IFERROR(__xludf.DUMMYFUNCTION("""COMPUTED_VALUE"""),"DailyValuation")</f>
        <v>DailyValuation</v>
      </c>
      <c r="B25" s="6" t="str">
        <f>IFERROR(__xludf.DUMMYFUNCTION("""COMPUTED_VALUE"""),"UpdateForexConversion")</f>
        <v>UpdateForexConversion</v>
      </c>
      <c r="C25" s="6" t="str">
        <f>IFERROR(__xludf.DUMMYFUNCTION("""COMPUTED_VALUE"""),"1vnIE6mL0eHSchRF1qTlJ2JL_Ylu6hiC6uOXpzq7M0BQ")</f>
        <v>1vnIE6mL0eHSchRF1qTlJ2JL_Ylu6hiC6uOXpzq7M0BQ</v>
      </c>
      <c r="D25" s="6" t="str">
        <f>IFERROR(__xludf.DUMMYFUNCTION("""COMPUTED_VALUE"""),"")</f>
        <v/>
      </c>
      <c r="E25" s="6" t="str">
        <f>IFERROR(__xludf.DUMMYFUNCTION("""COMPUTED_VALUE"""),"")</f>
        <v/>
      </c>
      <c r="F25" s="6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6" t="str">
        <f>IFERROR(__xludf.DUMMYFUNCTION("""COMPUTED_VALUE"""),"DailyValuation")</f>
        <v>DailyValuation</v>
      </c>
      <c r="B26" s="6" t="str">
        <f>IFERROR(__xludf.DUMMYFUNCTION("""COMPUTED_VALUE"""),"UpdateMarkPrice")</f>
        <v>UpdateMarkPrice</v>
      </c>
      <c r="C26" s="6" t="str">
        <f>IFERROR(__xludf.DUMMYFUNCTION("""COMPUTED_VALUE"""),"1KCMHfIqMprTfc21JY7-_BuJZCbNmjdI-pAMs1UtHRgM")</f>
        <v>1KCMHfIqMprTfc21JY7-_BuJZCbNmjdI-pAMs1UtHRgM</v>
      </c>
      <c r="D26" s="6" t="str">
        <f>IFERROR(__xludf.DUMMYFUNCTION("""COMPUTED_VALUE"""),"")</f>
        <v/>
      </c>
      <c r="E26" s="6" t="str">
        <f>IFERROR(__xludf.DUMMYFUNCTION("""COMPUTED_VALUE"""),"")</f>
        <v/>
      </c>
      <c r="F26" s="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6" t="str">
        <f>IFERROR(__xludf.DUMMYFUNCTION("""COMPUTED_VALUE"""),"Import")</f>
        <v>Import</v>
      </c>
      <c r="B27" s="6" t="str">
        <f>IFERROR(__xludf.DUMMYFUNCTION("""COMPUTED_VALUE"""),"Import")</f>
        <v>Import</v>
      </c>
      <c r="C27" s="6" t="str">
        <f>IFERROR(__xludf.DUMMYFUNCTION("""COMPUTED_VALUE"""),"1tRgcAtzRVDm6tX53uSpBOxZNBYm4sTcJiDaR4fxdfwY")</f>
        <v>1tRgcAtzRVDm6tX53uSpBOxZNBYm4sTcJiDaR4fxdfwY</v>
      </c>
      <c r="D27" s="6" t="str">
        <f>IFERROR(__xludf.DUMMYFUNCTION("""COMPUTED_VALUE"""),"")</f>
        <v/>
      </c>
      <c r="E27" s="6" t="str">
        <f>IFERROR(__xludf.DUMMYFUNCTION("""COMPUTED_VALUE"""),"")</f>
        <v/>
      </c>
      <c r="F27" s="6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6" t="str">
        <f>IFERROR(__xludf.DUMMYFUNCTION("""COMPUTED_VALUE"""),"PortfolioManagement")</f>
        <v>PortfolioManagement</v>
      </c>
      <c r="B28" s="6" t="str">
        <f>IFERROR(__xludf.DUMMYFUNCTION("""COMPUTED_VALUE"""),"CheckDashboardPM")</f>
        <v>CheckDashboardPM</v>
      </c>
      <c r="C28" s="6" t="str">
        <f>IFERROR(__xludf.DUMMYFUNCTION("""COMPUTED_VALUE"""),"12DQ8VFmnoIi6USj-pAupggGf1Uakm-iIEO9IboOJPds")</f>
        <v>12DQ8VFmnoIi6USj-pAupggGf1Uakm-iIEO9IboOJPds</v>
      </c>
      <c r="D28" s="6" t="str">
        <f>IFERROR(__xludf.DUMMYFUNCTION("""COMPUTED_VALUE"""),"")</f>
        <v/>
      </c>
      <c r="E28" s="6" t="str">
        <f>IFERROR(__xludf.DUMMYFUNCTION("""COMPUTED_VALUE"""),"")</f>
        <v/>
      </c>
      <c r="F28" s="6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6" t="str">
        <f>IFERROR(__xludf.DUMMYFUNCTION("""COMPUTED_VALUE"""),"PortfolioManagement")</f>
        <v>PortfolioManagement</v>
      </c>
      <c r="B29" s="6" t="str">
        <f>IFERROR(__xludf.DUMMYFUNCTION("""COMPUTED_VALUE"""),"CheckPortfolioManagement")</f>
        <v>CheckPortfolioManagement</v>
      </c>
      <c r="C29" s="6" t="str">
        <f>IFERROR(__xludf.DUMMYFUNCTION("""COMPUTED_VALUE"""),"1EinrxkfbLK2Tdj1nGXu4y1H2zmS6g6G85Hm0vYSOHlA")</f>
        <v>1EinrxkfbLK2Tdj1nGXu4y1H2zmS6g6G85Hm0vYSOHlA</v>
      </c>
      <c r="D29" s="6" t="str">
        <f>IFERROR(__xludf.DUMMYFUNCTION("""COMPUTED_VALUE"""),"")</f>
        <v/>
      </c>
      <c r="E29" s="6" t="str">
        <f>IFERROR(__xludf.DUMMYFUNCTION("""COMPUTED_VALUE"""),"")</f>
        <v/>
      </c>
      <c r="F29" s="6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6" t="str">
        <f>IFERROR(__xludf.DUMMYFUNCTION("""COMPUTED_VALUE"""),"PricingInput")</f>
        <v>PricingInput</v>
      </c>
      <c r="B30" s="6" t="str">
        <f>IFERROR(__xludf.DUMMYFUNCTION("""COMPUTED_VALUE"""),"PricingInput")</f>
        <v>PricingInput</v>
      </c>
      <c r="C30" s="6" t="str">
        <f>IFERROR(__xludf.DUMMYFUNCTION("""COMPUTED_VALUE"""),"1qeUVChEAj0eKA7tNZsUWM4FcqW347Jcsk_tvw1-FP3s")</f>
        <v>1qeUVChEAj0eKA7tNZsUWM4FcqW347Jcsk_tvw1-FP3s</v>
      </c>
      <c r="D30" s="6" t="str">
        <f>IFERROR(__xludf.DUMMYFUNCTION("""COMPUTED_VALUE"""),"")</f>
        <v/>
      </c>
      <c r="E30" s="6" t="str">
        <f>IFERROR(__xludf.DUMMYFUNCTION("""COMPUTED_VALUE"""),"")</f>
        <v/>
      </c>
      <c r="F30" s="6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6" t="str">
        <f>IFERROR(__xludf.DUMMYFUNCTION("""COMPUTED_VALUE"""),"PricingInput")</f>
        <v>PricingInput</v>
      </c>
      <c r="B31" s="6" t="str">
        <f>IFERROR(__xludf.DUMMYFUNCTION("""COMPUTED_VALUE"""),"UpdateSharesOutstanding")</f>
        <v>UpdateSharesOutstanding</v>
      </c>
      <c r="C31" s="6" t="str">
        <f>IFERROR(__xludf.DUMMYFUNCTION("""COMPUTED_VALUE"""),"1aVxYFzFjJM4FVvXjfioQc67hI5XgzzCTHLg8f7lbJhU")</f>
        <v>1aVxYFzFjJM4FVvXjfioQc67hI5XgzzCTHLg8f7lbJhU</v>
      </c>
      <c r="D31" s="6" t="str">
        <f>IFERROR(__xludf.DUMMYFUNCTION("""COMPUTED_VALUE"""),"")</f>
        <v/>
      </c>
      <c r="E31" s="6" t="str">
        <f>IFERROR(__xludf.DUMMYFUNCTION("""COMPUTED_VALUE"""),"")</f>
        <v/>
      </c>
      <c r="F31" s="6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6" t="str">
        <f>IFERROR(__xludf.DUMMYFUNCTION("""COMPUTED_VALUE"""),"SymbolLookup")</f>
        <v>SymbolLookup</v>
      </c>
      <c r="B32" s="6" t="str">
        <f>IFERROR(__xludf.DUMMYFUNCTION("""COMPUTED_VALUE"""),"VerifySymbolLookUp")</f>
        <v>VerifySymbolLookUp</v>
      </c>
      <c r="C32" s="6" t="str">
        <f>IFERROR(__xludf.DUMMYFUNCTION("""COMPUTED_VALUE"""),"1Fe8M8KnrsIcnAobjXa43I9IzXKCnB39xCSYterKkeEc")</f>
        <v>1Fe8M8KnrsIcnAobjXa43I9IzXKCnB39xCSYterKkeEc</v>
      </c>
      <c r="D32" s="6" t="str">
        <f>IFERROR(__xludf.DUMMYFUNCTION("""COMPUTED_VALUE"""),"")</f>
        <v/>
      </c>
      <c r="E32" s="6" t="str">
        <f>IFERROR(__xludf.DUMMYFUNCTION("""COMPUTED_VALUE"""),"")</f>
        <v/>
      </c>
      <c r="F32" s="6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6" t="str">
        <f>IFERROR(__xludf.DUMMYFUNCTION("""COMPUTED_VALUE"""),"SymbolLookup")</f>
        <v>SymbolLookup</v>
      </c>
      <c r="B33" s="6" t="str">
        <f>IFERROR(__xludf.DUMMYFUNCTION("""COMPUTED_VALUE"""),"SymbolLookupFromTT")</f>
        <v>SymbolLookupFromTT</v>
      </c>
      <c r="C33" s="6" t="str">
        <f>IFERROR(__xludf.DUMMYFUNCTION("""COMPUTED_VALUE"""),"1qJHd_QH5ht3ZzeFZbKiVeEOBmlpAshwV72N701B28uk")</f>
        <v>1qJHd_QH5ht3ZzeFZbKiVeEOBmlpAshwV72N701B28uk</v>
      </c>
      <c r="D33" s="6" t="str">
        <f>IFERROR(__xludf.DUMMYFUNCTION("""COMPUTED_VALUE"""),"")</f>
        <v/>
      </c>
      <c r="E33" s="6" t="str">
        <f>IFERROR(__xludf.DUMMYFUNCTION("""COMPUTED_VALUE"""),"")</f>
        <v/>
      </c>
      <c r="F33" s="6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IFERROR(__xludf.DUMMYFUNCTION("""COMPUTED_VALUE"""),"15oRO_LPvC6rypZrsVSsxZ-4GAvCsN-AMXec_SMX1zsQ")</f>
        <v>15oRO_LPvC6rypZrsVSsxZ-4GAvCsN-AMXec_SMX1zsQ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IFERROR(__xludf.DUMMYFUNCTION("""COMPUTED_VALUE"""),"1x31soGgAIzQ8ewrat6Uw5zrZIzPOYIL8ZYN_OzrxiqU")</f>
        <v>1x31soGgAIzQ8ewrat6Uw5zrZIzPOYIL8ZYN_OzrxiqU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IFERROR(__xludf.DUMMYFUNCTION("""COMPUTED_VALUE"""),"1e0trYHQukhb0WQXpsxD5RhQ_bYwjB2sFNrgs2uaqNvg")</f>
        <v>1e0trYHQukhb0WQXpsxD5RhQ_bYwjB2sFNrgs2uaqNvg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IFERROR(__xludf.DUMMYFUNCTION("""COMPUTED_VALUE"""),"ViewThirdParty")</f>
        <v>ViewThirdParty</v>
      </c>
      <c r="C37" t="str">
        <f>IFERROR(__xludf.DUMMYFUNCTION("""COMPUTED_VALUE"""),"1F_BXcQL-UOYNmtCgE2FRSzTxqoMMKNIV-clJRsPLe1s")</f>
        <v>1F_BXcQL-UOYNmtCgE2FRSzTxqoMMKNIV-clJRsPLe1s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IFERROR(__xludf.DUMMYFUNCTION("""COMPUTED_VALUE"""),"SelectThirdPartyName")</f>
        <v>SelectThirdPartyName</v>
      </c>
      <c r="C38" t="str">
        <f>IFERROR(__xludf.DUMMYFUNCTION("""COMPUTED_VALUE"""),"1Seece-QvbnxJPXb_gnGofgxvFKlLukvDW2KqTZLtK98")</f>
        <v>1Seece-QvbnxJPXb_gnGofgxvFKlLukvDW2KqTZLtK98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IFERROR(__xludf.DUMMYFUNCTION("""COMPUTED_VALUE"""),"VerifyThirdPartyData")</f>
        <v>VerifyThirdPartyData</v>
      </c>
      <c r="C39" t="str">
        <f>IFERROR(__xludf.DUMMYFUNCTION("""COMPUTED_VALUE"""),"1u7KqMwMvVlHd9mcfrPLUbFG22gfYSWpnZJvdzoK1ZYA")</f>
        <v>1u7KqMwMvVlHd9mcfrPLUbFG22gfYSWpnZJvdzoK1ZYA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IFERROR(__xludf.DUMMYFUNCTION("""COMPUTED_VALUE"""),"CorporateAction")</f>
        <v>CorporateAction</v>
      </c>
      <c r="B40" t="str">
        <f>IFERROR(__xludf.DUMMYFUNCTION("""COMPUTED_VALUE"""),"CleanUp")</f>
        <v>CleanUp</v>
      </c>
      <c r="C40" t="str">
        <f>IFERROR(__xludf.DUMMYFUNCTION("""COMPUTED_VALUE"""),"19OUC-KFPJBCD5XEanC8Js6T4MSPKjYN8wC24gzOEVFk")</f>
        <v>19OUC-KFPJBCD5XEanC8Js6T4MSPKjYN8wC24gzOEVFk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IFERROR(__xludf.DUMMYFUNCTION("""COMPUTED_VALUE"""),"PST")</f>
        <v>PST</v>
      </c>
      <c r="B41" t="str">
        <f>IFERROR(__xludf.DUMMYFUNCTION("""COMPUTED_VALUE"""),"RunPST")</f>
        <v>RunPST</v>
      </c>
      <c r="C41" t="str">
        <f>IFERROR(__xludf.DUMMYFUNCTION("""COMPUTED_VALUE"""),"13u7vqO7dHa-QnQluOEUR6rpZXp__Iv3tfm7aMG4omnc")</f>
        <v>13u7vqO7dHa-QnQluOEUR6rpZXp__Iv3tfm7aMG4omnc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IFERROR(__xludf.DUMMYFUNCTION("""COMPUTED_VALUE"""),"PST")</f>
        <v>PST</v>
      </c>
      <c r="B42" t="str">
        <f>IFERROR(__xludf.DUMMYFUNCTION("""COMPUTED_VALUE"""),"PSTInputData")</f>
        <v>PSTInputData</v>
      </c>
      <c r="C42" t="str">
        <f>IFERROR(__xludf.DUMMYFUNCTION("""COMPUTED_VALUE"""),"1B7NnkALzxy07DJM7saVZv1o5ZltnXFqFqsxqWW8kqA0")</f>
        <v>1B7NnkALzxy07DJM7saVZv1o5ZltnXFqFqsxqWW8kqA0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IFERROR(__xludf.DUMMYFUNCTION("""COMPUTED_VALUE"""),"PSTVerifyData")</f>
        <v>PSTVerifyData</v>
      </c>
      <c r="C43" t="str">
        <f>IFERROR(__xludf.DUMMYFUNCTION("""COMPUTED_VALUE"""),"1FXo2WcGDASn25PGZWTFfkBEPCkvTAGauIbof2MOtRxE")</f>
        <v>1FXo2WcGDASn25PGZWTFfkBEPCkvTAGauIbof2MOtRxE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IFERROR(__xludf.DUMMYFUNCTION("""COMPUTED_VALUE"""),"PSTFunctionalities")</f>
        <v>PSTFunctionalities</v>
      </c>
      <c r="C44" t="str">
        <f>IFERROR(__xludf.DUMMYFUNCTION("""COMPUTED_VALUE"""),"1uwp5EUk7yLKid2SqDjwj0_GiGO9VhpJzYIcxQylCTwo")</f>
        <v>1uwp5EUk7yLKid2SqDjwj0_GiGO9VhpJzYIcxQylCTwo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IFERROR(__xludf.DUMMYFUNCTION("""COMPUTED_VALUE"""),"PortfolioManagement")</f>
        <v>PortfolioManagement</v>
      </c>
      <c r="B45" t="str">
        <f>IFERROR(__xludf.DUMMYFUNCTION("""COMPUTED_VALUE"""),"OpenPSTFromPM")</f>
        <v>OpenPSTFromPM</v>
      </c>
      <c r="C45" t="str">
        <f>IFERROR(__xludf.DUMMYFUNCTION("""COMPUTED_VALUE"""),"1Hh6nJVl05fGFGgAzhC0v2n-p_CU9Jd0uFqdHlnWwJTg")</f>
        <v>1Hh6nJVl05fGFGgAzhC0v2n-p_CU9Jd0uFqdHlnWwJTg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IFERROR(__xludf.DUMMYFUNCTION("""COMPUTED_VALUE"""),"TradingTicket")</f>
        <v>TradingTicket</v>
      </c>
      <c r="B46" t="str">
        <f>IFERROR(__xludf.DUMMYFUNCTION("""COMPUTED_VALUE"""),"OpenTTFromPST")</f>
        <v>OpenTTFromPST</v>
      </c>
      <c r="C46" t="str">
        <f>IFERROR(__xludf.DUMMYFUNCTION("""COMPUTED_VALUE"""),"1O7edVbfzplQ-O-6CEJxzgq38bKuzQqrZMi1hvHduoxM")</f>
        <v>1O7edVbfzplQ-O-6CEJxzgq38bKuzQqrZMi1hvHduoxM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IFERROR(__xludf.DUMMYFUNCTION("""COMPUTED_VALUE"""),"CorporateAction")</f>
        <v>CorporateAction</v>
      </c>
      <c r="B47" t="str">
        <f>IFERROR(__xludf.DUMMYFUNCTION("""COMPUTED_VALUE"""),"CashDividend")</f>
        <v>CashDividend</v>
      </c>
      <c r="C47" t="str">
        <f>IFERROR(__xludf.DUMMYFUNCTION("""COMPUTED_VALUE"""),"1l95qunFGTeiKLwSKZHVbWlTE0cznZgjCRpuiltJ4gtg")</f>
        <v>1l95qunFGTeiKLwSKZHVbWlTE0cznZgjCRpuiltJ4gtg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IFERROR(__xludf.DUMMYFUNCTION("""COMPUTED_VALUE"""),"CorporateAction")</f>
        <v>CorporateAction</v>
      </c>
      <c r="B48" t="str">
        <f>IFERROR(__xludf.DUMMYFUNCTION("""COMPUTED_VALUE"""),"Exchange")</f>
        <v>Exchange</v>
      </c>
      <c r="C48" t="str">
        <f>IFERROR(__xludf.DUMMYFUNCTION("""COMPUTED_VALUE"""),"12KLRQucApo6IRtAzVp-za62nqiIuztr1Mj52yRvvqOY")</f>
        <v>12KLRQucApo6IRtAzVp-za62nqiIuztr1Mj52yRvvqOY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IFERROR(__xludf.DUMMYFUNCTION("""COMPUTED_VALUE"""),"Merger")</f>
        <v>Merger</v>
      </c>
      <c r="C49" t="str">
        <f>IFERROR(__xludf.DUMMYFUNCTION("""COMPUTED_VALUE"""),"1qgEiuLYXaLVPJOINdfkRr7c9lyRRS_xBSe6SPkp8K-o")</f>
        <v>1qgEiuLYXaLVPJOINdfkRr7c9lyRRS_xBSe6SPkp8K-o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IFERROR(__xludf.DUMMYFUNCTION("""COMPUTED_VALUE"""),"NameChange")</f>
        <v>NameChange</v>
      </c>
      <c r="C50" t="str">
        <f>IFERROR(__xludf.DUMMYFUNCTION("""COMPUTED_VALUE"""),"1VuAexgshIic71eEvB5mnvl0UMXMV0P8jozCsUHV30FM")</f>
        <v>1VuAexgshIic71eEvB5mnvl0UMXMV0P8jozCsUHV30FM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IFERROR(__xludf.DUMMYFUNCTION("""COMPUTED_VALUE"""),"SpinOff")</f>
        <v>SpinOff</v>
      </c>
      <c r="C51" t="str">
        <f>IFERROR(__xludf.DUMMYFUNCTION("""COMPUTED_VALUE"""),"14CbrcCPYaI4Gqde6ADz6rnkGV-C_I_sBUHhcLeGClx8")</f>
        <v>14CbrcCPYaI4Gqde6ADz6rnkGV-C_I_sBUHhcLeGClx8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IFERROR(__xludf.DUMMYFUNCTION("""COMPUTED_VALUE"""),"Split")</f>
        <v>Split</v>
      </c>
      <c r="C52" t="str">
        <f>IFERROR(__xludf.DUMMYFUNCTION("""COMPUTED_VALUE"""),"1QDL5sjj6u7bA-8ZBdirMnBaDWycVY_NycJVU4obVZW4")</f>
        <v>1QDL5sjj6u7bA-8ZBdirMnBaDWycVY_NycJVU4obVZW4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IFERROR(__xludf.DUMMYFUNCTION("""COMPUTED_VALUE"""),"StockDividend")</f>
        <v>StockDividend</v>
      </c>
      <c r="C53" t="str">
        <f>IFERROR(__xludf.DUMMYFUNCTION("""COMPUTED_VALUE"""),"16X2GOg0YhlSXphoVEDqum-MD5qeGqs4ri9q1t365RBM")</f>
        <v>16X2GOg0YhlSXphoVEDqum-MD5qeGqs4ri9q1t365RBM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IFERROR(__xludf.DUMMYFUNCTION("""COMPUTED_VALUE"""),"TradingTicket")</f>
        <v>TradingTicket</v>
      </c>
      <c r="B54" t="str">
        <f>IFERROR(__xludf.DUMMYFUNCTION("""COMPUTED_VALUE"""),"EnterDetailsOnTT")</f>
        <v>EnterDetailsOnTT</v>
      </c>
      <c r="C54" t="str">
        <f>IFERROR(__xludf.DUMMYFUNCTION("""COMPUTED_VALUE"""),"Undefined")</f>
        <v>Undefined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IFERROR(__xludf.DUMMYFUNCTION("""COMPUTED_VALUE"""),"DailyValuation")</f>
        <v>DailyValuation</v>
      </c>
      <c r="B55" t="str">
        <f>IFERROR(__xludf.DUMMYFUNCTION("""COMPUTED_VALUE"""),"CleanUp")</f>
        <v>CleanUp</v>
      </c>
      <c r="C55" t="str">
        <f>IFERROR(__xludf.DUMMYFUNCTION("""COMPUTED_VALUE"""),"Undefined")</f>
        <v>Undefined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IFERROR(__xludf.DUMMYFUNCTION("""COMPUTED_VALUE"""),"Allocation")</f>
        <v>Allocation</v>
      </c>
      <c r="B56" t="str">
        <f>IFERROR(__xludf.DUMMYFUNCTION("""COMPUTED_VALUE"""),"EditUnallocatedGroupSidePanel")</f>
        <v>EditUnallocatedGroupSidePanel</v>
      </c>
      <c r="C56" t="str">
        <f>IFERROR(__xludf.DUMMYFUNCTION("""COMPUTED_VALUE"""),"1obz67sla1dkodV-Q4D2wwh5s-e3HmC4hlGqolpOQUV8")</f>
        <v>1obz67sla1dkodV-Q4D2wwh5s-e3HmC4hlGqolpOQUV8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IFERROR(__xludf.DUMMYFUNCTION("""COMPUTED_VALUE"""),"Allocation")</f>
        <v>Allocation</v>
      </c>
      <c r="B57" t="str">
        <f>IFERROR(__xludf.DUMMYFUNCTION("""COMPUTED_VALUE"""),"TradeAttributeBulkChange")</f>
        <v>TradeAttributeBulkChange</v>
      </c>
      <c r="C57" t="str">
        <f>IFERROR(__xludf.DUMMYFUNCTION("""COMPUTED_VALUE"""),"125zeq5tUeqMKMM-UIYzLLNOo2jnWtqyUOTnd8xgkM2U")</f>
        <v>125zeq5tUeqMKMM-UIYzLLNOo2jnWtqyUOTnd8xgkM2U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IFERROR(__xludf.DUMMYFUNCTION("""COMPUTED_VALUE"""),"ApplyBulkUpdateOnGroups")</f>
        <v>ApplyBulkUpdateOnGroups</v>
      </c>
      <c r="C58" t="str">
        <f>IFERROR(__xludf.DUMMYFUNCTION("""COMPUTED_VALUE"""),"1fmnAQFt-_YGqWUkuKgjzxtlh-aixWAcNa1UIwdqtUaQ")</f>
        <v>1fmnAQFt-_YGqWUkuKgjzxtlh-aixWAcNa1UIwdqtUaQ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IFERROR(__xludf.DUMMYFUNCTION("""COMPUTED_VALUE"""),"ApplyPrefetchFilters")</f>
        <v>ApplyPrefetchFilters</v>
      </c>
      <c r="C59" t="str">
        <f>IFERROR(__xludf.DUMMYFUNCTION("""COMPUTED_VALUE"""),"1RpXT-dPg6X5MwsysSjIzJgVZ1LmQ-pZTaN1xAyetv9k")</f>
        <v>1RpXT-dPg6X5MwsysSjIzJgVZ1LmQ-pZTaN1xAyetv9k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IFERROR(__xludf.DUMMYFUNCTION("""COMPUTED_VALUE"""),"GeneralPreferencesDefaultRule")</f>
        <v>GeneralPreferencesDefaultRule</v>
      </c>
      <c r="C60" t="str">
        <f>IFERROR(__xludf.DUMMYFUNCTION("""COMPUTED_VALUE"""),"1CV6mfDD8X54LhJ8arf__OEfIfLNrn71OAu-q5NtWkTI")</f>
        <v>1CV6mfDD8X54LhJ8arf__OEfIfLNrn71OAu-q5NtWkTI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IFERROR(__xludf.DUMMYFUNCTION("""COMPUTED_VALUE"""),"GeneralPrefCompanyUserWise")</f>
        <v>GeneralPrefCompanyUserWise</v>
      </c>
      <c r="C61" t="str">
        <f>IFERROR(__xludf.DUMMYFUNCTION("""COMPUTED_VALUE"""),"1bTLj8UBbX8x8Nh9oZ3dmg11pxddYuwGh_Km5LJlEK6c")</f>
        <v>1bTLj8UBbX8x8Nh9oZ3dmg11pxddYuwGh_Km5LJlEK6c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IFERROR(__xludf.DUMMYFUNCTION("""COMPUTED_VALUE"""),"RenameTradeAttributes")</f>
        <v>RenameTradeAttributes</v>
      </c>
      <c r="C62" t="str">
        <f>IFERROR(__xludf.DUMMYFUNCTION("""COMPUTED_VALUE"""),"13LBQhnI0n0hlW6NV8EeRAzwHEza7O_fshrZJkCE660w")</f>
        <v>13LBQhnI0n0hlW6NV8EeRAzwHEza7O_fshrZJkCE660w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IFERROR(__xludf.DUMMYFUNCTION("""COMPUTED_VALUE"""),"SetGroupingRules")</f>
        <v>SetGroupingRules</v>
      </c>
      <c r="C63" t="str">
        <f>IFERROR(__xludf.DUMMYFUNCTION("""COMPUTED_VALUE"""),"1ZI2MUcaIdICaC-BRH8bwfpVUeS1ug7gXksmgYXABZ3g")</f>
        <v>1ZI2MUcaIdICaC-BRH8bwfpVUeS1ug7gXksmgYXABZ3g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IFERROR(__xludf.DUMMYFUNCTION("""COMPUTED_VALUE"""),"SetMasterFundRatio")</f>
        <v>SetMasterFundRatio</v>
      </c>
      <c r="C64" t="str">
        <f>IFERROR(__xludf.DUMMYFUNCTION("""COMPUTED_VALUE"""),"1HnUnCvn0omZQKeWh9DMLKrx03H2nG8a-KamHRLb2vko")</f>
        <v>1HnUnCvn0omZQKeWh9DMLKrx03H2nG8a-KamHRLb2vko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IFERROR(__xludf.DUMMYFUNCTION("""COMPUTED_VALUE"""),"CheckFixedPreference")</f>
        <v>CheckFixedPreference</v>
      </c>
      <c r="C65" t="str">
        <f>IFERROR(__xludf.DUMMYFUNCTION("""COMPUTED_VALUE"""),"1MxG9l1lQczLE5PdZzV-QjYVONc9z69XTu2wBiJDoklc")</f>
        <v>1MxG9l1lQczLE5PdZzV-QjYVONc9z69XTu2wBiJDoklc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IFERROR(__xludf.DUMMYFUNCTION("""COMPUTED_VALUE"""),"GetFixedPreference")</f>
        <v>GetFixedPreference</v>
      </c>
      <c r="C66" t="str">
        <f>IFERROR(__xludf.DUMMYFUNCTION("""COMPUTED_VALUE"""),"1BWEkQ0CkSiYeosqmxnRUzSfMXn7hwmMwFcWaGNhN0a0")</f>
        <v>1BWEkQ0CkSiYeosqmxnRUzSfMXn7hwmMwFcWaGNhN0a0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IFERROR(__xludf.DUMMYFUNCTION("""COMPUTED_VALUE"""),"AddCalculatedPreferences")</f>
        <v>AddCalculatedPreferences</v>
      </c>
      <c r="C67" t="str">
        <f>IFERROR(__xludf.DUMMYFUNCTION("""COMPUTED_VALUE"""),"1WsIU2FuWyqdJMtcmyw_BHMx4U8XVLpWl8JJrotx6ePI")</f>
        <v>1WsIU2FuWyqdJMtcmyw_BHMx4U8XVLpWl8JJrotx6ePI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IFERROR(__xludf.DUMMYFUNCTION("""COMPUTED_VALUE"""),"BulkChangeCalculatedPreferences")</f>
        <v>BulkChangeCalculatedPreferences</v>
      </c>
      <c r="C68" t="str">
        <f>IFERROR(__xludf.DUMMYFUNCTION("""COMPUTED_VALUE"""),"1NrLLc572hKpMzauSyaNtwhhiCBy61tlfp6nv6OL_CO0")</f>
        <v>1NrLLc572hKpMzauSyaNtwhhiCBy61tlfp6nv6OL_CO0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IFERROR(__xludf.DUMMYFUNCTION("""COMPUTED_VALUE"""),"DeleteCalculatedPreferences")</f>
        <v>DeleteCalculatedPreferences</v>
      </c>
      <c r="C69" t="str">
        <f>IFERROR(__xludf.DUMMYFUNCTION("""COMPUTED_VALUE"""),"1dd5N2CaOrQMCwOyMYcpk77icRYAOAWq2Q-iM6d30aaU")</f>
        <v>1dd5N2CaOrQMCwOyMYcpk77icRYAOAWq2Q-iM6d30aaU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IFERROR(__xludf.DUMMYFUNCTION("""COMPUTED_VALUE"""),"RenameCalculatedPreferences")</f>
        <v>RenameCalculatedPreferences</v>
      </c>
      <c r="C70" t="str">
        <f>IFERROR(__xludf.DUMMYFUNCTION("""COMPUTED_VALUE"""),"16YoKlUkbZBaPrggQKTzQkMlizINp1_oSx9jYRzNx_o4")</f>
        <v>16YoKlUkbZBaPrggQKTzQkMlizINp1_oSx9jYRzNx_o4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IFERROR(__xludf.DUMMYFUNCTION("""COMPUTED_VALUE"""),"CopyCalculatedPreferences")</f>
        <v>CopyCalculatedPreferences</v>
      </c>
      <c r="C71" t="str">
        <f>IFERROR(__xludf.DUMMYFUNCTION("""COMPUTED_VALUE"""),"1Vh7puU6V8sdg79BDEHjKR85NL7-Acme-qT6OtJYS8jU")</f>
        <v>1Vh7puU6V8sdg79BDEHjKR85NL7-Acme-qT6OtJYS8jU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IFERROR(__xludf.DUMMYFUNCTION("""COMPUTED_VALUE"""),"RunAutoGroup")</f>
        <v>RunAutoGroup</v>
      </c>
      <c r="C72" t="str">
        <f>IFERROR(__xludf.DUMMYFUNCTION("""COMPUTED_VALUE"""),"158eTu4y7Mzj5QKawI53nzZDBNrOyPWeB41H0X9otKtU")</f>
        <v>158eTu4y7Mzj5QKawI53nzZDBNrOyPWeB41H0X9otKtU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IFERROR(__xludf.DUMMYFUNCTION("""COMPUTED_VALUE"""),"BookOrUpdateSwap")</f>
        <v>BookOrUpdateSwap</v>
      </c>
      <c r="C73" t="str">
        <f>IFERROR(__xludf.DUMMYFUNCTION("""COMPUTED_VALUE"""),"1WP_KP7BGdetzKFFV_YXmrIpjZ117e0TQy6He8Pjsbn8")</f>
        <v>1WP_KP7BGdetzKFFV_YXmrIpjZ117e0TQy6He8Pjsbn8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IFERROR(__xludf.DUMMYFUNCTION("""COMPUTED_VALUE"""),"RunProrata")</f>
        <v>RunProrata</v>
      </c>
      <c r="C74" t="str">
        <f>IFERROR(__xludf.DUMMYFUNCTION("""COMPUTED_VALUE"""),"1HJLHDE5oGtsHlvN-IJtqA0k9UCPTKPg__dJ6Xmc6wfs")</f>
        <v>1HJLHDE5oGtsHlvN-IJtqA0k9UCPTKPg__dJ6Xmc6wfs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IFERROR(__xludf.DUMMYFUNCTION("""COMPUTED_VALUE"""),"SetDefaultRuleCalculatedPref")</f>
        <v>SetDefaultRuleCalculatedPref</v>
      </c>
      <c r="C75" t="str">
        <f>IFERROR(__xludf.DUMMYFUNCTION("""COMPUTED_VALUE"""),"19y7JJUjHv2co1ySpXKhNftDtMRpP9bKtqpUANMv9Aqk")</f>
        <v>19y7JJUjHv2co1ySpXKhNftDtMRpP9bKtqpUANMv9Aqk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IFERROR(__xludf.DUMMYFUNCTION("""COMPUTED_VALUE"""),"Admin")</f>
        <v>Admin</v>
      </c>
      <c r="B76" t="str">
        <f>IFERROR(__xludf.DUMMYFUNCTION("""COMPUTED_VALUE"""),"SetTTUIPreferences")</f>
        <v>SetTTUIPreferences</v>
      </c>
      <c r="C76" t="str">
        <f>IFERROR(__xludf.DUMMYFUNCTION("""COMPUTED_VALUE"""),"1vJDk7umktKM6xIYCDQtaPORMsI7Lqo0JwhEQIZcbcWA")</f>
        <v>1vJDk7umktKM6xIYCDQtaPORMsI7Lqo0JwhEQIZcbcWA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IFERROR(__xludf.DUMMYFUNCTION("""COMPUTED_VALUE"""),"Admin")</f>
        <v>Admin</v>
      </c>
      <c r="B77" t="str">
        <f>IFERROR(__xludf.DUMMYFUNCTION("""COMPUTED_VALUE"""),"TTPermissionLevel")</f>
        <v>TTPermissionLevel</v>
      </c>
      <c r="C77" t="str">
        <f>IFERROR(__xludf.DUMMYFUNCTION("""COMPUTED_VALUE"""),"14IVRT0g-2GNeaAMS9iaPvdKHXE7L-uF6tlIX39pwa6A")</f>
        <v>14IVRT0g-2GNeaAMS9iaPvdKHXE7L-uF6tlIX39pwa6A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IFERROR(__xludf.DUMMYFUNCTION("""COMPUTED_VALUE"""),"TradingTicket")</f>
        <v>TradingTicket</v>
      </c>
      <c r="B78" t="str">
        <f>IFERROR(__xludf.DUMMYFUNCTION("""COMPUTED_VALUE"""),"ValidateSymbolTT")</f>
        <v>ValidateSymbolTT</v>
      </c>
      <c r="C78" t="str">
        <f>IFERROR(__xludf.DUMMYFUNCTION("""COMPUTED_VALUE"""),"10G_Y6isKleDKBUw0uti8mqMOHAiZoyxYlUXPuI0cp84")</f>
        <v>10G_Y6isKleDKBUw0uti8mqMOHAiZoyxYlUXPuI0cp84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IFERROR(__xludf.DUMMYFUNCTION("""COMPUTED_VALUE"""),"TradingTicket")</f>
        <v>TradingTicket</v>
      </c>
      <c r="B79" t="str">
        <f>IFERROR(__xludf.DUMMYFUNCTION("""COMPUTED_VALUE"""),"VerifyDataTT")</f>
        <v>VerifyDataTT</v>
      </c>
      <c r="C79" t="str">
        <f>IFERROR(__xludf.DUMMYFUNCTION("""COMPUTED_VALUE"""),"Undefined")</f>
        <v>Undefined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IFERROR(__xludf.DUMMYFUNCTION("""COMPUTED_VALUE"""),"SetUIPreferencesTT")</f>
        <v>SetUIPreferencesTT</v>
      </c>
      <c r="C80" t="str">
        <f>IFERROR(__xludf.DUMMYFUNCTION("""COMPUTED_VALUE"""),"1mKK2qOB9c77LvJRMd9V1haRgnEbKEvJHAGMul7LU9r8")</f>
        <v>1mKK2qOB9c77LvJRMd9V1haRgnEbKEvJHAGMul7LU9r8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IFERROR(__xludf.DUMMYFUNCTION("""COMPUTED_VALUE"""),"SetBrokerWisePreferencesTT")</f>
        <v>SetBrokerWisePreferencesTT</v>
      </c>
      <c r="C81" t="str">
        <f>IFERROR(__xludf.DUMMYFUNCTION("""COMPUTED_VALUE"""),"1IGQeYHwZ1PTtDZ5J3pngQh2CiTe0eztPtkirV05Yfn0")</f>
        <v>1IGQeYHwZ1PTtDZ5J3pngQh2CiTe0eztPtkirV05Yfn0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IFERROR(__xludf.DUMMYFUNCTION("""COMPUTED_VALUE"""),"Blotter")</f>
        <v>Blotter</v>
      </c>
      <c r="B82" t="str">
        <f>IFERROR(__xludf.DUMMYFUNCTION("""COMPUTED_VALUE"""),"BlotterFunctionalities")</f>
        <v>BlotterFunctionalities</v>
      </c>
      <c r="C82" t="str">
        <f>IFERROR(__xludf.DUMMYFUNCTION("""COMPUTED_VALUE"""),"186JjG_Ko2ioSSokldVvYGEzowliqTGKmrzVD57ebYO0")</f>
        <v>186JjG_Ko2ioSSokldVvYGEzowliqTGKmrzVD57ebYO0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IFERROR(__xludf.DUMMYFUNCTION("""COMPUTED_VALUE"""),"TradeNewSub")</f>
        <v>TradeNewSub</v>
      </c>
      <c r="C83" t="str">
        <f>IFERROR(__xludf.DUMMYFUNCTION("""COMPUTED_VALUE"""),"1Muxt3XVeal8ijJZ9PFOV7BjtWOkZwktKh2hr7eyisr8")</f>
        <v>1Muxt3XVeal8ijJZ9PFOV7BjtWOkZwktKh2hr7eyisr8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IFERROR(__xludf.DUMMYFUNCTION("""COMPUTED_VALUE"""),"GeneralLedger")</f>
        <v>GeneralLedger</v>
      </c>
      <c r="B84" t="str">
        <f>IFERROR(__xludf.DUMMYFUNCTION("""COMPUTED_VALUE"""),"GetTradingTransaction")</f>
        <v>GetTradingTransaction</v>
      </c>
      <c r="C84" t="str">
        <f>IFERROR(__xludf.DUMMYFUNCTION("""COMPUTED_VALUE"""),"1VMYHglP2fkjYnP4JAs8baMjTLBOQq4G2nCZZHofxJ_E")</f>
        <v>1VMYHglP2fkjYnP4JAs8baMjTLBOQq4G2nCZZHofxJ_E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IFERROR(__xludf.DUMMYFUNCTION("""COMPUTED_VALUE"""),"GeneralLedger")</f>
        <v>GeneralLedger</v>
      </c>
      <c r="B85" t="str">
        <f>IFERROR(__xludf.DUMMYFUNCTION("""COMPUTED_VALUE"""),"GetActivityData")</f>
        <v>GetActivityData</v>
      </c>
      <c r="C85" t="str">
        <f>IFERROR(__xludf.DUMMYFUNCTION("""COMPUTED_VALUE"""),"1cgB7L-hmW69lXXu8-acayYl62KglwsTMNmc71UN0igs")</f>
        <v>1cgB7L-hmW69lXXu8-acayYl62KglwsTMNmc71UN0igs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IFERROR(__xludf.DUMMYFUNCTION("""COMPUTED_VALUE"""),"Allocation")</f>
        <v>Allocation</v>
      </c>
      <c r="B86" t="str">
        <f>IFERROR(__xludf.DUMMYFUNCTION("""COMPUTED_VALUE"""),"SetAccountValueCalculatedPref")</f>
        <v>SetAccountValueCalculatedPref</v>
      </c>
      <c r="C86" t="str">
        <f>IFERROR(__xludf.DUMMYFUNCTION("""COMPUTED_VALUE"""),"1iW8f0wobJi3n6fY9ZFF2ESnVsRhxf3kblT2TOsYbNlY")</f>
        <v>1iW8f0wobJi3n6fY9ZFF2ESnVsRhxf3kblT2TOsYbNlY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IFERROR(__xludf.DUMMYFUNCTION("""COMPUTED_VALUE"""),"Allocation")</f>
        <v>Allocation</v>
      </c>
      <c r="B87" t="str">
        <f>IFERROR(__xludf.DUMMYFUNCTION("""COMPUTED_VALUE"""),"TradeAttributeBulkChangeGroups")</f>
        <v>TradeAttributeBulkChangeGroups</v>
      </c>
      <c r="C87" t="str">
        <f>IFERROR(__xludf.DUMMYFUNCTION("""COMPUTED_VALUE"""),"1G53tsyKDmEFnrtosRZ96Q4iATP0dLrOdTyyxLeC6_d4")</f>
        <v>1G53tsyKDmEFnrtosRZ96Q4iATP0dLrOdTyyxLeC6_d4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IFERROR(__xludf.DUMMYFUNCTION("""COMPUTED_VALUE"""),"TradeAttributeBulkChangeTaxlots")</f>
        <v>TradeAttributeBulkChangeTaxlots</v>
      </c>
      <c r="C88" t="str">
        <f>IFERROR(__xludf.DUMMYFUNCTION("""COMPUTED_VALUE"""),"11X0wsOdGxXWCkqhBueMs8fsJ6tZSOyCBY_nreYhelGE")</f>
        <v>11X0wsOdGxXWCkqhBueMs8fsJ6tZSOyCBY_nreYhelGE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IFERROR(__xludf.DUMMYFUNCTION("""COMPUTED_VALUE"""),"AddCalculatedPreferenceToolbar")</f>
        <v>AddCalculatedPreferenceToolbar</v>
      </c>
      <c r="C89" t="str">
        <f>IFERROR(__xludf.DUMMYFUNCTION("""COMPUTED_VALUE"""),"1f8LdPG_fu813MWdc5LZ_f3a6pNZvy-agc1gnR2D2d1I")</f>
        <v>1f8LdPG_fu813MWdc5LZ_f3a6pNZvy-agc1gnR2D2d1I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IFERROR(__xludf.DUMMYFUNCTION("""COMPUTED_VALUE"""),"GetRevaluationData")</f>
        <v>GetRevaluationData</v>
      </c>
      <c r="C90" t="str">
        <f>IFERROR(__xludf.DUMMYFUNCTION("""COMPUTED_VALUE"""),"1V-6AQFpzaZJ8xmybbF01Wuug9O7LKL6RW8hnIFpfg0A")</f>
        <v>1V-6AQFpzaZJ8xmybbF01Wuug9O7LKL6RW8hnIFpfg0A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IFERROR(__xludf.DUMMYFUNCTION("""COMPUTED_VALUE"""),"SetStrategyValueCalculatedPref")</f>
        <v>SetStrategyValueCalculatedPref</v>
      </c>
      <c r="C91" t="str">
        <f>IFERROR(__xludf.DUMMYFUNCTION("""COMPUTED_VALUE"""),"1VB617Gzkn_UV5GDWBAYHZGgHKMLrMfaWHKFGFe9z8G8")</f>
        <v>1VB617Gzkn_UV5GDWBAYHZGgHKMLrMfaWHKFGFe9z8G8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IFERROR(__xludf.DUMMYFUNCTION("""COMPUTED_VALUE"""),"GetAccountDetails")</f>
        <v>GetAccountDetails</v>
      </c>
      <c r="C92" t="str">
        <f>IFERROR(__xludf.DUMMYFUNCTION("""COMPUTED_VALUE"""),"1k1Ie1c24aNxpOs6nYHOYfGQGN9W0vjGnF9yUwonVFeA")</f>
        <v>1k1Ie1c24aNxpOs6nYHOYfGQGN9W0vjGnF9yUwonVFeA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IFERROR(__xludf.DUMMYFUNCTION("""COMPUTED_VALUE"""),"ApplyBulkUpdateOnTaxlots")</f>
        <v>ApplyBulkUpdateOnTaxlots</v>
      </c>
      <c r="C93" t="str">
        <f>IFERROR(__xludf.DUMMYFUNCTION("""COMPUTED_VALUE"""),"1Xwbnmdxg6m-npWyZ5Gi23GfKz3X3tz-XezmOEO3vNfE")</f>
        <v>1Xwbnmdxg6m-npWyZ5Gi23GfKz3X3tz-XezmOEO3vNfE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IFERROR(__xludf.DUMMYFUNCTION("""COMPUTED_VALUE"""),"GetNonTradingTransaction")</f>
        <v>GetNonTradingTransaction</v>
      </c>
      <c r="C94" t="str">
        <f>IFERROR(__xludf.DUMMYFUNCTION("""COMPUTED_VALUE"""),"1XtTY96kO-E7pz5Jz6qiZoyQVS43HJTN-piH7D1rkU78")</f>
        <v>1XtTY96kO-E7pz5Jz6qiZoyQVS43HJTN-piH7D1rkU78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IFERROR(__xludf.DUMMYFUNCTION("""COMPUTED_VALUE"""),"CommissionBulkChangeOnGroups")</f>
        <v>CommissionBulkChangeOnGroups</v>
      </c>
      <c r="C95" t="str">
        <f>IFERROR(__xludf.DUMMYFUNCTION("""COMPUTED_VALUE"""),"1H67FQNHuP6xak7FlkxXewU5WTmrQHbta2nU0qPmskvU")</f>
        <v>1H67FQNHuP6xak7FlkxXewU5WTmrQHbta2nU0qPmskvU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IFERROR(__xludf.DUMMYFUNCTION("""COMPUTED_VALUE"""),"GetDividendData")</f>
        <v>GetDividendData</v>
      </c>
      <c r="C96" t="str">
        <f>IFERROR(__xludf.DUMMYFUNCTION("""COMPUTED_VALUE"""),"12a6kTgyTXVCSfnBgbAKqfG0SPlGmevXkjlXLI_wZUw4")</f>
        <v>12a6kTgyTXVCSfnBgbAKqfG0SPlGmevXkjlXLI_wZUw4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IFERROR(__xludf.DUMMYFUNCTION("""COMPUTED_VALUE"""),"CommissionBulkChangeOnTaxlots")</f>
        <v>CommissionBulkChangeOnTaxlots</v>
      </c>
      <c r="C97" t="str">
        <f>IFERROR(__xludf.DUMMYFUNCTION("""COMPUTED_VALUE"""),"1CoWI-gfDdRPBJ2e4daoGlDb8cG4zbzkObTfK5Aapr84")</f>
        <v>1CoWI-gfDdRPBJ2e4daoGlDb8cG4zbzkObTfK5Aapr84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IFERROR(__xludf.DUMMYFUNCTION("""COMPUTED_VALUE"""),"VerifyNonTradingTransaction")</f>
        <v>VerifyNonTradingTransaction</v>
      </c>
      <c r="C98" t="str">
        <f>IFERROR(__xludf.DUMMYFUNCTION("""COMPUTED_VALUE"""),"11r_KFt7jpx8JH9Q62IwhpJdz6uoTKEVt4skafwybhVk")</f>
        <v>11r_KFt7jpx8JH9Q62IwhpJdz6uoTKEVt4skafwybhVk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IFERROR(__xludf.DUMMYFUNCTION("""COMPUTED_VALUE"""),"SelectUnallocatedGroup")</f>
        <v>SelectUnallocatedGroup</v>
      </c>
      <c r="C99" t="str">
        <f>IFERROR(__xludf.DUMMYFUNCTION("""COMPUTED_VALUE"""),"1ILMSh2S7GBvsNEtiq4zqVqc5DztzmPTMHAtdTK4dnqk")</f>
        <v>1ILMSh2S7GBvsNEtiq4zqVqc5DztzmPTMHAtdTK4dnqk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IFERROR(__xludf.DUMMYFUNCTION("""COMPUTED_VALUE"""),"VerifyDividend")</f>
        <v>VerifyDividend</v>
      </c>
      <c r="C100" t="str">
        <f>IFERROR(__xludf.DUMMYFUNCTION("""COMPUTED_VALUE"""),"1heg65kitbQtwmRNUE0JsrxnOUfxvBMG9YTkDxdPt7PU")</f>
        <v>1heg65kitbQtwmRNUE0JsrxnOUfxvBMG9YTkDxdPt7PU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IFERROR(__xludf.DUMMYFUNCTION("""COMPUTED_VALUE"""),"EnterAccountValuesToAllocate")</f>
        <v>EnterAccountValuesToAllocate</v>
      </c>
      <c r="C101" t="str">
        <f>IFERROR(__xludf.DUMMYFUNCTION("""COMPUTED_VALUE"""),"1vlh5Xnse_6x32XgA3u-nJLmDSCp9gMOm-ONvzNJmenM")</f>
        <v>1vlh5Xnse_6x32XgA3u-nJLmDSCp9gMOm-ONvzNJmenM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IFERROR(__xludf.DUMMYFUNCTION("""COMPUTED_VALUE"""),"GetOpeningBalanceData")</f>
        <v>GetOpeningBalanceData</v>
      </c>
      <c r="C102" t="str">
        <f>IFERROR(__xludf.DUMMYFUNCTION("""COMPUTED_VALUE"""),"18FNVFHi4tmvLoVUEYW8OIBj34BJjSE4UfP22Low0lrQ")</f>
        <v>18FNVFHi4tmvLoVUEYW8OIBj34BJjSE4UfP22Low0lrQ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IFERROR(__xludf.DUMMYFUNCTION("""COMPUTED_VALUE"""),"EnterAllocatePreference")</f>
        <v>EnterAllocatePreference</v>
      </c>
      <c r="C103" t="str">
        <f>IFERROR(__xludf.DUMMYFUNCTION("""COMPUTED_VALUE"""),"1yu6800I5KuQnhcJ2fJ9MayJrB8hJgR22dDd3yAfoqrs")</f>
        <v>1yu6800I5KuQnhcJ2fJ9MayJrB8hJgR22dDd3yAfoqrs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IFERROR(__xludf.DUMMYFUNCTION("""COMPUTED_VALUE"""),"GetAccountBalance")</f>
        <v>GetAccountBalance</v>
      </c>
      <c r="C104" t="str">
        <f>IFERROR(__xludf.DUMMYFUNCTION("""COMPUTED_VALUE"""),"1LzTW5QCOg1n53cS_dRea7BFsZ_MH6SlpDslAW5yWH5M")</f>
        <v>1LzTW5QCOg1n53cS_dRea7BFsZ_MH6SlpDslAW5yWH5M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IFERROR(__xludf.DUMMYFUNCTION("""COMPUTED_VALUE"""),"Expnl")</f>
        <v>Expnl</v>
      </c>
      <c r="B105" t="str">
        <f>IFERROR(__xludf.DUMMYFUNCTION("""COMPUTED_VALUE"""),"RestartExpnl")</f>
        <v>RestartExpnl</v>
      </c>
      <c r="C105" t="str">
        <f>IFERROR(__xludf.DUMMYFUNCTION("""COMPUTED_VALUE"""),"1hp2_ancBTw_O56iD2xHFcUmnctCT6XmJGLoL9Zewic0")</f>
        <v>1hp2_ancBTw_O56iD2xHFcUmnctCT6XmJGLoL9Zewic0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IFERROR(__xludf.DUMMYFUNCTION("""COMPUTED_VALUE"""),"PortfolioManagement")</f>
        <v>PortfolioManagement</v>
      </c>
      <c r="B106" t="str">
        <f>IFERROR(__xludf.DUMMYFUNCTION("""COMPUTED_VALUE"""),"ClosePM")</f>
        <v>ClosePM</v>
      </c>
      <c r="C106" t="str">
        <f>IFERROR(__xludf.DUMMYFUNCTION("""COMPUTED_VALUE"""),"Undefined")</f>
        <v>Undefined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IFERROR(__xludf.DUMMYFUNCTION("""COMPUTED_VALUE"""),"EnterStrategyValuesToAllocate")</f>
        <v>EnterStrategyValuesToAllocate</v>
      </c>
      <c r="C107" t="str">
        <f>IFERROR(__xludf.DUMMYFUNCTION("""COMPUTED_VALUE"""),"1QiWbie1a2ZDKoeS6hogrVj4Gx1vXnqJjYt0otMhw4rQ")</f>
        <v>1QiWbie1a2ZDKoeS6hogrVj4Gx1vXnqJjYt0otMhw4rQ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IFERROR(__xludf.DUMMYFUNCTION("""COMPUTED_VALUE"""),"SelectNonTradingTransaction")</f>
        <v>SelectNonTradingTransaction</v>
      </c>
      <c r="C108" t="str">
        <f>IFERROR(__xludf.DUMMYFUNCTION("""COMPUTED_VALUE"""),"1-3zFbypNTYN7mseJg5VwjLJF0364sdxy5fm_i_dO6qk")</f>
        <v>1-3zFbypNTYN7mseJg5VwjLJF0364sdxy5fm_i_dO6qk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IFERROR(__xludf.DUMMYFUNCTION("""COMPUTED_VALUE"""),"SelectNonTradingTranItem")</f>
        <v>SelectNonTradingTranItem</v>
      </c>
      <c r="C109" t="str">
        <f>IFERROR(__xludf.DUMMYFUNCTION("""COMPUTED_VALUE"""),"1c3Ferc-qWUMc6sFnFHepxgiRH529ndWvHz_y9tP3QiQ")</f>
        <v>1c3Ferc-qWUMc6sFnFHepxgiRH529ndWvHz_y9tP3QiQ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IFERROR(__xludf.DUMMYFUNCTION("""COMPUTED_VALUE"""),"Allocation")</f>
        <v>Allocation</v>
      </c>
      <c r="B110" t="str">
        <f>IFERROR(__xludf.DUMMYFUNCTION("""COMPUTED_VALUE"""),"CopyCalculatedPreferenceToolbar")</f>
        <v>CopyCalculatedPreferenceToolbar</v>
      </c>
      <c r="C110" t="str">
        <f>IFERROR(__xludf.DUMMYFUNCTION("""COMPUTED_VALUE"""),"1Ie_ryJDtUyC5cY8EqwiXzEX5JRMGBxh8DhjtPOq2qH0")</f>
        <v>1Ie_ryJDtUyC5cY8EqwiXzEX5JRMGBxh8DhjtPOq2qH0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IFERROR(__xludf.DUMMYFUNCTION("""COMPUTED_VALUE"""),"SetGeneralRuleCalculatedPref")</f>
        <v>SetGeneralRuleCalculatedPref</v>
      </c>
      <c r="C111" t="str">
        <f>IFERROR(__xludf.DUMMYFUNCTION("""COMPUTED_VALUE"""),"1P6hfPLfTjAL9WDojfEMZZ12TRNV1fKQm6BoqOKyc3S4")</f>
        <v>1P6hfPLfTjAL9WDojfEMZZ12TRNV1fKQm6BoqOKyc3S4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IFERROR(__xludf.DUMMYFUNCTION("""COMPUTED_VALUE"""),"DeleteNonTradingTransaction")</f>
        <v>DeleteNonTradingTransaction</v>
      </c>
      <c r="C112" t="str">
        <f>IFERROR(__xludf.DUMMYFUNCTION("""COMPUTED_VALUE"""),"16lp7AjDIz-d1LMzx7DbYtSt-dT5ISvHEBpLY97GMi5c")</f>
        <v>16lp7AjDIz-d1LMzx7DbYtSt-dT5ISvHEBpLY97GMi5c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IFERROR(__xludf.DUMMYFUNCTION("""COMPUTED_VALUE"""),"DeleteNonTradingTranItem")</f>
        <v>DeleteNonTradingTranItem</v>
      </c>
      <c r="C113" t="str">
        <f>IFERROR(__xludf.DUMMYFUNCTION("""COMPUTED_VALUE"""),"1gcOSfV9GRfC4KYtkqfy-GZrjcJw1ZFzufEIqYnIRXAI")</f>
        <v>1gcOSfV9GRfC4KYtkqfy-GZrjcJw1ZFzufEIqYnIRXAI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IFERROR(__xludf.DUMMYFUNCTION("""COMPUTED_VALUE"""),"ExportAllCalculatedPreferences")</f>
        <v>ExportAllCalculatedPreferences</v>
      </c>
      <c r="C114" t="str">
        <f>IFERROR(__xludf.DUMMYFUNCTION("""COMPUTED_VALUE"""),"1sVDSPYZ4mdi-3PXni9I35_O4hc6X1H3U6gsgeGfmvZw")</f>
        <v>1sVDSPYZ4mdi-3PXni9I35_O4hc6X1H3U6gsgeGfmvZw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IFERROR(__xludf.DUMMYFUNCTION("""COMPUTED_VALUE"""),"AddNonTradingTransaction")</f>
        <v>AddNonTradingTransaction</v>
      </c>
      <c r="C115" t="str">
        <f>IFERROR(__xludf.DUMMYFUNCTION("""COMPUTED_VALUE"""),"1mp1XFP7835KF_T7MiX_Bq2nNPhyoxoF43xXV_hzO_Zw")</f>
        <v>1mp1XFP7835KF_T7MiX_Bq2nNPhyoxoF43xXV_hzO_Zw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IFERROR(__xludf.DUMMYFUNCTION("""COMPUTED_VALUE"""),"AddNonTradingTranItem")</f>
        <v>AddNonTradingTranItem</v>
      </c>
      <c r="C116" t="str">
        <f>IFERROR(__xludf.DUMMYFUNCTION("""COMPUTED_VALUE"""),"1VJ6kSBsB1sCLHWYTcE-jCL1JFseRHXx_eUPn7cMrsC4")</f>
        <v>1VJ6kSBsB1sCLHWYTcE-jCL1JFseRHXx_eUPn7cMrsC4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IFERROR(__xludf.DUMMYFUNCTION("""COMPUTED_VALUE"""),"Allocation")</f>
        <v>Allocation</v>
      </c>
      <c r="B117" t="str">
        <f>IFERROR(__xludf.DUMMYFUNCTION("""COMPUTED_VALUE"""),"SaveCalculatedPreferences")</f>
        <v>SaveCalculatedPreferences</v>
      </c>
      <c r="C117" t="str">
        <f>IFERROR(__xludf.DUMMYFUNCTION("""COMPUTED_VALUE"""),"Undefined")</f>
        <v>Undefined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30" t="str">
        <f>IFERROR(__xludf.DUMMYFUNCTION("""COMPUTED_VALUE"""),"GeneralLedger")</f>
        <v>GeneralLedger</v>
      </c>
      <c r="B118" t="str">
        <f>IFERROR(__xludf.DUMMYFUNCTION("""COMPUTED_VALUE"""),"VerifyOpeningBalanceData")</f>
        <v>VerifyOpeningBalanceData</v>
      </c>
      <c r="C118" t="str">
        <f>IFERROR(__xludf.DUMMYFUNCTION("""COMPUTED_VALUE"""),"1cbgDUL82g9J-kIeKIRSbR3N23KhZT2PrbfbfNmiHy4g")</f>
        <v>1cbgDUL82g9J-kIeKIRSbR3N23KhZT2PrbfbfNmiHy4g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IFERROR(__xludf.DUMMYFUNCTION("""COMPUTED_VALUE"""),"SelectOpeningBalanceTransaction")</f>
        <v>SelectOpeningBalanceTransaction</v>
      </c>
      <c r="C119" t="str">
        <f>IFERROR(__xludf.DUMMYFUNCTION("""COMPUTED_VALUE"""),"16buMqjm-t8DWdN0KXsbYQ_lEbfhNYAAjpimZL4zGss4")</f>
        <v>16buMqjm-t8DWdN0KXsbYQ_lEbfhNYAAjpimZL4zGss4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IFERROR(__xludf.DUMMYFUNCTION("""COMPUTED_VALUE"""),"TradingTicket")</f>
        <v>TradingTicket</v>
      </c>
      <c r="B120" t="str">
        <f>IFERROR(__xludf.DUMMYFUNCTION("""COMPUTED_VALUE"""),"CreateStageOrder ")</f>
        <v>CreateStageOrder </v>
      </c>
      <c r="C120" t="str">
        <f>IFERROR(__xludf.DUMMYFUNCTION("""COMPUTED_VALUE"""),"1cTGXGtKQnVf_iYDZ14Z7WLr9Idi4Fv7ecBnDagaEoxc")</f>
        <v>1cTGXGtKQnVf_iYDZ14Z7WLr9Idi4Fv7ecBnDagaEoxc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IFERROR(__xludf.DUMMYFUNCTION("""COMPUTED_VALUE"""),"Blotter")</f>
        <v>Blotter</v>
      </c>
      <c r="B121" t="str">
        <f>IFERROR(__xludf.DUMMYFUNCTION("""COMPUTED_VALUE"""),"TransferToUserWorkingSubs")</f>
        <v>TransferToUserWorkingSubs</v>
      </c>
      <c r="C121" t="str">
        <f>IFERROR(__xludf.DUMMYFUNCTION("""COMPUTED_VALUE"""),"1rjH_mAlI-kiVGhxIxfiFp3qZK1WQe6BRlh4DIAucqp8")</f>
        <v>1rjH_mAlI-kiVGhxIxfiFp3qZK1WQe6BRlh4DIAucqp8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IFERROR(__xludf.DUMMYFUNCTION("""COMPUTED_VALUE"""),"Blotter")</f>
        <v>Blotter</v>
      </c>
      <c r="B122" t="str">
        <f>IFERROR(__xludf.DUMMYFUNCTION("""COMPUTED_VALUE"""),"CancelWorkingSubs")</f>
        <v>CancelWorkingSubs</v>
      </c>
      <c r="C122" t="str">
        <f>IFERROR(__xludf.DUMMYFUNCTION("""COMPUTED_VALUE"""),"1f4UZSvqnSA0-TMEsWanXPqPh8ArCbNzI-iVrxMqdPxI")</f>
        <v>1f4UZSvqnSA0-TMEsWanXPqPh8ArCbNzI-iVrxMqdPxI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IFERROR(__xludf.DUMMYFUNCTION("""COMPUTED_VALUE"""),"ReplaceWorkingSubs")</f>
        <v>ReplaceWorkingSubs</v>
      </c>
      <c r="C123" t="str">
        <f>IFERROR(__xludf.DUMMYFUNCTION("""COMPUTED_VALUE"""),"1N0y4hQ6-0O4QG9Lw-HRxuoqx62IGJgkW3FYbgGjNsEo")</f>
        <v>1N0y4hQ6-0O4QG9Lw-HRxuoqx62IGJgkW3FYbgGjNsEo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IFERROR(__xludf.DUMMYFUNCTION("""COMPUTED_VALUE"""),"ViewAllocationDetailsWorkingSub")</f>
        <v>ViewAllocationDetailsWorkingSub</v>
      </c>
      <c r="C124" t="str">
        <f>IFERROR(__xludf.DUMMYFUNCTION("""COMPUTED_VALUE"""),"1-uClOKqZLyl7y2gkvrmPsLuujEeaQk89MlmJI-seKDQ")</f>
        <v>1-uClOKqZLyl7y2gkvrmPsLuujEeaQk89MlmJI-seKDQ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IFERROR(__xludf.DUMMYFUNCTION("""COMPUTED_VALUE"""),"SelectTradeOnOrderGrid")</f>
        <v>SelectTradeOnOrderGrid</v>
      </c>
      <c r="C125" t="str">
        <f>IFERROR(__xludf.DUMMYFUNCTION("""COMPUTED_VALUE"""),"1ZeUzy4DVw1BRVaSZ9Gc4b0AxaQ3gmozmUvzNq8PNrSc")</f>
        <v>1ZeUzy4DVw1BRVaSZ9Gc4b0AxaQ3gmozmUvzNq8PNrSc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IFERROR(__xludf.DUMMYFUNCTION("""COMPUTED_VALUE"""),"ShowDetailsForAlgoTradeSubOrder")</f>
        <v>ShowDetailsForAlgoTradeSubOrder</v>
      </c>
      <c r="C126" t="str">
        <f>IFERROR(__xludf.DUMMYFUNCTION("""COMPUTED_VALUE"""),"1w85dUCDeKl2Qn0Srhw7tlKfWNcL7qOffjvVB5Aeacqw")</f>
        <v>1w85dUCDeKl2Qn0Srhw7tlKfWNcL7qOffjvVB5Aeacqw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IFERROR(__xludf.DUMMYFUNCTION("""COMPUTED_VALUE"""),"SelectTradeOrderBlotter")</f>
        <v>SelectTradeOrderBlotter</v>
      </c>
      <c r="C127" t="str">
        <f>IFERROR(__xludf.DUMMYFUNCTION("""COMPUTED_VALUE"""),"1bHMGFLukgIQvokymSozfHITL14P-6BmJD1fulShe_nE")</f>
        <v>1bHMGFLukgIQvokymSozfHITL14P-6BmJD1fulShe_nE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IFERROR(__xludf.DUMMYFUNCTION("""COMPUTED_VALUE"""),"AddFillsWorkingSubs")</f>
        <v>AddFillsWorkingSubs</v>
      </c>
      <c r="C128" t="str">
        <f>IFERROR(__xludf.DUMMYFUNCTION("""COMPUTED_VALUE"""),"1AMIiTOdlTgw9P8zc6L0r7j_BnZ_3MiAz7TO8GcTfNlc")</f>
        <v>1AMIiTOdlTgw9P8zc6L0r7j_BnZ_3MiAz7TO8GcTfNlc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IFERROR(__xludf.DUMMYFUNCTION("""COMPUTED_VALUE"""),"EditAddFillsDetails")</f>
        <v>EditAddFillsDetails</v>
      </c>
      <c r="C129" t="str">
        <f>IFERROR(__xludf.DUMMYFUNCTION("""COMPUTED_VALUE"""),"1o5hoU4jKWkNAyzCxyVxXl0pXQTW1E66hZri02EXVnLA")</f>
        <v>1o5hoU4jKWkNAyzCxyVxXl0pXQTW1E66hZri02EXVnLA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IFERROR(__xludf.DUMMYFUNCTION("""COMPUTED_VALUE"""),"ShowDetailsForAlgoTradeWorkingSubs")</f>
        <v>ShowDetailsForAlgoTradeWorkingSubs</v>
      </c>
      <c r="C130" t="str">
        <f>IFERROR(__xludf.DUMMYFUNCTION("""COMPUTED_VALUE"""),"1S5h4QaGRhGMlPa2ZRFO9TCNd2bWorBHznLf2u_4jHi8")</f>
        <v>1S5h4QaGRhGMlPa2ZRFO9TCNd2bWorBHznLf2u_4jHi8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IFERROR(__xludf.DUMMYFUNCTION("""COMPUTED_VALUE"""),"Closing")</f>
        <v>Closing</v>
      </c>
      <c r="B131" t="str">
        <f>IFERROR(__xludf.DUMMYFUNCTION("""COMPUTED_VALUE"""),"SwapExpire")</f>
        <v>SwapExpire</v>
      </c>
      <c r="C131" t="str">
        <f>IFERROR(__xludf.DUMMYFUNCTION("""COMPUTED_VALUE"""),"1jUV7qVgqGBaaceWSNh0-cSAYDYEL78u2ObuRdiWFjFM")</f>
        <v>1jUV7qVgqGBaaceWSNh0-cSAYDYEL78u2ObuRdiWFjFM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IFERROR(__xludf.DUMMYFUNCTION("""COMPUTED_VALUE"""),"VerifyWorkingSubs")</f>
        <v>VerifyWorkingSubs</v>
      </c>
      <c r="C132" t="str">
        <f>IFERROR(__xludf.DUMMYFUNCTION("""COMPUTED_VALUE"""),"1gnwVxErkX0O8iYhIQrs9DWwoaWkHaW13GCTqGHY6k_w")</f>
        <v>1gnwVxErkX0O8iYhIQrs9DWwoaWkHaW13GCTqGHY6k_w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IFERROR(__xludf.DUMMYFUNCTION("""COMPUTED_VALUE"""),"TransferToUserOrder")</f>
        <v>TransferToUserOrder</v>
      </c>
      <c r="C133" t="str">
        <f>IFERROR(__xludf.DUMMYFUNCTION("""COMPUTED_VALUE"""),"1Vo4cA56jwD3rxlaJNNHMgg8RQplZa0kTei6Nnq-HRXM")</f>
        <v>1Vo4cA56jwD3rxlaJNNHMgg8RQplZa0kTei6Nnq-HRXM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IFERROR(__xludf.DUMMYFUNCTION("""COMPUTED_VALUE"""),"Allocation")</f>
        <v>Allocation</v>
      </c>
      <c r="B134" t="str">
        <f>IFERROR(__xludf.DUMMYFUNCTION("""COMPUTED_VALUE"""),"CloseCalculatedPreferences")</f>
        <v>CloseCalculatedPreferences</v>
      </c>
      <c r="C134" t="str">
        <f>IFERROR(__xludf.DUMMYFUNCTION("""COMPUTED_VALUE"""),"Undefined")</f>
        <v>Undefined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IFERROR(__xludf.DUMMYFUNCTION("""COMPUTED_VALUE"""),"TradingTicket")</f>
        <v>TradingTicket</v>
      </c>
      <c r="B135" t="str">
        <f>IFERROR(__xludf.DUMMYFUNCTION("""COMPUTED_VALUE"""),"CreateReplaceOrder")</f>
        <v>CreateReplaceOrder</v>
      </c>
      <c r="C135" t="str">
        <f>IFERROR(__xludf.DUMMYFUNCTION("""COMPUTED_VALUE"""),"1M0Fl98LaCTHV2pr19gvtA9fIIfql3PLfeq1ULjK7UzA")</f>
        <v>1M0Fl98LaCTHV2pr19gvtA9fIIfql3PLfeq1ULjK7UzA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IFERROR(__xludf.DUMMYFUNCTION("""COMPUTED_VALUE"""),"EditOrder")</f>
        <v>EditOrder</v>
      </c>
      <c r="C136" t="str">
        <f>IFERROR(__xludf.DUMMYFUNCTION("""COMPUTED_VALUE"""),"1daa0SyOv50AAAdPGI6HsPWh5ZYvQ4SIcLdCEVWzrPQc")</f>
        <v>1daa0SyOv50AAAdPGI6HsPWh5ZYvQ4SIcLdCEVWzrPQc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IFERROR(__xludf.DUMMYFUNCTION("""COMPUTED_VALUE"""),"SelectTradeSubOrderBlotter")</f>
        <v>SelectTradeSubOrderBlotter</v>
      </c>
      <c r="C137" t="str">
        <f>IFERROR(__xludf.DUMMYFUNCTION("""COMPUTED_VALUE"""),"1siJRAcBcVXgBpK4E1BntQGR7VQIVib_eeve0MvaoRqs")</f>
        <v>1siJRAcBcVXgBpK4E1BntQGR7VQIVib_eeve0MvaoRqs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IFERROR(__xludf.DUMMYFUNCTION("""COMPUTED_VALUE"""),"VerifyOrder")</f>
        <v>VerifyOrder</v>
      </c>
      <c r="C138" t="str">
        <f>IFERROR(__xludf.DUMMYFUNCTION("""COMPUTED_VALUE"""),"1mdVvccZ_TGkK59RrMH3Cylr7jydt-mutfHV_wv0d4V4")</f>
        <v>1mdVvccZ_TGkK59RrMH3Cylr7jydt-mutfHV_wv0d4V4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IFERROR(__xludf.DUMMYFUNCTION("""COMPUTED_VALUE"""),"VerifySubOrder")</f>
        <v>VerifySubOrder</v>
      </c>
      <c r="C139" t="str">
        <f>IFERROR(__xludf.DUMMYFUNCTION("""COMPUTED_VALUE"""),"1b4Exp8SZBnmCRcnj8jug_2EDRsh1qKZFqZZ-Kww6ZoU")</f>
        <v>1b4Exp8SZBnmCRcnj8jug_2EDRsh1qKZFqZZ-Kww6ZoU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IFERROR(__xludf.DUMMYFUNCTION("""COMPUTED_VALUE"""),"RemoveSelectedOrders")</f>
        <v>RemoveSelectedOrders</v>
      </c>
      <c r="C140" t="str">
        <f>IFERROR(__xludf.DUMMYFUNCTION("""COMPUTED_VALUE"""),"1su4_C2jiNjIuylQbjXmPiFUtxQLa_obyl9U5T-xhfiY")</f>
        <v>1su4_C2jiNjIuylQbjXmPiFUtxQLa_obyl9U5T-xhfiY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IFERROR(__xludf.DUMMYFUNCTION("""COMPUTED_VALUE"""),"CancelAllSelectedSubs")</f>
        <v>CancelAllSelectedSubs</v>
      </c>
      <c r="C141" t="str">
        <f>IFERROR(__xludf.DUMMYFUNCTION("""COMPUTED_VALUE"""),"1yqxUE-GcHgNzogkK8Uhq1_S16WkZxmiCHXGj_lFRoMs")</f>
        <v>1yqxUE-GcHgNzogkK8Uhq1_S16WkZxmiCHXGj_lFRoMs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IFERROR(__xludf.DUMMYFUNCTION("""COMPUTED_VALUE"""),"MultiTradingTicket")</f>
        <v>MultiTradingTicket</v>
      </c>
      <c r="C142" t="str">
        <f>IFERROR(__xludf.DUMMYFUNCTION("""COMPUTED_VALUE"""),"11AaapLB727DIqrzOYaH29ZrZ50I2xzlLgLt7DGwyF-E")</f>
        <v>11AaapLB727DIqrzOYaH29ZrZ50I2xzlLgLt7DGwyF-E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IFERROR(__xludf.DUMMYFUNCTION("""COMPUTED_VALUE"""),"AuditTrailOrderBlotter")</f>
        <v>AuditTrailOrderBlotter</v>
      </c>
      <c r="C143" t="str">
        <f>IFERROR(__xludf.DUMMYFUNCTION("""COMPUTED_VALUE"""),"12bKbqZT4x0Zjg9oaFZq47_AyumIAto7nkCK1BpvRO0A")</f>
        <v>12bKbqZT4x0Zjg9oaFZq47_AyumIAto7nkCK1BpvRO0A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IFERROR(__xludf.DUMMYFUNCTION("""COMPUTED_VALUE"""),"TradeNewSubOrder")</f>
        <v>TradeNewSubOrder</v>
      </c>
      <c r="C144" t="str">
        <f>IFERROR(__xludf.DUMMYFUNCTION("""COMPUTED_VALUE"""),"1Kt5xAewSpVD6SPB-RgFrUBRQ1H7yWyRBFxZL3Ohrj6M")</f>
        <v>1Kt5xAewSpVD6SPB-RgFrUBRQ1H7yWyRBFxZL3Ohrj6M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IFERROR(__xludf.DUMMYFUNCTION("""COMPUTED_VALUE"""),"RemoveStageOrder")</f>
        <v>RemoveStageOrder</v>
      </c>
      <c r="C145" t="str">
        <f>IFERROR(__xludf.DUMMYFUNCTION("""COMPUTED_VALUE"""),"1Fluz_DWk_nKXjQBIVwWoOReF4d54NLihSDlBEeir8y8")</f>
        <v>1Fluz_DWk_nKXjQBIVwWoOReF4d54NLihSDlBEeir8y8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IFERROR(__xludf.DUMMYFUNCTION("""COMPUTED_VALUE"""),"TradingTicket")</f>
        <v>TradingTicket</v>
      </c>
      <c r="B146" t="str">
        <f>IFERROR(__xludf.DUMMYFUNCTION("""COMPUTED_VALUE"""),"SetGeneralPreference")</f>
        <v>SetGeneralPreference</v>
      </c>
      <c r="C146" t="str">
        <f>IFERROR(__xludf.DUMMYFUNCTION("""COMPUTED_VALUE"""),"1gReRtAWcOTHjowBeRYx4USBTkci2cVwEhCptDhFftUQ")</f>
        <v>1gReRtAWcOTHjowBeRYx4USBTkci2cVwEhCptDhFftUQ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IFERROR(__xludf.DUMMYFUNCTION("""COMPUTED_VALUE"""),"TradingTicket")</f>
        <v>TradingTicket</v>
      </c>
      <c r="B147" t="str">
        <f>IFERROR(__xludf.DUMMYFUNCTION("""COMPUTED_VALUE"""),"CreateDoneAwayOrder")</f>
        <v>CreateDoneAwayOrder</v>
      </c>
      <c r="C147" t="str">
        <f>IFERROR(__xludf.DUMMYFUNCTION("""COMPUTED_VALUE"""),"1uA0GOXh4wiGEFn1HBTpQeqSmerQ8wIisPCpc8Ty-HDI")</f>
        <v>1uA0GOXh4wiGEFn1HBTpQeqSmerQ8wIisPCpc8Ty-HDI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IFERROR(__xludf.DUMMYFUNCTION("""COMPUTED_VALUE"""),"Allocation")</f>
        <v>Allocation</v>
      </c>
      <c r="B148" t="str">
        <f>IFERROR(__xludf.DUMMYFUNCTION("""COMPUTED_VALUE"""),"ExportCalculatedPreference")</f>
        <v>ExportCalculatedPreference</v>
      </c>
      <c r="C148" t="str">
        <f>IFERROR(__xludf.DUMMYFUNCTION("""COMPUTED_VALUE"""),"1MQEZ1xJtb0wAcffKS4AHWZ6J2wU2x64PFmJubSuC1hU")</f>
        <v>1MQEZ1xJtb0wAcffKS4AHWZ6J2wU2x64PFmJubSuC1hU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IFERROR(__xludf.DUMMYFUNCTION("""COMPUTED_VALUE"""),"GeneralLedger")</f>
        <v>GeneralLedger</v>
      </c>
      <c r="B149" t="str">
        <f>IFERROR(__xludf.DUMMYFUNCTION("""COMPUTED_VALUE"""),"SelectOpeningBalanceTranItem")</f>
        <v>SelectOpeningBalanceTranItem</v>
      </c>
      <c r="C149" t="str">
        <f>IFERROR(__xludf.DUMMYFUNCTION("""COMPUTED_VALUE"""),"1HZK84R5oOOKqObvq4IWVEjFPVr_lAIiOQu5XaQ46GfQ")</f>
        <v>1HZK84R5oOOKqObvq4IWVEjFPVr_lAIiOQu5XaQ46GfQ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IFERROR(__xludf.DUMMYFUNCTION("""COMPUTED_VALUE"""),"PricingInput")</f>
        <v>PricingInput</v>
      </c>
      <c r="B150" t="str">
        <f>IFERROR(__xludf.DUMMYFUNCTION("""COMPUTED_VALUE"""),"EODTPreferences")</f>
        <v>EODTPreferences</v>
      </c>
      <c r="C150" t="str">
        <f>IFERROR(__xludf.DUMMYFUNCTION("""COMPUTED_VALUE"""),"1Yuzf3ad1vdeo7Vyxz1jY_tuk18-fmEfJxX0Cl8wtq5o")</f>
        <v>1Yuzf3ad1vdeo7Vyxz1jY_tuk18-fmEfJxX0Cl8wtq5o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IFERROR(__xludf.DUMMYFUNCTION("""COMPUTED_VALUE"""),"LiveData")</f>
        <v>LiveData</v>
      </c>
      <c r="C151" t="str">
        <f>IFERROR(__xludf.DUMMYFUNCTION("""COMPUTED_VALUE"""),"1Av2XxI5bNhCFlkv2kfzo6ujcIvVox_ZypslZ1RfvU1Y")</f>
        <v>1Av2XxI5bNhCFlkv2kfzo6ujcIvVox_ZypslZ1RfvU1Y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IFERROR(__xludf.DUMMYFUNCTION("""COMPUTED_VALUE"""),"GeneralLedger")</f>
        <v>GeneralLedger</v>
      </c>
      <c r="B152" t="str">
        <f>IFERROR(__xludf.DUMMYFUNCTION("""COMPUTED_VALUE"""),"EditNonTradingTransaction")</f>
        <v>EditNonTradingTransaction</v>
      </c>
      <c r="C152" t="str">
        <f>IFERROR(__xludf.DUMMYFUNCTION("""COMPUTED_VALUE"""),"1CTOcFQrIfmr9l7YbxfJ04bIDqO3dJEewsOBhR4HI24I")</f>
        <v>1CTOcFQrIfmr9l7YbxfJ04bIDqO3dJEewsOBhR4HI24I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IFERROR(__xludf.DUMMYFUNCTION("""COMPUTED_VALUE"""),"EditNonTradingTranItem")</f>
        <v>EditNonTradingTranItem</v>
      </c>
      <c r="C153" t="str">
        <f>IFERROR(__xludf.DUMMYFUNCTION("""COMPUTED_VALUE"""),"1iejPBQBT4ogIeeSTEsofxnnTPt0mnB-izN_DPqUhDu0")</f>
        <v>1iejPBQBT4ogIeeSTEsofxnnTPt0mnB-izN_DPqUhDu0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IFERROR(__xludf.DUMMYFUNCTION("""COMPUTED_VALUE"""),"DeleteOpeningBalanceTransaction")</f>
        <v>DeleteOpeningBalanceTransaction</v>
      </c>
      <c r="C154" t="str">
        <f>IFERROR(__xludf.DUMMYFUNCTION("""COMPUTED_VALUE"""),"1_wXfIf5DqAoY91Jb9aEQtyw84UyQs70uAByhfJLqFRY")</f>
        <v>1_wXfIf5DqAoY91Jb9aEQtyw84UyQs70uAByhfJLqFRY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IFERROR(__xludf.DUMMYFUNCTION("""COMPUTED_VALUE"""),"DeleteOpeningBalanceTranItem")</f>
        <v>DeleteOpeningBalanceTranItem</v>
      </c>
      <c r="C155" t="str">
        <f>IFERROR(__xludf.DUMMYFUNCTION("""COMPUTED_VALUE"""),"1EpsNt91ChcN8HQWEW-lErl4uX4OltaGCgs2tKp-kj4A")</f>
        <v>1EpsNt91ChcN8HQWEW-lErl4uX4OltaGCgs2tKp-kj4A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IFERROR(__xludf.DUMMYFUNCTION("""COMPUTED_VALUE"""),"Allocation")</f>
        <v>Allocation</v>
      </c>
      <c r="B156" t="str">
        <f>IFERROR(__xludf.DUMMYFUNCTION("""COMPUTED_VALUE"""),"ImportCalculatedPreferences")</f>
        <v>ImportCalculatedPreferences</v>
      </c>
      <c r="C156" t="str">
        <f>IFERROR(__xludf.DUMMYFUNCTION("""COMPUTED_VALUE"""),"18vhnd5xj3NAYjC-yFO1oyOPDOLkT2MS9D6zP1VcOkuU")</f>
        <v>18vhnd5xj3NAYjC-yFO1oyOPDOLkT2MS9D6zP1VcOkuU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IFERROR(__xludf.DUMMYFUNCTION("""COMPUTED_VALUE"""),"GetDayEndCash")</f>
        <v>GetDayEndCash</v>
      </c>
      <c r="C157" t="str">
        <f>IFERROR(__xludf.DUMMYFUNCTION("""COMPUTED_VALUE"""),"1jqS9oQPmnlJep9od8joR9qslA_C25MlFI6PrAbWqhmg")</f>
        <v>1jqS9oQPmnlJep9od8joR9qslA_C25MlFI6PrAbWqhmg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IFERROR(__xludf.DUMMYFUNCTION("""COMPUTED_VALUE"""),"VerifyDayEndCash")</f>
        <v>VerifyDayEndCash</v>
      </c>
      <c r="C158" t="str">
        <f>IFERROR(__xludf.DUMMYFUNCTION("""COMPUTED_VALUE"""),"1GW6vFeVwfYm2wcsBKLqW5b_IfQ0IXb-d4lE8S_dCos8")</f>
        <v>1GW6vFeVwfYm2wcsBKLqW5b_IfQ0IXb-d4lE8S_dCos8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IFERROR(__xludf.DUMMYFUNCTION("""COMPUTED_VALUE"""),"Allocation")</f>
        <v>Allocation</v>
      </c>
      <c r="B159" t="str">
        <f>IFERROR(__xludf.DUMMYFUNCTION("""COMPUTED_VALUE"""),"OpenAuditTrailUnallocatedGroup")</f>
        <v>OpenAuditTrailUnallocatedGroup</v>
      </c>
      <c r="C159" t="str">
        <f>IFERROR(__xludf.DUMMYFUNCTION("""COMPUTED_VALUE"""),"13bCdgscSA2xV2a8RyAti9ATAuGCeMp-bGJx93KoFRmI")</f>
        <v>13bCdgscSA2xV2a8RyAti9ATAuGCeMp-bGJx93KoFRmI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IFERROR(__xludf.DUMMYFUNCTION("""COMPUTED_VALUE"""),"DeleteCalculatedPreferencesTool")</f>
        <v>DeleteCalculatedPreferencesTool</v>
      </c>
      <c r="C160" t="str">
        <f>IFERROR(__xludf.DUMMYFUNCTION("""COMPUTED_VALUE"""),"1QzNsvV6HianBKTbpA7sMTjHgSpkga9jGXA3zKqeeWm8")</f>
        <v>1QzNsvV6HianBKTbpA7sMTjHgSpkga9jGXA3zKqeeWm8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IFERROR(__xludf.DUMMYFUNCTION("""COMPUTED_VALUE"""),"ImportCalculatedPreferencesTool")</f>
        <v>ImportCalculatedPreferencesTool</v>
      </c>
      <c r="C161" t="str">
        <f>IFERROR(__xludf.DUMMYFUNCTION("""COMPUTED_VALUE"""),"1rTwy8eQq8KSAOAj5Y93-37Y2MFOELhZnj-9vrSgpRZ0")</f>
        <v>1rTwy8eQq8KSAOAj5Y93-37Y2MFOELhZnj-9vrSgpRZ0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IFERROR(__xludf.DUMMYFUNCTION("""COMPUTED_VALUE"""),"RunRevaluation")</f>
        <v>RunRevaluation</v>
      </c>
      <c r="C162" t="str">
        <f>IFERROR(__xludf.DUMMYFUNCTION("""COMPUTED_VALUE"""),"12nLfwKuC1FOVktAPKiL0Y4Nl3H4mPS6B3Sphgv9TeP0")</f>
        <v>12nLfwKuC1FOVktAPKiL0Y4Nl3H4mPS6B3Sphgv9TeP0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IFERROR(__xludf.DUMMYFUNCTION("""COMPUTED_VALUE"""),"CalculateDayEndCash")</f>
        <v>CalculateDayEndCash</v>
      </c>
      <c r="C163" t="str">
        <f>IFERROR(__xludf.DUMMYFUNCTION("""COMPUTED_VALUE"""),"Undefined")</f>
        <v>Undefined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IFERROR(__xludf.DUMMYFUNCTION("""COMPUTED_VALUE"""),"ExportAllCalculatedPreferTool")</f>
        <v>ExportAllCalculatedPreferTool</v>
      </c>
      <c r="C164" t="str">
        <f>IFERROR(__xludf.DUMMYFUNCTION("""COMPUTED_VALUE"""),"1-hvKWsnsvP4bPLjKqz0fU1wSX-sKEKyp38DokUd9uZE")</f>
        <v>1-hvKWsnsvP4bPLjKqz0fU1wSX-sKEKyp38DokUd9uZE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IFERROR(__xludf.DUMMYFUNCTION("""COMPUTED_VALUE"""),"OpenAuditTrailAllocatedGroup")</f>
        <v>OpenAuditTrailAllocatedGroup</v>
      </c>
      <c r="C165" t="str">
        <f>IFERROR(__xludf.DUMMYFUNCTION("""COMPUTED_VALUE"""),"1rXWSc2w5tQgt_ZYA4eliVWt2qdn7dc0mZkX-DLF0YC0")</f>
        <v>1rXWSc2w5tQgt_ZYA4eliVWt2qdn7dc0mZkX-DLF0YC0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IFERROR(__xludf.DUMMYFUNCTION("""COMPUTED_VALUE"""),"OpenSymbolLookupUnallocateGroup")</f>
        <v>OpenSymbolLookupUnallocateGroup</v>
      </c>
      <c r="C166" t="str">
        <f>IFERROR(__xludf.DUMMYFUNCTION("""COMPUTED_VALUE"""),"18yoHsWAvFJtns5Vgsd3TC9waLg0jy_z8-Ov5sl1j0nE")</f>
        <v>18yoHsWAvFJtns5Vgsd3TC9waLg0jy_z8-Ov5sl1j0nE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IFERROR(__xludf.DUMMYFUNCTION("""COMPUTED_VALUE"""),"OpenSymbolLookupAllocatedGroup")</f>
        <v>OpenSymbolLookupAllocatedGroup</v>
      </c>
      <c r="C167" t="str">
        <f>IFERROR(__xludf.DUMMYFUNCTION("""COMPUTED_VALUE"""),"135eoaoRkLuLxBtrORiQ-ppYB7kxLijQFuqQ-OkQwsS0")</f>
        <v>135eoaoRkLuLxBtrORiQ-ppYB7kxLijQFuqQ-OkQwsS0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IFERROR(__xludf.DUMMYFUNCTION("""COMPUTED_VALUE"""),"DeleteFixedPreference")</f>
        <v>DeleteFixedPreference</v>
      </c>
      <c r="C168" t="str">
        <f>IFERROR(__xludf.DUMMYFUNCTION("""COMPUTED_VALUE"""),"1CSubToCak00thNXt6dtgCyBu3YVpO6DoKpBFQn2tb8k")</f>
        <v>1CSubToCak00thNXt6dtgCyBu3YVpO6DoKpBFQn2tb8k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IFERROR(__xludf.DUMMYFUNCTION("""COMPUTED_VALUE"""),"Blotter")</f>
        <v>Blotter</v>
      </c>
      <c r="B169" t="str">
        <f>IFERROR(__xludf.DUMMYFUNCTION("""COMPUTED_VALUE"""),"TransferToUserSubOrder")</f>
        <v>TransferToUserSubOrder</v>
      </c>
      <c r="C169" t="str">
        <f>IFERROR(__xludf.DUMMYFUNCTION("""COMPUTED_VALUE"""),"1qmP1zA3NwJXtfrBkoOmDjhF_cNSgtaOLfuoYqzGc8R0")</f>
        <v>1qmP1zA3NwJXtfrBkoOmDjhF_cNSgtaOLfuoYqzGc8R0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IFERROR(__xludf.DUMMYFUNCTION("""COMPUTED_VALUE"""),"DetailsForAlgoTradeOrder")</f>
        <v>DetailsForAlgoTradeOrder</v>
      </c>
      <c r="C170" t="str">
        <f>IFERROR(__xludf.DUMMYFUNCTION("""COMPUTED_VALUE"""),"1va5hZGEz8VAzZA8aF0bZ9yh24u7m6qpwPBq2w5yQk10")</f>
        <v>1va5hZGEz8VAzZA8aF0bZ9yh24u7m6qpwPBq2w5yQk10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IFERROR(__xludf.DUMMYFUNCTION("""COMPUTED_VALUE"""),"AddFillsSubOrder")</f>
        <v>AddFillsSubOrder</v>
      </c>
      <c r="C171" t="str">
        <f>IFERROR(__xludf.DUMMYFUNCTION("""COMPUTED_VALUE"""),"1L7WsHnZcDFzKmLPyelSR2n6F9BZz95HHlTa512p2S3c")</f>
        <v>1L7WsHnZcDFzKmLPyelSR2n6F9BZz95HHlTa512p2S3c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IFERROR(__xludf.DUMMYFUNCTION("""COMPUTED_VALUE"""),"ViewAllocationDetailsSubOrder")</f>
        <v>ViewAllocationDetailsSubOrder</v>
      </c>
      <c r="C172" t="str">
        <f>IFERROR(__xludf.DUMMYFUNCTION("""COMPUTED_VALUE"""),"1XA81-82HUa-cDA4PoYbJLTzM5_StfOfHam4UgnOt59E")</f>
        <v>1XA81-82HUa-cDA4PoYbJLTzM5_StfOfHam4UgnOt59E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IFERROR(__xludf.DUMMYFUNCTION("""COMPUTED_VALUE"""),"GeneralLedger")</f>
        <v>GeneralLedger</v>
      </c>
      <c r="B173" t="str">
        <f>IFERROR(__xludf.DUMMYFUNCTION("""COMPUTED_VALUE"""),"GetCashTransaction")</f>
        <v>GetCashTransaction</v>
      </c>
      <c r="C173" t="str">
        <f>IFERROR(__xludf.DUMMYFUNCTION("""COMPUTED_VALUE"""),"1X0pX_-x5vAH2oEKcaX2e6hOSBrvXzqnQAiN-Xns9A4M")</f>
        <v>1X0pX_-x5vAH2oEKcaX2e6hOSBrvXzqnQAiN-Xns9A4M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IFERROR(__xludf.DUMMYFUNCTION("""COMPUTED_VALUE"""),"SelectCashTransaction")</f>
        <v>SelectCashTransaction</v>
      </c>
      <c r="C174" t="str">
        <f>IFERROR(__xludf.DUMMYFUNCTION("""COMPUTED_VALUE"""),"1qTLVP_ce37jUncyDHY-5RHgrhpMowqKs8GPqX5Nux3g")</f>
        <v>1qTLVP_ce37jUncyDHY-5RHgrhpMowqKs8GPqX5Nux3g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IFERROR(__xludf.DUMMYFUNCTION("""COMPUTED_VALUE"""),"DeleteCashTransaction")</f>
        <v>DeleteCashTransaction</v>
      </c>
      <c r="C175" t="str">
        <f>IFERROR(__xludf.DUMMYFUNCTION("""COMPUTED_VALUE"""),"16uXj0rM-TvT9Xs9p8FMjMICfXtauwu5kNy0aNXH7pLQ")</f>
        <v>16uXj0rM-TvT9Xs9p8FMjMICfXtauwu5kNy0aNXH7pLQ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IFERROR(__xludf.DUMMYFUNCTION("""COMPUTED_VALUE"""),"EditCashTransaction")</f>
        <v>EditCashTransaction</v>
      </c>
      <c r="C176" t="str">
        <f>IFERROR(__xludf.DUMMYFUNCTION("""COMPUTED_VALUE"""),"1SL0UOLEyeTKN5t8dANjKQtXJvpkgBYY94wYFU1dJ0nY")</f>
        <v>1SL0UOLEyeTKN5t8dANjKQtXJvpkgBYY94wYFU1dJ0nY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IFERROR(__xludf.DUMMYFUNCTION("""COMPUTED_VALUE"""),"AddCashTransaction")</f>
        <v>AddCashTransaction</v>
      </c>
      <c r="C177" t="str">
        <f>IFERROR(__xludf.DUMMYFUNCTION("""COMPUTED_VALUE"""),"1juNE2nr1TxtNCKBuQfkWvVylAAmwXNLSW_76uowDwa4")</f>
        <v>1juNE2nr1TxtNCKBuQfkWvVylAAmwXNLSW_76uowDwa4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IFERROR(__xludf.DUMMYFUNCTION("""COMPUTED_VALUE"""),"Allocation")</f>
        <v>Allocation</v>
      </c>
      <c r="B178" t="str">
        <f>IFERROR(__xludf.DUMMYFUNCTION("""COMPUTED_VALUE"""),"EditAllocatedGroupSidePanel")</f>
        <v>EditAllocatedGroupSidePanel</v>
      </c>
      <c r="C178" t="str">
        <f>IFERROR(__xludf.DUMMYFUNCTION("""COMPUTED_VALUE"""),"1CYaZFNpRJb9tk_I1DjPVmUH7-bb4mrZAzwUG6v_kppo")</f>
        <v>1CYaZFNpRJb9tk_I1DjPVmUH7-bb4mrZAzwUG6v_kppo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IFERROR(__xludf.DUMMYFUNCTION("""COMPUTED_VALUE"""),"DailyValuation")</f>
        <v>DailyValuation</v>
      </c>
      <c r="B179" t="str">
        <f>IFERROR(__xludf.DUMMYFUNCTION("""COMPUTED_VALUE"""),"GetMarkPriceData")</f>
        <v>GetMarkPriceData</v>
      </c>
      <c r="C179" t="str">
        <f>IFERROR(__xludf.DUMMYFUNCTION("""COMPUTED_VALUE"""),"1NIxqFRW6hO3o7gkug_W-ZRDHlkaA6snAgVdpd8K2xA4")</f>
        <v>1NIxqFRW6hO3o7gkug_W-ZRDHlkaA6snAgVdpd8K2xA4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IFERROR(__xludf.DUMMYFUNCTION("""COMPUTED_VALUE"""),"GetForwardPoints")</f>
        <v>GetForwardPoints</v>
      </c>
      <c r="C180" t="str">
        <f>IFERROR(__xludf.DUMMYFUNCTION("""COMPUTED_VALUE"""),"11hX4oOfIZKxEBvdLS83-6pQVKc4swlGBapLI49USjho")</f>
        <v>11hX4oOfIZKxEBvdLS83-6pQVKc4swlGBapLI49USjho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IFERROR(__xludf.DUMMYFUNCTION("""COMPUTED_VALUE"""),"UpdateForwardPoints")</f>
        <v>UpdateForwardPoints</v>
      </c>
      <c r="C181" t="str">
        <f>IFERROR(__xludf.DUMMYFUNCTION("""COMPUTED_VALUE"""),"1lDeEb2buBvWgu1OSCJh6NnjKUxlKprChfx4D9ZCsKwk")</f>
        <v>1lDeEb2buBvWgu1OSCJh6NnjKUxlKprChfx4D9ZCsKwk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IFERROR(__xludf.DUMMYFUNCTION("""COMPUTED_VALUE"""),"GetForexConversion")</f>
        <v>GetForexConversion</v>
      </c>
      <c r="C182" t="str">
        <f>IFERROR(__xludf.DUMMYFUNCTION("""COMPUTED_VALUE"""),"15Ez0MbQhn35K7KDtdMPxBfexxg6QOLfyORrrD3R7qI8")</f>
        <v>15Ez0MbQhn35K7KDtdMPxBfexxg6QOLfyORrrD3R7qI8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IFERROR(__xludf.DUMMYFUNCTION("""COMPUTED_VALUE"""),"DeleteNAV")</f>
        <v>DeleteNAV</v>
      </c>
      <c r="C183" t="str">
        <f>IFERROR(__xludf.DUMMYFUNCTION("""COMPUTED_VALUE"""),"1JF6fLvYrKC9Sn5-TyS3-I2R7LfC9n72HPAI8VLWJr_g")</f>
        <v>1JF6fLvYrKC9Sn5-TyS3-I2R7LfC9n72HPAI8VLWJr_g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IFERROR(__xludf.DUMMYFUNCTION("""COMPUTED_VALUE"""),"Allocation")</f>
        <v>Allocation</v>
      </c>
      <c r="B184" t="str">
        <f>IFERROR(__xludf.DUMMYFUNCTION("""COMPUTED_VALUE"""),"CheckUnallocatedGroups")</f>
        <v>CheckUnallocatedGroups</v>
      </c>
      <c r="C184" t="str">
        <f>IFERROR(__xludf.DUMMYFUNCTION("""COMPUTED_VALUE"""),"1uDsVwLW9b8TEVShY-j_ut_kq18E4Re5weYncy-uH1tE")</f>
        <v>1uDsVwLW9b8TEVShY-j_ut_kq18E4Re5weYncy-uH1tE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IFERROR(__xludf.DUMMYFUNCTION("""COMPUTED_VALUE"""),"GetDailyCash")</f>
        <v>GetDailyCash</v>
      </c>
      <c r="C185" t="str">
        <f>IFERROR(__xludf.DUMMYFUNCTION("""COMPUTED_VALUE"""),"12I6Q5d2VpAvDFSyHcGNJGG_m8QPY_Gf0bbMoiA8GE_0")</f>
        <v>12I6Q5d2VpAvDFSyHcGNJGG_m8QPY_Gf0bbMoiA8GE_0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IFERROR(__xludf.DUMMYFUNCTION("""COMPUTED_VALUE"""),"SetGeneralPreferences")</f>
        <v>SetGeneralPreferences</v>
      </c>
      <c r="C186" t="str">
        <f>IFERROR(__xludf.DUMMYFUNCTION("""COMPUTED_VALUE"""),"1jAzFL5XZAAfLw8yxhch5Uylta8SX4hiHfWzCcMWtmN0")</f>
        <v>1jAzFL5XZAAfLw8yxhch5Uylta8SX4hiHfWzCcMWtmN0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IFERROR(__xludf.DUMMYFUNCTION("""COMPUTED_VALUE"""),"GetDailyBeta")</f>
        <v>GetDailyBeta</v>
      </c>
      <c r="C187" t="str">
        <f>IFERROR(__xludf.DUMMYFUNCTION("""COMPUTED_VALUE"""),"1gG0uUz-Upr6j_nNv7o9ydqTkxVdr514WUQfLPd41Ha4")</f>
        <v>1gG0uUz-Upr6j_nNv7o9ydqTkxVdr514WUQfLPd41Ha4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IFERROR(__xludf.DUMMYFUNCTION("""COMPUTED_VALUE"""),"GetDailyVolatility")</f>
        <v>GetDailyVolatility</v>
      </c>
      <c r="C188" t="str">
        <f>IFERROR(__xludf.DUMMYFUNCTION("""COMPUTED_VALUE"""),"1vI4jNAUSGdUG6xvjysTCvc6awnnEgXiNdfWdNpVkdIE")</f>
        <v>1vI4jNAUSGdUG6xvjysTCvc6awnnEgXiNdfWdNpVkdIE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IFERROR(__xludf.DUMMYFUNCTION("""COMPUTED_VALUE"""),"GetDailyDividendYield")</f>
        <v>GetDailyDividendYield</v>
      </c>
      <c r="C189" t="str">
        <f>IFERROR(__xludf.DUMMYFUNCTION("""COMPUTED_VALUE"""),"1hEt6xnVuw25cLBsI-Ve9ddGC7eYgEF6P8njkDhI_xsQ")</f>
        <v>1hEt6xnVuw25cLBsI-Ve9ddGC7eYgEF6P8njkDhI_xsQ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IFERROR(__xludf.DUMMYFUNCTION("""COMPUTED_VALUE"""),"GetDailyTradingVolume")</f>
        <v>GetDailyTradingVolume</v>
      </c>
      <c r="C190" t="str">
        <f>IFERROR(__xludf.DUMMYFUNCTION("""COMPUTED_VALUE"""),"1l3UMevp9h45oN8SOXDCJMeQ1dHDluUropGW6rCZ1Ja0")</f>
        <v>1l3UMevp9h45oN8SOXDCJMeQ1dHDluUropGW6rCZ1Ja0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IFERROR(__xludf.DUMMYFUNCTION("""COMPUTED_VALUE"""),"GetDailyOutstandings")</f>
        <v>GetDailyOutstandings</v>
      </c>
      <c r="C191" t="str">
        <f>IFERROR(__xludf.DUMMYFUNCTION("""COMPUTED_VALUE"""),"1qMvNw9pd6SImE9vO8N9MXt8z4nrtH_Fd-BraVePtfFY")</f>
        <v>1qMvNw9pd6SImE9vO8N9MXt8z4nrtH_Fd-BraVePtfFY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IFERROR(__xludf.DUMMYFUNCTION("""COMPUTED_VALUE"""),"Allocation")</f>
        <v>Allocation</v>
      </c>
      <c r="B192" t="str">
        <f>IFERROR(__xludf.DUMMYFUNCTION("""COMPUTED_VALUE"""),"GroupTrades")</f>
        <v>GroupTrades</v>
      </c>
      <c r="C192" t="str">
        <f>IFERROR(__xludf.DUMMYFUNCTION("""COMPUTED_VALUE"""),"1jfUJOmRerGO0dVQ4dI89-flzuofAROPMO6VcDQbXwDU")</f>
        <v>1jfUJOmRerGO0dVQ4dI89-flzuofAROPMO6VcDQbXwDU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IFERROR(__xludf.DUMMYFUNCTION("""COMPUTED_VALUE"""),"UngroupTrades")</f>
        <v>UngroupTrades</v>
      </c>
      <c r="C193" t="str">
        <f>IFERROR(__xludf.DUMMYFUNCTION("""COMPUTED_VALUE"""),"18HP9fc6jV5UlsSwvfXYnWOMHexpMe80JdMrYKFZYaDs")</f>
        <v>18HP9fc6jV5UlsSwvfXYnWOMHexpMe80JdMrYKFZYaDs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IFERROR(__xludf.DUMMYFUNCTION("""COMPUTED_VALUE"""),"DeleteGroup")</f>
        <v>DeleteGroup</v>
      </c>
      <c r="C194" t="str">
        <f>IFERROR(__xludf.DUMMYFUNCTION("""COMPUTED_VALUE"""),"1g15gYgbNgiqhhlIWBSRtatFTjPRMBBC6SrmmBNM1Pkc")</f>
        <v>1g15gYgbNgiqhhlIWBSRtatFTjPRMBBC6SrmmBNM1Pkc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IFERROR(__xludf.DUMMYFUNCTION("""COMPUTED_VALUE"""),"CloseOrder")</f>
        <v>CloseOrder</v>
      </c>
      <c r="C195" t="str">
        <f>IFERROR(__xludf.DUMMYFUNCTION("""COMPUTED_VALUE"""),"1PjPKM0VaZH7pOb0yKIqHZbera4HKMSx4-yaxj2MfMqM")</f>
        <v>1PjPKM0VaZH7pOb0yKIqHZbera4HKMSx4-yaxj2MfMqM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IFERROR(__xludf.DUMMYFUNCTION("""COMPUTED_VALUE"""),"Unallocate")</f>
        <v>Unallocate</v>
      </c>
      <c r="C196" t="str">
        <f>IFERROR(__xludf.DUMMYFUNCTION("""COMPUTED_VALUE"""),"153rAtnJuNh4UK26GjSOxUSjAHcOxzWv7CRGvmhrIJRs")</f>
        <v>153rAtnJuNh4UK26GjSOxUSjAHcOxzWv7CRGvmhrIJRs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IFERROR(__xludf.DUMMYFUNCTION("""COMPUTED_VALUE"""),"DailyValuation")</f>
        <v>DailyValuation</v>
      </c>
      <c r="B197" t="str">
        <f>IFERROR(__xludf.DUMMYFUNCTION("""COMPUTED_VALUE"""),"GetDailyDelta")</f>
        <v>GetDailyDelta</v>
      </c>
      <c r="C197" t="str">
        <f>IFERROR(__xludf.DUMMYFUNCTION("""COMPUTED_VALUE"""),"1QtaQDH7V1c0A0yDQl2SL67HhtdpeojzJDU2qg7qKQY8")</f>
        <v>1QtaQDH7V1c0A0yDQl2SL67HhtdpeojzJDU2qg7qKQY8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IFERROR(__xludf.DUMMYFUNCTION("""COMPUTED_VALUE"""),"UpdateDailyVolatility")</f>
        <v>UpdateDailyVolatility</v>
      </c>
      <c r="C198" t="str">
        <f>IFERROR(__xludf.DUMMYFUNCTION("""COMPUTED_VALUE"""),"1qsRn4zz2i07D4vPzDnBLUzrnXu2IpG24XdBPkRDRrZI")</f>
        <v>1qsRn4zz2i07D4vPzDnBLUzrnXu2IpG24XdBPkRDRrZI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IFERROR(__xludf.DUMMYFUNCTION("""COMPUTED_VALUE"""),"GeneralLedger")</f>
        <v>GeneralLedger</v>
      </c>
      <c r="B199" t="str">
        <f>IFERROR(__xludf.DUMMYFUNCTION("""COMPUTED_VALUE"""),"AddOpeningBalanceTransaction")</f>
        <v>AddOpeningBalanceTransaction</v>
      </c>
      <c r="C199" t="str">
        <f>IFERROR(__xludf.DUMMYFUNCTION("""COMPUTED_VALUE"""),"1y0ieooAoYit1YHy7MDlHCV6ujc-NITlV_gw1AK9Hnho")</f>
        <v>1y0ieooAoYit1YHy7MDlHCV6ujc-NITlV_gw1AK9Hnho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IFERROR(__xludf.DUMMYFUNCTION("""COMPUTED_VALUE"""),"AddOpeningBalanceTranItem")</f>
        <v>AddOpeningBalanceTranItem</v>
      </c>
      <c r="C200" t="str">
        <f>IFERROR(__xludf.DUMMYFUNCTION("""COMPUTED_VALUE"""),"1x47skVggGiWEn0Ej2HvW5XTsrFsGYBWpjn6bJabdm_k")</f>
        <v>1x47skVggGiWEn0Ej2HvW5XTsrFsGYBWpjn6bJabdm_k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IFERROR(__xludf.DUMMYFUNCTION("""COMPUTED_VALUE"""),"Blotter")</f>
        <v>Blotter</v>
      </c>
      <c r="B201" t="str">
        <f>IFERROR(__xludf.DUMMYFUNCTION("""COMPUTED_VALUE"""),"CancelAllSubs")</f>
        <v>CancelAllSubs</v>
      </c>
      <c r="C201" t="str">
        <f>IFERROR(__xludf.DUMMYFUNCTION("""COMPUTED_VALUE"""),"1P_HAvqQfrY1Kj7nUD4l96kTKHqe0nICLlE1H8EpReTo")</f>
        <v>1P_HAvqQfrY1Kj7nUD4l96kTKHqe0nICLlE1H8EpReTo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IFERROR(__xludf.DUMMYFUNCTION("""COMPUTED_VALUE"""),"CancelSubOrder")</f>
        <v>CancelSubOrder</v>
      </c>
      <c r="C202" t="str">
        <f>IFERROR(__xludf.DUMMYFUNCTION("""COMPUTED_VALUE"""),"1ttxKH48_5usZGjc6vBfBVpbTCg7pDZ3FvWN6Dd43Fh4")</f>
        <v>1ttxKH48_5usZGjc6vBfBVpbTCg7pDZ3FvWN6Dd43Fh4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IFERROR(__xludf.DUMMYFUNCTION("""COMPUTED_VALUE"""),"EditStageOrder")</f>
        <v>EditStageOrder</v>
      </c>
      <c r="C203" t="str">
        <f>IFERROR(__xludf.DUMMYFUNCTION("""COMPUTED_VALUE"""),"16ygoYxfK_5kj8wWwCsAwyneuMnBr5H-DDZv1wWSe5ug")</f>
        <v>16ygoYxfK_5kj8wWwCsAwyneuMnBr5H-DDZv1wWSe5ug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IFERROR(__xludf.DUMMYFUNCTION("""COMPUTED_VALUE"""),"ReplaceSubOrder")</f>
        <v>ReplaceSubOrder</v>
      </c>
      <c r="C204" t="str">
        <f>IFERROR(__xludf.DUMMYFUNCTION("""COMPUTED_VALUE"""),"1E8BvTzoXMl0QoiRs2x6Gz61Ynt6Y4ijLw19dlE3IbWg")</f>
        <v>1E8BvTzoXMl0QoiRs2x6Gz61Ynt6Y4ijLw19dlE3IbWg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IFERROR(__xludf.DUMMYFUNCTION("""COMPUTED_VALUE"""),"SelectTradeWorkingSubsBlotter")</f>
        <v>SelectTradeWorkingSubsBlotter</v>
      </c>
      <c r="C205" t="str">
        <f>IFERROR(__xludf.DUMMYFUNCTION("""COMPUTED_VALUE"""),"1fim-H9q-wv0Hni06pvPKZap2wNcdOz7Hs9EN4cYHWwM")</f>
        <v>1fim-H9q-wv0Hni06pvPKZap2wNcdOz7Hs9EN4cYHWwM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IFERROR(__xludf.DUMMYFUNCTION("""COMPUTED_VALUE"""),"VerifyAlgoDetails")</f>
        <v>VerifyAlgoDetails</v>
      </c>
      <c r="C206" t="str">
        <f>IFERROR(__xludf.DUMMYFUNCTION("""COMPUTED_VALUE"""),"1j2eu6YCZ2WOBVwUMcD_7yyVlu9KxfaD0WhOfCo1ndAY")</f>
        <v>1j2eu6YCZ2WOBVwUMcD_7yyVlu9KxfaD0WhOfCo1ndAY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IFERROR(__xludf.DUMMYFUNCTION("""COMPUTED_VALUE"""),"VerifyTransferToUserOrder")</f>
        <v>VerifyTransferToUserOrder</v>
      </c>
      <c r="C207" t="str">
        <f>IFERROR(__xludf.DUMMYFUNCTION("""COMPUTED_VALUE"""),"1YBOZeqciRB-s8sGsmX1jzi4T2plSgOckQ1QnndFu_rg")</f>
        <v>1YBOZeqciRB-s8sGsmX1jzi4T2plSgOckQ1QnndFu_rg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IFERROR(__xludf.DUMMYFUNCTION("""COMPUTED_VALUE"""),"VerifyTransferToUserSubOdr")</f>
        <v>VerifyTransferToUserSubOdr</v>
      </c>
      <c r="C208" t="str">
        <f>IFERROR(__xludf.DUMMYFUNCTION("""COMPUTED_VALUE"""),"1VSjObHwe6mgJ3zELOc8KCLuelTWUdoRO9KGqeIZZgOw")</f>
        <v>1VSjObHwe6mgJ3zELOc8KCLuelTWUdoRO9KGqeIZZgOw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IFERROR(__xludf.DUMMYFUNCTION("""COMPUTED_VALUE"""),"VerifyTransferToUserWorkSub")</f>
        <v>VerifyTransferToUserWorkSub</v>
      </c>
      <c r="C209" t="str">
        <f>IFERROR(__xludf.DUMMYFUNCTION("""COMPUTED_VALUE"""),"13yqh3ZoHWLFsBRwQRuMCxyOHJa_oZY6nfTgr6vbII_Y")</f>
        <v>13yqh3ZoHWLFsBRwQRuMCxyOHJa_oZY6nfTgr6vbII_Y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IFERROR(__xludf.DUMMYFUNCTION("""COMPUTED_VALUE"""),"SaveLayoutOrderGrid")</f>
        <v>SaveLayoutOrderGrid</v>
      </c>
      <c r="C210" t="str">
        <f>IFERROR(__xludf.DUMMYFUNCTION("""COMPUTED_VALUE"""),"1CPi0o2X-sAUdoxlDON_2KUNJKoQm5pGF1uDEwVBvNXE")</f>
        <v>1CPi0o2X-sAUdoxlDON_2KUNJKoQm5pGF1uDEwVBvNXE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IFERROR(__xludf.DUMMYFUNCTION("""COMPUTED_VALUE"""),"DailyValuation")</f>
        <v>DailyValuation</v>
      </c>
      <c r="B211" t="str">
        <f>IFERROR(__xludf.DUMMYFUNCTION("""COMPUTED_VALUE"""),"UpdateDividendYield")</f>
        <v>UpdateDividendYield</v>
      </c>
      <c r="C211" t="str">
        <f>IFERROR(__xludf.DUMMYFUNCTION("""COMPUTED_VALUE"""),"1dbzZB_M22nY4Q6uxT_PTlyy6HTeUDBHiE60g8TkZxVw")</f>
        <v>1dbzZB_M22nY4Q6uxT_PTlyy6HTeUDBHiE60g8TkZxVw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IFERROR(__xludf.DUMMYFUNCTION("""COMPUTED_VALUE"""),"UpdateTradingVolume")</f>
        <v>UpdateTradingVolume</v>
      </c>
      <c r="C212" t="str">
        <f>IFERROR(__xludf.DUMMYFUNCTION("""COMPUTED_VALUE"""),"1w4D3GtBtxTz5FW7dP-vBOd6eYGFVsOKKKXxwOjyKpug")</f>
        <v>1w4D3GtBtxTz5FW7dP-vBOd6eYGFVsOKKKXxwOjyKpug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IFERROR(__xludf.DUMMYFUNCTION("""COMPUTED_VALUE"""),"UpdateDailyDelta")</f>
        <v>UpdateDailyDelta</v>
      </c>
      <c r="C213" t="str">
        <f>IFERROR(__xludf.DUMMYFUNCTION("""COMPUTED_VALUE"""),"1sA8b75vpmPdPw2bPLjZruUUSBlMVYpJOjVu5SY3E7tg")</f>
        <v>1sA8b75vpmPdPw2bPLjZruUUSBlMVYpJOjVu5SY3E7tg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IFERROR(__xludf.DUMMYFUNCTION("""COMPUTED_VALUE"""),"UpdateDailyOutstandings")</f>
        <v>UpdateDailyOutstandings</v>
      </c>
      <c r="C214" t="str">
        <f>IFERROR(__xludf.DUMMYFUNCTION("""COMPUTED_VALUE"""),"1S3CAftFFzsr3ACCdLXl02NTqNvu6g598xECpXbVEv94")</f>
        <v>1S3CAftFFzsr3ACCdLXl02NTqNvu6g598xECpXbVEv94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IFERROR(__xludf.DUMMYFUNCTION("""COMPUTED_VALUE"""),"Closing")</f>
        <v>Closing</v>
      </c>
      <c r="B215" t="str">
        <f>IFERROR(__xludf.DUMMYFUNCTION("""COMPUTED_VALUE"""),"GetDataClosing")</f>
        <v>GetDataClosing</v>
      </c>
      <c r="C215" t="str">
        <f>IFERROR(__xludf.DUMMYFUNCTION("""COMPUTED_VALUE"""),"13nVXBpc9DMalp1qBDH8UYT5HdbFAJyU5j_aDzs3JK7M")</f>
        <v>13nVXBpc9DMalp1qBDH8UYT5HdbFAJyU5j_aDzs3JK7M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IFERROR(__xludf.DUMMYFUNCTION("""COMPUTED_VALUE"""),"ManualClosing")</f>
        <v>ManualClosing</v>
      </c>
      <c r="C216" t="str">
        <f>IFERROR(__xludf.DUMMYFUNCTION("""COMPUTED_VALUE"""),"1Qe8hBDL_TdcyzXT9vcPE3yUA7h1pLlvAdzJdX6CRE98")</f>
        <v>1Qe8hBDL_TdcyzXT9vcPE3yUA7h1pLlvAdzJdX6CRE98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IFERROR(__xludf.DUMMYFUNCTION("""COMPUTED_VALUE"""),"AutomaticClosing")</f>
        <v>AutomaticClosing</v>
      </c>
      <c r="C217" t="str">
        <f>IFERROR(__xludf.DUMMYFUNCTION("""COMPUTED_VALUE"""),"1FhF1znnJ_1uUh3yd5Xs8Tk6jb04yOpcBvnaS4YnDeJg")</f>
        <v>1FhF1znnJ_1uUh3yd5Xs8Tk6jb04yOpcBvnaS4YnDeJg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IFERROR(__xludf.DUMMYFUNCTION("""COMPUTED_VALUE"""),"UnwindClosing")</f>
        <v>UnwindClosing</v>
      </c>
      <c r="C218" t="str">
        <f>IFERROR(__xludf.DUMMYFUNCTION("""COMPUTED_VALUE"""),"1CsC40UOdI8I-E666zLwCVq5rtrH4HNQYTZPq01A3DVc")</f>
        <v>1CsC40UOdI8I-E666zLwCVq5rtrH4HNQYTZPq01A3DVc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IFERROR(__xludf.DUMMYFUNCTION("""COMPUTED_VALUE"""),"VerifyClosedTrades")</f>
        <v>VerifyClosedTrades</v>
      </c>
      <c r="C219" t="str">
        <f>IFERROR(__xludf.DUMMYFUNCTION("""COMPUTED_VALUE"""),"1Pu_mcZRAmT4Bb3jPpD1pwwWTEA3wf1lc9SGqgzy200I")</f>
        <v>1Pu_mcZRAmT4Bb3jPpD1pwwWTEA3wf1lc9SGqgzy200I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IFERROR(__xludf.DUMMYFUNCTION("""COMPUTED_VALUE"""),"VerifyLongPositionsGrid")</f>
        <v>VerifyLongPositionsGrid</v>
      </c>
      <c r="C220" t="str">
        <f>IFERROR(__xludf.DUMMYFUNCTION("""COMPUTED_VALUE"""),"1yLdJG1OS5ujReV9E5G-DEulfc2VNjGyDyb9HltPKoWs")</f>
        <v>1yLdJG1OS5ujReV9E5G-DEulfc2VNjGyDyb9HltPKoWs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IFERROR(__xludf.DUMMYFUNCTION("""COMPUTED_VALUE"""),"VerifyShortPositionsGrid")</f>
        <v>VerifyShortPositionsGrid</v>
      </c>
      <c r="C221" t="str">
        <f>IFERROR(__xludf.DUMMYFUNCTION("""COMPUTED_VALUE"""),"1_G71Dy-pXPO-6F-oumOUwExAhdly4GU5sJ16gp2yCpU")</f>
        <v>1_G71Dy-pXPO-6F-oumOUwExAhdly4GU5sJ16gp2yCpU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IFERROR(__xludf.DUMMYFUNCTION("""COMPUTED_VALUE"""),"SelectTradeUnexpiredUnsettled")</f>
        <v>SelectTradeUnexpiredUnsettled</v>
      </c>
      <c r="C222" t="str">
        <f>IFERROR(__xludf.DUMMYFUNCTION("""COMPUTED_VALUE"""),"1UXf78dHpFfYsQr7rlXLtuA2F2RFUrDn0dJBxlZ3I5nM")</f>
        <v>1UXf78dHpFfYsQr7rlXLtuA2F2RFUrDn0dJBxlZ3I5nM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IFERROR(__xludf.DUMMYFUNCTION("""COMPUTED_VALUE"""),"CashSettlementAtCost")</f>
        <v>CashSettlementAtCost</v>
      </c>
      <c r="C223" t="str">
        <f>IFERROR(__xludf.DUMMYFUNCTION("""COMPUTED_VALUE"""),"1tsACmLQx1Qq98vNFJPUJgY8srkxz2bj4Mmz5EV3xZZA")</f>
        <v>1tsACmLQx1Qq98vNFJPUJgY8srkxz2bj4Mmz5EV3xZZA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IFERROR(__xludf.DUMMYFUNCTION("""COMPUTED_VALUE"""),"CashSettlementAtZeroPrice")</f>
        <v>CashSettlementAtZeroPrice</v>
      </c>
      <c r="C224" t="str">
        <f>IFERROR(__xludf.DUMMYFUNCTION("""COMPUTED_VALUE"""),"1UxO9-Nc4VoA-xQC2zVS-zQzPcb6Y5e5ttyYuOlVizvQ")</f>
        <v>1UxO9-Nc4VoA-xQC2zVS-zQzPcb6Y5e5ttyYuOlVizvQ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IFERROR(__xludf.DUMMYFUNCTION("""COMPUTED_VALUE"""),"CashSettlementAtClosingDtSpotPx")</f>
        <v>CashSettlementAtClosingDtSpotPx</v>
      </c>
      <c r="C225" t="str">
        <f>IFERROR(__xludf.DUMMYFUNCTION("""COMPUTED_VALUE"""),"1T0TxnlQEM8i13IlSzu5RudR8jwYo2Ae0qGYjWTB63QA")</f>
        <v>1T0TxnlQEM8i13IlSzu5RudR8jwYo2Ae0qGYjWTB63QA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IFERROR(__xludf.DUMMYFUNCTION("""COMPUTED_VALUE"""),"PhysicalSettlement")</f>
        <v>PhysicalSettlement</v>
      </c>
      <c r="C226" t="str">
        <f>IFERROR(__xludf.DUMMYFUNCTION("""COMPUTED_VALUE"""),"1GWFw2LTCW-0KTvHPqk-SAKaGDGCWMshMmobGnhoD2IM")</f>
        <v>1GWFw2LTCW-0KTvHPqk-SAKaGDGCWMshMmobGnhoD2IM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IFERROR(__xludf.DUMMYFUNCTION("""COMPUTED_VALUE"""),"Expire")</f>
        <v>Expire</v>
      </c>
      <c r="C227" t="str">
        <f>IFERROR(__xludf.DUMMYFUNCTION("""COMPUTED_VALUE"""),"1QbdwdFznukIx11sIy-9N7A1fl9nhXKIB31gJR7mmKd4")</f>
        <v>1QbdwdFznukIx11sIy-9N7A1fl9nhXKIB31gJR7mmKd4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IFERROR(__xludf.DUMMYFUNCTION("""COMPUTED_VALUE"""),"ExerciseAssignment")</f>
        <v>ExerciseAssignment</v>
      </c>
      <c r="C228" t="str">
        <f>IFERROR(__xludf.DUMMYFUNCTION("""COMPUTED_VALUE"""),"1dZTZT5QW_lQQAeKE30XPkTaaKYBdbBURgIShMzGMLyY")</f>
        <v>1dZTZT5QW_lQQAeKE30XPkTaaKYBdbBURgIShMzGMLyY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IFERROR(__xludf.DUMMYFUNCTION("""COMPUTED_VALUE"""),"ExerciseAssignmentAtZero")</f>
        <v>ExerciseAssignmentAtZero</v>
      </c>
      <c r="C229" t="str">
        <f>IFERROR(__xludf.DUMMYFUNCTION("""COMPUTED_VALUE"""),"15MGMFMBhtgI1KWFEwdBBX7GuLF102gf47roRKsHL6H4")</f>
        <v>15MGMFMBhtgI1KWFEwdBBX7GuLF102gf47roRKsHL6H4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IFERROR(__xludf.DUMMYFUNCTION("""COMPUTED_VALUE"""),"SwapExpireAndRollover")</f>
        <v>SwapExpireAndRollover</v>
      </c>
      <c r="C230" t="str">
        <f>IFERROR(__xludf.DUMMYFUNCTION("""COMPUTED_VALUE"""),"1L-87XqJTaTF45GScp5sjdRWHx58ypZKZQMDK8AEsSm8")</f>
        <v>1L-87XqJTaTF45GScp5sjdRWHx58ypZKZQMDK8AEsSm8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IFERROR(__xludf.DUMMYFUNCTION("""COMPUTED_VALUE"""),"SwapExpire")</f>
        <v>SwapExpire</v>
      </c>
      <c r="C231" t="str">
        <f>IFERROR(__xludf.DUMMYFUNCTION("""COMPUTED_VALUE"""),"1jUV7qVgqGBaaceWSNh0-cSAYDYEL78u2ObuRdiWFjFM")</f>
        <v>1jUV7qVgqGBaaceWSNh0-cSAYDYEL78u2ObuRdiWFjFM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IFERROR(__xludf.DUMMYFUNCTION("""COMPUTED_VALUE"""),"VerifyExpiredSettledGrid")</f>
        <v>VerifyExpiredSettledGrid</v>
      </c>
      <c r="C232" t="str">
        <f>IFERROR(__xludf.DUMMYFUNCTION("""COMPUTED_VALUE"""),"14S9-0WztJC4brFwd_sntJdqg7oYUAd1uHpvzCdasPbo")</f>
        <v>14S9-0WztJC4brFwd_sntJdqg7oYUAd1uHpvzCdasPbo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IFERROR(__xludf.DUMMYFUNCTION("""COMPUTED_VALUE"""),"VerifyUnExpiredUnSettledGrid")</f>
        <v>VerifyUnExpiredUnSettledGrid</v>
      </c>
      <c r="C233" t="str">
        <f>IFERROR(__xludf.DUMMYFUNCTION("""COMPUTED_VALUE"""),"1de4udoQU07lam9vm95A4d1A6RqvJbiE5i2kofHeQU1k")</f>
        <v>1de4udoQU07lam9vm95A4d1A6RqvJbiE5i2kofHeQU1k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IFERROR(__xludf.DUMMYFUNCTION("""COMPUTED_VALUE"""),"UnWindTradeSettlement")</f>
        <v>UnWindTradeSettlement</v>
      </c>
      <c r="C234" t="str">
        <f>IFERROR(__xludf.DUMMYFUNCTION("""COMPUTED_VALUE"""),"1jnqQvqsYi6sMHiXLJ5WkhQHKVqji9WtS9IX5IquumYc")</f>
        <v>1jnqQvqsYi6sMHiXLJ5WkhQHKVqji9WtS9IX5IquumYc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IFERROR(__xludf.DUMMYFUNCTION("""COMPUTED_VALUE"""),"CloseOrder")</f>
        <v>CloseOrder</v>
      </c>
      <c r="C235" t="str">
        <f>IFERROR(__xludf.DUMMYFUNCTION("""COMPUTED_VALUE"""),"1bj4LymBZ8XfE61pCMOJflz-ChaAoZMZ8KHMwAXy6xKs")</f>
        <v>1bj4LymBZ8XfE61pCMOJflz-ChaAoZMZ8KHMwAXy6xKs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IFERROR(__xludf.DUMMYFUNCTION("""COMPUTED_VALUE"""),"VerifyCloseOrder")</f>
        <v>VerifyCloseOrder</v>
      </c>
      <c r="C236" t="str">
        <f>IFERROR(__xludf.DUMMYFUNCTION("""COMPUTED_VALUE"""),"10U7ywXXW22666-yhPjmEDMvmcIq-s1Gx2M4WuGeY2F8")</f>
        <v>10U7ywXXW22666-yhPjmEDMvmcIq-s1Gx2M4WuGeY2F8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IFERROR(__xludf.DUMMYFUNCTION("""COMPUTED_VALUE"""),"UnWindCloseOrder")</f>
        <v>UnWindCloseOrder</v>
      </c>
      <c r="C237" t="str">
        <f>IFERROR(__xludf.DUMMYFUNCTION("""COMPUTED_VALUE"""),"1ndiYwjgnh7VPji0iUN6yLkOVL80yi26iaXjkHTLPTjQ")</f>
        <v>1ndiYwjgnh7VPji0iUN6yLkOVL80yi26iaXjkHTLPTjQ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IFERROR(__xludf.DUMMYFUNCTION("""COMPUTED_VALUE"""),"ClosingCleanUp")</f>
        <v>ClosingCleanUp</v>
      </c>
      <c r="C238" t="str">
        <f>IFERROR(__xludf.DUMMYFUNCTION("""COMPUTED_VALUE"""),"1CBMTDHHaM3Vrk9VBgqqO929riAtN9XT67VXMtLxCZdY")</f>
        <v>1CBMTDHHaM3Vrk9VBgqqO929riAtN9XT67VXMtLxCZdY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IFERROR(__xludf.DUMMYFUNCTION("""COMPUTED_VALUE"""),"CloseClosingUI")</f>
        <v>CloseClosingUI</v>
      </c>
      <c r="C239" t="str">
        <f>IFERROR(__xludf.DUMMYFUNCTION("""COMPUTED_VALUE"""),"15BORdA3XCoeP0mqq47_6CZChNlRCEaFkcjD-78tQaYI")</f>
        <v>15BORdA3XCoeP0mqq47_6CZChNlRCEaFkcjD-78tQaYI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IFERROR(__xludf.DUMMYFUNCTION("""COMPUTED_VALUE"""),"GeneralLedger")</f>
        <v>GeneralLedger</v>
      </c>
      <c r="B240" t="str">
        <f>IFERROR(__xludf.DUMMYFUNCTION("""COMPUTED_VALUE"""),"GetDailyCalculationsData")</f>
        <v>GetDailyCalculationsData</v>
      </c>
      <c r="C240" t="str">
        <f>IFERROR(__xludf.DUMMYFUNCTION("""COMPUTED_VALUE"""),"1_CaVb4-xzusJdLbMAV8WXTZnHlyEkOh01iD5JBLlYgM")</f>
        <v>1_CaVb4-xzusJdLbMAV8WXTZnHlyEkOh01iD5JBLlYgM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IFERROR(__xludf.DUMMYFUNCTION("""COMPUTED_VALUE"""),"CalculateDailyCalculations")</f>
        <v>CalculateDailyCalculations</v>
      </c>
      <c r="C241" t="str">
        <f>IFERROR(__xludf.DUMMYFUNCTION("""COMPUTED_VALUE"""),"Undefined")</f>
        <v>Undefined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IFERROR(__xludf.DUMMYFUNCTION("""COMPUTED_VALUE"""),"EditOpeningBalanceTransaction")</f>
        <v>EditOpeningBalanceTransaction</v>
      </c>
      <c r="C242" t="str">
        <f>IFERROR(__xludf.DUMMYFUNCTION("""COMPUTED_VALUE"""),"1reG3EA1CyAISEzdlLJ5ERpoY_I-JZ0KuTqR0-GzNP7c")</f>
        <v>1reG3EA1CyAISEzdlLJ5ERpoY_I-JZ0KuTqR0-GzNP7c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IFERROR(__xludf.DUMMYFUNCTION("""COMPUTED_VALUE"""),"EditOpeningBalanceTranItem")</f>
        <v>EditOpeningBalanceTranItem</v>
      </c>
      <c r="C243" t="str">
        <f>IFERROR(__xludf.DUMMYFUNCTION("""COMPUTED_VALUE"""),"1njeJPFKEjXjWbNPXNBWuLdM4A4Hrt1xzLevPTOnFd48")</f>
        <v>1njeJPFKEjXjWbNPXNBWuLdM4A4Hrt1xzLevPTOnFd48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IFERROR(__xludf.DUMMYFUNCTION("""COMPUTED_VALUE"""),"DailyValuation")</f>
        <v>DailyValuation</v>
      </c>
      <c r="B244" t="str">
        <f>IFERROR(__xludf.DUMMYFUNCTION("""COMPUTED_VALUE"""),"UpdateBeta")</f>
        <v>UpdateBeta</v>
      </c>
      <c r="C244" t="str">
        <f>IFERROR(__xludf.DUMMYFUNCTION("""COMPUTED_VALUE"""),"1x5iUjYB72ZJ35IOvQ_JQkWHV-d1FlgKY3bIxxTpk-f0")</f>
        <v>1x5iUjYB72ZJ35IOvQ_JQkWHV-d1FlgKY3bIxxTpk-f0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IFERROR(__xludf.DUMMYFUNCTION("""COMPUTED_VALUE"""),"UpdateNAV")</f>
        <v>UpdateNAV</v>
      </c>
      <c r="C245" t="str">
        <f>IFERROR(__xludf.DUMMYFUNCTION("""COMPUTED_VALUE"""),"176KL7gj6FjCSMsvH7P2baGR-AF725MRypsOXPr43n0g")</f>
        <v>176KL7gj6FjCSMsvH7P2baGR-AF725MRypsOXPr43n0g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IFERROR(__xludf.DUMMYFUNCTION("""COMPUTED_VALUE"""),"UpdateDailyCash")</f>
        <v>UpdateDailyCash</v>
      </c>
      <c r="C246" t="str">
        <f>IFERROR(__xludf.DUMMYFUNCTION("""COMPUTED_VALUE"""),"1Li5RKULV7Lc2MLczTkVbzq0oDYcFGfTlBUO9__NoODc")</f>
        <v>1Li5RKULV7Lc2MLczTkVbzq0oDYcFGfTlBUO9__NoODc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IFERROR(__xludf.DUMMYFUNCTION("""COMPUTED_VALUE"""),"VerifyDailyCalTransactions")</f>
        <v>VerifyDailyCalTransactions</v>
      </c>
      <c r="C247" t="str">
        <f>IFERROR(__xludf.DUMMYFUNCTION("""COMPUTED_VALUE"""),"1Hggu8OCyZ4MPErwQA19VtwwJflpzOtAaPAe9t3cT6pk")</f>
        <v>1Hggu8OCyZ4MPErwQA19VtwwJflpzOtAaPAe9t3cT6pk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IFERROR(__xludf.DUMMYFUNCTION("""COMPUTED_VALUE"""),"UpdateDailyCreditLimt")</f>
        <v>UpdateDailyCreditLimt</v>
      </c>
      <c r="C248" t="str">
        <f>IFERROR(__xludf.DUMMYFUNCTION("""COMPUTED_VALUE"""),"1LRmptpZEe1O6Iz3Ffw8MBJYO5YL7PyDMHChcY1EdCZw")</f>
        <v>1LRmptpZEe1O6Iz3Ffw8MBJYO5YL7PyDMHChcY1EdCZw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IFERROR(__xludf.DUMMYFUNCTION("""COMPUTED_VALUE"""),"RemoveDailyCreditLimit")</f>
        <v>RemoveDailyCreditLimit</v>
      </c>
      <c r="C249" t="str">
        <f>IFERROR(__xludf.DUMMYFUNCTION("""COMPUTED_VALUE"""),"1ULQHy38ZnYFvbEI9sm_tNzDsMUyBXbiKYdpGxChGiPs")</f>
        <v>1ULQHy38ZnYFvbEI9sm_tNzDsMUyBXbiKYdpGxChGiPs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IFERROR(__xludf.DUMMYFUNCTION("""COMPUTED_VALUE"""),"RemoveDailyCash")</f>
        <v>RemoveDailyCash</v>
      </c>
      <c r="C250" t="str">
        <f>IFERROR(__xludf.DUMMYFUNCTION("""COMPUTED_VALUE"""),"1gHuqOKbEFaF-FX6M9JRGAEvCfjDZityjkbkB-2tDTN8")</f>
        <v>1gHuqOKbEFaF-FX6M9JRGAEvCfjDZityjkbkB-2tDTN8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IFERROR(__xludf.DUMMYFUNCTION("""COMPUTED_VALUE"""),"RemoveNAV")</f>
        <v>RemoveNAV</v>
      </c>
      <c r="C251" t="str">
        <f>IFERROR(__xludf.DUMMYFUNCTION("""COMPUTED_VALUE"""),"1-90taYQR0ReB1LeWlhD8eXqV-TAgtuWRoC_rfmSUR0E")</f>
        <v>1-90taYQR0ReB1LeWlhD8eXqV-TAgtuWRoC_rfmSUR0E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IFERROR(__xludf.DUMMYFUNCTION("""COMPUTED_VALUE"""),"PortfolioManagement")</f>
        <v>PortfolioManagement</v>
      </c>
      <c r="B252" t="str">
        <f>IFERROR(__xludf.DUMMYFUNCTION("""COMPUTED_VALUE"""),"FilterPM")</f>
        <v>FilterPM</v>
      </c>
      <c r="C252" t="str">
        <f>IFERROR(__xludf.DUMMYFUNCTION("""COMPUTED_VALUE"""),"1Yyicgon40_tYgdmKCkOwwU3pK7CjbU1YFofcQWMeUzY")</f>
        <v>1Yyicgon40_tYgdmKCkOwwU3pK7CjbU1YFofcQWMeUzY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IFERROR(__xludf.DUMMYFUNCTION("""COMPUTED_VALUE"""),"GroupRowPM")</f>
        <v>GroupRowPM</v>
      </c>
      <c r="C253" t="str">
        <f>IFERROR(__xludf.DUMMYFUNCTION("""COMPUTED_VALUE"""),"1f9-1p-_wPNSAH6MBN_WolwNrBbcb5vGR4maJeT6ASzk")</f>
        <v>1f9-1p-_wPNSAH6MBN_WolwNrBbcb5vGR4maJeT6ASzk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IFERROR(__xludf.DUMMYFUNCTION("""COMPUTED_VALUE"""),"Allocation")</f>
        <v>Allocation</v>
      </c>
      <c r="B254" t="str">
        <f>IFERROR(__xludf.DUMMYFUNCTION("""COMPUTED_VALUE"""),"CloseAllocation")</f>
        <v>CloseAllocation</v>
      </c>
      <c r="C254" t="str">
        <f>IFERROR(__xludf.DUMMYFUNCTION("""COMPUTED_VALUE"""),"Undefined")</f>
        <v>Undefined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IFERROR(__xludf.DUMMYFUNCTION("""COMPUTED_VALUE"""),"CheckDashboardWithPM")</f>
        <v>CheckDashboardWithPM</v>
      </c>
      <c r="C255" t="str">
        <f>IFERROR(__xludf.DUMMYFUNCTION("""COMPUTED_VALUE"""),"Undefined")</f>
        <v>Undefined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IFERROR(__xludf.DUMMYFUNCTION("""COMPUTED_VALUE"""),"RemoveFilterPM")</f>
        <v>RemoveFilterPM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IFERROR(__xludf.DUMMYFUNCTION("""COMPUTED_VALUE"""),"CheckSummaryRowsPM")</f>
        <v>CheckSummaryRowsPM</v>
      </c>
      <c r="C257" t="str">
        <f>IFERROR(__xludf.DUMMYFUNCTION("""COMPUTED_VALUE"""),"1FWp2_v19fmVoPIsw_BJhrsAqUEhebfJYo5T1vCK-yMQ")</f>
        <v>1FWp2_v19fmVoPIsw_BJhrsAqUEhebfJYo5T1vCK-yMQ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IFERROR(__xludf.DUMMYFUNCTION("""COMPUTED_VALUE"""),"GeneralLedger")</f>
        <v>GeneralLedger</v>
      </c>
      <c r="B258" t="str">
        <f>IFERROR(__xludf.DUMMYFUNCTION("""COMPUTED_VALUE"""),"CloseGeneralLedger")</f>
        <v>CloseGeneralLedger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IFERROR(__xludf.DUMMYFUNCTION("""COMPUTED_VALUE"""),"Blotter")</f>
        <v>Blotter</v>
      </c>
      <c r="B259" t="str">
        <f>IFERROR(__xludf.DUMMYFUNCTION("""COMPUTED_VALUE"""),"ReplaceStageOrder")</f>
        <v>ReplaceStageOrder</v>
      </c>
      <c r="C259" t="str">
        <f>IFERROR(__xludf.DUMMYFUNCTION("""COMPUTED_VALUE"""),"1chm8mWXPg3RUjpQhkqqLfInlWIGOSnhfKIzNfBTnK_o")</f>
        <v>1chm8mWXPg3RUjpQhkqqLfInlWIGOSnhfKIzNfBTnK_o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IFERROR(__xludf.DUMMYFUNCTION("""COMPUTED_VALUE"""),"VerifyAccountDetails")</f>
        <v>VerifyAccountDetails</v>
      </c>
      <c r="C260" t="str">
        <f>IFERROR(__xludf.DUMMYFUNCTION("""COMPUTED_VALUE"""),"18wq9EBdTjVM_o2NWnHC8C4fw2rRgWfb_MPvfaAm-mJ8")</f>
        <v>18wq9EBdTjVM_o2NWnHC8C4fw2rRgWfb_MPvfaAm-mJ8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IFERROR(__xludf.DUMMYFUNCTION("""COMPUTED_VALUE"""),"TradingTicket")</f>
        <v>TradingTicket</v>
      </c>
      <c r="B261" t="str">
        <f>IFERROR(__xludf.DUMMYFUNCTION("""COMPUTED_VALUE"""),"CreateNewSubOrder")</f>
        <v>CreateNewSubOrder</v>
      </c>
      <c r="C261" t="str">
        <f>IFERROR(__xludf.DUMMYFUNCTION("""COMPUTED_VALUE"""),"1h3kE6mxfRt8AAMF3tzHC-scSdChXooOOld42-4Gv8HA")</f>
        <v>1h3kE6mxfRt8AAMF3tzHC-scSdChXooOOld42-4Gv8HA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IFERROR(__xludf.DUMMYFUNCTION("""COMPUTED_VALUE"""),"CreateTransaction")</f>
        <v>CreateTransaction</v>
      </c>
      <c r="B262" t="str">
        <f>IFERROR(__xludf.DUMMYFUNCTION("""COMPUTED_VALUE"""),"AddNewTransaction")</f>
        <v>AddNewTransaction</v>
      </c>
      <c r="C262" t="str">
        <f>IFERROR(__xludf.DUMMYFUNCTION("""COMPUTED_VALUE"""),"1qGWLtOINiaVtZohaEupJcqLbeUhwVu1Neg32z7LzAwE")</f>
        <v>1qGWLtOINiaVtZohaEupJcqLbeUhwVu1Neg32z7LzAwE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IFERROR(__xludf.DUMMYFUNCTION("""COMPUTED_VALUE"""),"TradeBloomberg")</f>
        <v>TradeBloomberg</v>
      </c>
      <c r="C263" t="str">
        <f>IFERROR(__xludf.DUMMYFUNCTION("""COMPUTED_VALUE"""),"1ggc3C-AgCuq5bg0nI16D-lmZU--83aV_rjtKKrb-K7g")</f>
        <v>1ggc3C-AgCuq5bg0nI16D-lmZU--83aV_rjtKKrb-K7g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IFERROR(__xludf.DUMMYFUNCTION("""COMPUTED_VALUE"""),"ClickSymbolLookup")</f>
        <v>ClickSymbolLookup</v>
      </c>
      <c r="C264" t="str">
        <f>IFERROR(__xludf.DUMMYFUNCTION("""COMPUTED_VALUE"""),"10yCku8yOnXCUARqi5iHNxNAMwOoAgJ1OX-mHsxrlJxc")</f>
        <v>10yCku8yOnXCUARqi5iHNxNAMwOoAgJ1OX-mHsxrlJxc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IFERROR(__xludf.DUMMYFUNCTION("""COMPUTED_VALUE"""),"PricingServer")</f>
        <v>PricingServer</v>
      </c>
      <c r="B265" t="str">
        <f>IFERROR(__xludf.DUMMYFUNCTION("""COMPUTED_VALUE"""),"RestartPricingServer")</f>
        <v>RestartPricingServer</v>
      </c>
      <c r="C265" t="str">
        <f>IFERROR(__xludf.DUMMYFUNCTION("""COMPUTED_VALUE"""),"14XPNoKflHWgrJhazDvDpyN_v9J_0zTxyB_0TyM3b104")</f>
        <v>14XPNoKflHWgrJhazDvDpyN_v9J_0zTxyB_0TyM3b104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IFERROR(__xludf.DUMMYFUNCTION("""COMPUTED_VALUE"""),"TradeServer")</f>
        <v>TradeServer</v>
      </c>
      <c r="B266" t="str">
        <f>IFERROR(__xludf.DUMMYFUNCTION("""COMPUTED_VALUE"""),"RestartServer")</f>
        <v>RestartServer</v>
      </c>
      <c r="C266" t="str">
        <f>IFERROR(__xludf.DUMMYFUNCTION("""COMPUTED_VALUE"""),"16l6QdcvhT88EvBSovIsD4-TLFFSBt3xR3q6U11f9nZw")</f>
        <v>16l6QdcvhT88EvBSovIsD4-TLFFSBt3xR3q6U11f9nZw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IFERROR(__xludf.DUMMYFUNCTION("""COMPUTED_VALUE"""),"PTT")</f>
        <v>PTT</v>
      </c>
      <c r="B267" t="str">
        <f>IFERROR(__xludf.DUMMYFUNCTION("""COMPUTED_VALUE"""),"CalculatePTT")</f>
        <v>CalculatePTT</v>
      </c>
      <c r="C267" t="str">
        <f>IFERROR(__xludf.DUMMYFUNCTION("""COMPUTED_VALUE"""),"1lKTIY25KFKUdpe6XoZciVb0-8L9erXZZRMEZ8RqdFuk")</f>
        <v>1lKTIY25KFKUdpe6XoZciVb0-8L9erXZZRMEZ8RqdFuk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IFERROR(__xludf.DUMMYFUNCTION("""COMPUTED_VALUE"""),"PTT")</f>
        <v>PTT</v>
      </c>
      <c r="B268" t="str">
        <f>IFERROR(__xludf.DUMMYFUNCTION("""COMPUTED_VALUE"""),"TradeUsingPTT")</f>
        <v>TradeUsingPTT</v>
      </c>
      <c r="C268" t="str">
        <f>IFERROR(__xludf.DUMMYFUNCTION("""COMPUTED_VALUE"""),"1Y_osOCfGaPjTXREAr1CRTQXuy2-Bq6Aj1Wq4Vr7xLB0")</f>
        <v>1Y_osOCfGaPjTXREAr1CRTQXuy2-Bq6Aj1Wq4Vr7xLB0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IFERROR(__xludf.DUMMYFUNCTION("""COMPUTED_VALUE"""),"StageOrderUsingPTT")</f>
        <v>StageOrderUsingPTT</v>
      </c>
      <c r="C269" t="str">
        <f>IFERROR(__xludf.DUMMYFUNCTION("""COMPUTED_VALUE"""),"1KJoqGwoGAbW-k0cws1grduypgTSNep_spZkLm2mnXIY")</f>
        <v>1KJoqGwoGAbW-k0cws1grduypgTSNep_spZkLm2mnXIY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IFERROR(__xludf.DUMMYFUNCTION("""COMPUTED_VALUE"""),"CreateOrderPTT")</f>
        <v>CreateOrderPTT</v>
      </c>
      <c r="C270" t="str">
        <f>IFERROR(__xludf.DUMMYFUNCTION("""COMPUTED_VALUE"""),"1rKKuHwia87Iph96Yr0B2xwHIwU4r2nE-kwzrWqfsFO0")</f>
        <v>1rKKuHwia87Iph96Yr0B2xwHIwU4r2nE-kwzrWqfsFO0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IFERROR(__xludf.DUMMYFUNCTION("""COMPUTED_VALUE"""),"TradePTT")</f>
        <v>TradePTT</v>
      </c>
      <c r="C271" t="str">
        <f>IFERROR(__xludf.DUMMYFUNCTION("""COMPUTED_VALUE"""),"1kvM2eaDgA1XPZr4DgAR7VdeO81ykGM2ClEe0AueBLtI")</f>
        <v>1kvM2eaDgA1XPZr4DgAR7VdeO81ykGM2ClEe0AueBLtI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IFERROR(__xludf.DUMMYFUNCTION("""COMPUTED_VALUE"""),"VerifyPTT")</f>
        <v>VerifyPTT</v>
      </c>
      <c r="C272" t="str">
        <f>IFERROR(__xludf.DUMMYFUNCTION("""COMPUTED_VALUE"""),"1zobR6S1l9oHcDvoWFwMx7noG6NNOhCMh6AHfjyl5ouM")</f>
        <v>1zobR6S1l9oHcDvoWFwMx7noG6NNOhCMh6AHfjyl5ouM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IFERROR(__xludf.DUMMYFUNCTION("""COMPUTED_VALUE"""),"PortfolioManagement")</f>
        <v>PortfolioManagement</v>
      </c>
      <c r="B273" t="str">
        <f>IFERROR(__xludf.DUMMYFUNCTION("""COMPUTED_VALUE"""),"OpenPTTFromPM")</f>
        <v>OpenPTTFromPM</v>
      </c>
      <c r="C273" t="str">
        <f>IFERROR(__xludf.DUMMYFUNCTION("""COMPUTED_VALUE"""),"1lroslTGp1-X34JkAjgjr_qgu9aTB7y01mA3IPcyUxe8")</f>
        <v>1lroslTGp1-X34JkAjgjr_qgu9aTB7y01mA3IPcyUxe8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IFERROR(__xludf.DUMMYFUNCTION("""COMPUTED_VALUE"""),"OpenMultiTTFromPTT")</f>
        <v>OpenMultiTTFromPTT</v>
      </c>
      <c r="C274" t="str">
        <f>IFERROR(__xludf.DUMMYFUNCTION("""COMPUTED_VALUE"""),"18n9jM99QvAs2Zd7W22CLAHTJnjnP7zY9Zd3jkfNyBdA")</f>
        <v>18n9jM99QvAs2Zd7W22CLAHTJnjnP7zY9Zd3jkfNyBdA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IFERROR(__xludf.DUMMYFUNCTION("""COMPUTED_VALUE"""),"SelectMultiTT")</f>
        <v>SelectMultiTT</v>
      </c>
      <c r="C275" t="str">
        <f>IFERROR(__xludf.DUMMYFUNCTION("""COMPUTED_VALUE"""),"1KePLyYIHyMPa4vAGK8j2lktW3nYqSRgJoBOwwl8Mrcg")</f>
        <v>1KePLyYIHyMPa4vAGK8j2lktW3nYqSRgJoBOwwl8Mrcg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IFERROR(__xludf.DUMMYFUNCTION("""COMPUTED_VALUE"""),"EditMultiTT")</f>
        <v>EditMultiTT</v>
      </c>
      <c r="C276" t="str">
        <f>IFERROR(__xludf.DUMMYFUNCTION("""COMPUTED_VALUE"""),"1ylEeWzbM5-H-f9HQ0hqVcYZETYY7A6yTazfTtjL4Hbg")</f>
        <v>1ylEeWzbM5-H-f9HQ0hqVcYZETYY7A6yTazfTtjL4Hbg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IFERROR(__xludf.DUMMYFUNCTION("""COMPUTED_VALUE"""),"MultiTradingTicket")</f>
        <v>MultiTradingTicket</v>
      </c>
      <c r="B277" t="str">
        <f>IFERROR(__xludf.DUMMYFUNCTION("""COMPUTED_VALUE"""),"EditTradeUsingMTT")</f>
        <v>EditTradeUsingMTT</v>
      </c>
      <c r="C277" t="str">
        <f>IFERROR(__xludf.DUMMYFUNCTION("""COMPUTED_VALUE"""),"1oclpANwYA5vyF0G5v4OwaiuA7mu0oFb6MtNLmKeJRxg")</f>
        <v>1oclpANwYA5vyF0G5v4OwaiuA7mu0oFb6MtNLmKeJRxg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IFERROR(__xludf.DUMMYFUNCTION("""COMPUTED_VALUE"""),"MultiTradingTicket")</f>
        <v>MultiTradingTicket</v>
      </c>
      <c r="B278" t="str">
        <f>IFERROR(__xludf.DUMMYFUNCTION("""COMPUTED_VALUE"""),"SelectTradeUsingMTT")</f>
        <v>SelectTradeUsingMTT</v>
      </c>
      <c r="C278" t="str">
        <f>IFERROR(__xludf.DUMMYFUNCTION("""COMPUTED_VALUE"""),"1KP7yPihDZOgWG3Z2G-4AYFr4Zz7JxlZq-euRNvEeEBo")</f>
        <v>1KP7yPihDZOgWG3Z2G-4AYFr4Zz7JxlZq-euRNvEeEBo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IFERROR(__xludf.DUMMYFUNCTION("""COMPUTED_VALUE"""),"GetPriceUsingMTT")</f>
        <v>GetPriceUsingMTT</v>
      </c>
      <c r="C279" t="str">
        <f>IFERROR(__xludf.DUMMYFUNCTION("""COMPUTED_VALUE"""),"1w1_t3dujSKMzyrGYdqX8iDQHLU7PoIaB1FNC_R3c5lE")</f>
        <v>1w1_t3dujSKMzyrGYdqX8iDQHLU7PoIaB1FNC_R3c5lE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IFERROR(__xludf.DUMMYFUNCTION("""COMPUTED_VALUE"""),"DoneAwayUsingMTT")</f>
        <v>DoneAwayUsingMTT</v>
      </c>
      <c r="C280" t="str">
        <f>IFERROR(__xludf.DUMMYFUNCTION("""COMPUTED_VALUE"""),"1_ufv_nXKd3ZNaDbziIFtTWVO12weR3P5utLmJsphE1Q")</f>
        <v>1_ufv_nXKd3ZNaDbziIFtTWVO12weR3P5utLmJsphE1Q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IFERROR(__xludf.DUMMYFUNCTION("""COMPUTED_VALUE"""),"SendOrderUsingMTT")</f>
        <v>SendOrderUsingMTT</v>
      </c>
      <c r="C281" t="str">
        <f>IFERROR(__xludf.DUMMYFUNCTION("""COMPUTED_VALUE"""),"1gjYHBk2Re526Plkd-9T2Fcp82W2M_xS30ry2LdO1Mak")</f>
        <v>1gjYHBk2Re526Plkd-9T2Fcp82W2M_xS30ry2LdO1Mak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IFERROR(__xludf.DUMMYFUNCTION("""COMPUTED_VALUE"""),"Allocation")</f>
        <v>Allocation</v>
      </c>
      <c r="B282" t="str">
        <f>IFERROR(__xludf.DUMMYFUNCTION("""COMPUTED_VALUE"""),"UpdateGRAccountValue")</f>
        <v>UpdateGRAccountValue</v>
      </c>
      <c r="C282" t="str">
        <f>IFERROR(__xludf.DUMMYFUNCTION("""COMPUTED_VALUE"""),"1IYiRc1wyd9LDqwhFYa5t6wU_7GkLccIcXcey1uFWQcs")</f>
        <v>1IYiRc1wyd9LDqwhFYa5t6wU_7GkLccIcXcey1uFWQcs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IFERROR(__xludf.DUMMYFUNCTION("""COMPUTED_VALUE"""),"BulkChangeTradeDoneAway")</f>
        <v>BulkChangeTradeDoneAway</v>
      </c>
      <c r="C283" t="str">
        <f>IFERROR(__xludf.DUMMYFUNCTION("""COMPUTED_VALUE"""),"1URgx1zFx0u42-s4fzLq7KJ4ZFAiaLFy6--zd2Ixf-3I")</f>
        <v>1URgx1zFx0u42-s4fzLq7KJ4ZFAiaLFy6--zd2Ixf-3I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IFERROR(__xludf.DUMMYFUNCTION("""COMPUTED_VALUE"""),"UpdateGRStrategyValue")</f>
        <v>UpdateGRStrategyValue</v>
      </c>
      <c r="C284" t="str">
        <f>IFERROR(__xludf.DUMMYFUNCTION("""COMPUTED_VALUE"""),"1cB211gXXr66rCjnYXDxwr00xlzTWQnE6ktfSHSP3imU")</f>
        <v>1cB211gXXr66rCjnYXDxwr00xlzTWQnE6ktfSHSP3imU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IFERROR(__xludf.DUMMYFUNCTION("""COMPUTED_VALUE"""),"UpdateGRDefaultRule")</f>
        <v>UpdateGRDefaultRule</v>
      </c>
      <c r="C285" t="str">
        <f>IFERROR(__xludf.DUMMYFUNCTION("""COMPUTED_VALUE"""),"1Z2A-X9HWO-7HYvpOHR7lr-bHADqfo3GllKZXWPHIYYE")</f>
        <v>1Z2A-X9HWO-7HYvpOHR7lr-bHADqfo3GllKZXWPHIYYE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IFERROR(__xludf.DUMMYFUNCTION("""COMPUTED_VALUE"""),"UpdateGeneralRulePref")</f>
        <v>UpdateGeneralRulePref</v>
      </c>
      <c r="C286" t="str">
        <f>IFERROR(__xludf.DUMMYFUNCTION("""COMPUTED_VALUE"""),"Undefined")</f>
        <v>Undefined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IFERROR(__xludf.DUMMYFUNCTION("""COMPUTED_VALUE"""),"Blotter")</f>
        <v>Blotter</v>
      </c>
      <c r="B287" t="str">
        <f>IFERROR(__xludf.DUMMYFUNCTION("""COMPUTED_VALUE"""),"MultiTradingTicketFromBlotter")</f>
        <v>MultiTradingTicketFromBlotter</v>
      </c>
      <c r="C287" t="str">
        <f>IFERROR(__xludf.DUMMYFUNCTION("""COMPUTED_VALUE"""),"1NHtfDRa6f4QyIWIBvHICcov2a9oblvqOkKtUi021afg")</f>
        <v>1NHtfDRa6f4QyIWIBvHICcov2a9oblvqOkKtUi021afg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IFERROR(__xludf.DUMMYFUNCTION("""COMPUTED_VALUE"""),"CleanUp")</f>
        <v>CleanUp</v>
      </c>
      <c r="B288" t="str">
        <f>IFERROR(__xludf.DUMMYFUNCTION("""COMPUTED_VALUE"""),"DeleteClientData")</f>
        <v>DeleteClientData</v>
      </c>
      <c r="C288" t="str">
        <f>IFERROR(__xludf.DUMMYFUNCTION("""COMPUTED_VALUE"""),"18NzJZgPH05B2t6ue8bOkcdhhyiudlegCZmkV-VWizvk")</f>
        <v>18NzJZgPH05B2t6ue8bOkcdhhyiudlegCZmkV-VWizvk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IFERROR(__xludf.DUMMYFUNCTION("""COMPUTED_VALUE"""),"ModifyGRPreferenceValues")</f>
        <v>ModifyGRPreferenceValues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IFERROR(__xludf.DUMMYFUNCTION("""COMPUTED_VALUE"""),"AddMFPreferences")</f>
        <v>AddMFPreferences</v>
      </c>
      <c r="C290" t="str">
        <f>IFERROR(__xludf.DUMMYFUNCTION("""COMPUTED_VALUE"""),"1va6752DENAYeVhS50lUAkhwGSYev0Xktjtar45RqPkk")</f>
        <v>1va6752DENAYeVhS50lUAkhwGSYev0Xktjtar45RqPkk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IFERROR(__xludf.DUMMYFUNCTION("""COMPUTED_VALUE"""),"AddMFPreferenceToolbar")</f>
        <v>AddMFPreferenceToolbar</v>
      </c>
      <c r="C291" t="str">
        <f>IFERROR(__xludf.DUMMYFUNCTION("""COMPUTED_VALUE"""),"1Ry0ZELbqu1Mwmjv4apaY0huRg4RzMnHcrAL-FcEW65w")</f>
        <v>1Ry0ZELbqu1Mwmjv4apaY0huRg4RzMnHcrAL-FcEW65w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IFERROR(__xludf.DUMMYFUNCTION("""COMPUTED_VALUE"""),"DeleteMFPreferences")</f>
        <v>DeleteMFPreferences</v>
      </c>
      <c r="C292" t="str">
        <f>IFERROR(__xludf.DUMMYFUNCTION("""COMPUTED_VALUE"""),"1mCRD3EmDUNhyzjpvHK_KjUJHB78N4X4a3VHjm7KfAxk")</f>
        <v>1mCRD3EmDUNhyzjpvHK_KjUJHB78N4X4a3VHjm7KfAxk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IFERROR(__xludf.DUMMYFUNCTION("""COMPUTED_VALUE"""),"DeleteMFPreferenceToolbar")</f>
        <v>DeleteMFPreferenceToolbar</v>
      </c>
      <c r="C293" t="str">
        <f>IFERROR(__xludf.DUMMYFUNCTION("""COMPUTED_VALUE"""),"1bQnvNaxzPwb6m0rx94FNm85vCLF4YgQkqftXa453b-w")</f>
        <v>1bQnvNaxzPwb6m0rx94FNm85vCLF4YgQkqftXa453b-w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IFERROR(__xludf.DUMMYFUNCTION("""COMPUTED_VALUE"""),"RenameMFPreferences")</f>
        <v>RenameMFPreferences</v>
      </c>
      <c r="C294" t="str">
        <f>IFERROR(__xludf.DUMMYFUNCTION("""COMPUTED_VALUE"""),"1qEjbJ2hmw-Bv7YoPCV0P4aY4X_s5Rd9B3cJaWt50vOc")</f>
        <v>1qEjbJ2hmw-Bv7YoPCV0P4aY4X_s5Rd9B3cJaWt50vOc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IFERROR(__xludf.DUMMYFUNCTION("""COMPUTED_VALUE"""),"SaveCloseMFPreference")</f>
        <v>SaveCloseMFPreference</v>
      </c>
      <c r="C295" t="str">
        <f>IFERROR(__xludf.DUMMYFUNCTION("""COMPUTED_VALUE"""),"Undefined")</f>
        <v>Undefined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IFERROR(__xludf.DUMMYFUNCTION("""COMPUTED_VALUE"""),"SetMFPrefAccountValues")</f>
        <v>SetMFPrefAccountValues</v>
      </c>
      <c r="C296" t="str">
        <f>IFERROR(__xludf.DUMMYFUNCTION("""COMPUTED_VALUE"""),"14arkgkANgSlPx3msdbjJS_BCNAV0D0bj0ilVQGyyV48")</f>
        <v>14arkgkANgSlPx3msdbjJS_BCNAV0D0bj0ilVQGyyV48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IFERROR(__xludf.DUMMYFUNCTION("""COMPUTED_VALUE"""),"ModifyMFPrefGeneralRuleValues")</f>
        <v>ModifyMFPrefGeneralRuleValues</v>
      </c>
      <c r="C297" t="str">
        <f>IFERROR(__xludf.DUMMYFUNCTION("""COMPUTED_VALUE"""),"Undefined")</f>
        <v>Undefined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IFERROR(__xludf.DUMMYFUNCTION("""COMPUTED_VALUE"""),"SetMFPrefStrategyValues")</f>
        <v>SetMFPrefStrategyValues</v>
      </c>
      <c r="C298" t="str">
        <f>IFERROR(__xludf.DUMMYFUNCTION("""COMPUTED_VALUE"""),"1yFCtsHtjse7L-TUP_xVh4TQ6B7h2cpfVQedPGV6Hltk")</f>
        <v>1yFCtsHtjse7L-TUP_xVh4TQ6B7h2cpfVQedPGV6Hltk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IFERROR(__xludf.DUMMYFUNCTION("""COMPUTED_VALUE"""),"SetMFPrefGeneralRule")</f>
        <v>SetMFPrefGeneralRule</v>
      </c>
      <c r="C299" t="str">
        <f>IFERROR(__xludf.DUMMYFUNCTION("""COMPUTED_VALUE"""),"1fQ4P6Q-mjxDj3SOLhADw90TKMmoQO5xAkvHFQA50RWM")</f>
        <v>1fQ4P6Q-mjxDj3SOLhADw90TKMmoQO5xAkvHFQA50RWM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IFERROR(__xludf.DUMMYFUNCTION("""COMPUTED_VALUE"""),"SetMFPrefFundDistribution")</f>
        <v>SetMFPrefFundDistribution</v>
      </c>
      <c r="C300" t="str">
        <f>IFERROR(__xludf.DUMMYFUNCTION("""COMPUTED_VALUE"""),"1FxEmWS_WxFMiePuiEZ3_Fkd4eRckfCHzv-PzlXxgFEA")</f>
        <v>1FxEmWS_WxFMiePuiEZ3_Fkd4eRckfCHzv-PzlXxgFEA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IFERROR(__xludf.DUMMYFUNCTION("""COMPUTED_VALUE"""),"SetMFPreferencesDefaultRule")</f>
        <v>SetMFPreferencesDefaultRule</v>
      </c>
      <c r="C301" t="str">
        <f>IFERROR(__xludf.DUMMYFUNCTION("""COMPUTED_VALUE"""),"10NYzauTdFcKUdkzKWlheqOMWeWEnOr2oMx2iDpeXXTg")</f>
        <v>10NYzauTdFcKUdkzKWlheqOMWeWEnOr2oMx2iDpeXXTg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IFERROR(__xludf.DUMMYFUNCTION("""COMPUTED_VALUE"""),"SetMFPrefFundDefaultRule")</f>
        <v>SetMFPrefFundDefaultRule</v>
      </c>
      <c r="C302" t="str">
        <f>IFERROR(__xludf.DUMMYFUNCTION("""COMPUTED_VALUE"""),"1tqkyJbl0bkgE0Xw_h7KPwQVanQUCDA6ZpILYHOywock")</f>
        <v>1tqkyJbl0bkgE0Xw_h7KPwQVanQUCDA6ZpILYHOywock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IFERROR(__xludf.DUMMYFUNCTION("""COMPUTED_VALUE"""),"PTT")</f>
        <v>PTT</v>
      </c>
      <c r="B303" t="str">
        <f>IFERROR(__xludf.DUMMYFUNCTION("""COMPUTED_VALUE"""),"SetAccountFactor")</f>
        <v>SetAccountFactor</v>
      </c>
      <c r="C303" t="str">
        <f>IFERROR(__xludf.DUMMYFUNCTION("""COMPUTED_VALUE"""),"1cODN6ucPYWbxoLsX1rQvJGCGAV6TOEenIeykDlOND3A")</f>
        <v>1cODN6ucPYWbxoLsX1rQvJGCGAV6TOEenIeykDlOND3A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IFERROR(__xludf.DUMMYFUNCTION("""COMPUTED_VALUE"""),"ClearPrefetchFilters")</f>
        <v>ClearPrefetchFilters</v>
      </c>
      <c r="C304" t="str">
        <f>IFERROR(__xludf.DUMMYFUNCTION("""COMPUTED_VALUE"""),"Undefined")</f>
        <v>Undefined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IFERROR(__xludf.DUMMYFUNCTION("""COMPUTED_VALUE"""),"ExpandCollapseAllUnallocated")</f>
        <v>ExpandCollapseAllUnallocated</v>
      </c>
      <c r="C305" t="str">
        <f>IFERROR(__xludf.DUMMYFUNCTION("""COMPUTED_VALUE"""),"13vYOn1vp7ZLlp6ZEZA8Kn_yTUR7Q5ZSQfYP4k2NK3Mc")</f>
        <v>13vYOn1vp7ZLlp6ZEZA8Kn_yTUR7Q5ZSQfYP4k2NK3Mc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IFERROR(__xludf.DUMMYFUNCTION("""COMPUTED_VALUE"""),"ExpandCollapseAllAllocated")</f>
        <v>ExpandCollapseAllAllocated</v>
      </c>
      <c r="C306" t="str">
        <f>IFERROR(__xludf.DUMMYFUNCTION("""COMPUTED_VALUE"""),"1Yf-1PQsF8BXP-8l51qBj-t3VUktFVDtpeBc9m2usM_0")</f>
        <v>1Yf-1PQsF8BXP-8l51qBj-t3VUktFVDtpeBc9m2usM_0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IFERROR(__xludf.DUMMYFUNCTION("""COMPUTED_VALUE"""),"GenerateCashTransaction")</f>
        <v>GenerateCashTransaction</v>
      </c>
      <c r="C307" t="str">
        <f>IFERROR(__xludf.DUMMYFUNCTION("""COMPUTED_VALUE"""),"1KOvj3Mc_p9Dobx8L9x1S-2V0RfTN9eoQyG_29ny5eMA")</f>
        <v>1KOvj3Mc_p9Dobx8L9x1S-2V0RfTN9eoQyG_29ny5eMA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IFERROR(__xludf.DUMMYFUNCTION("""COMPUTED_VALUE"""),"SaveAllocation")</f>
        <v>SaveAllocation</v>
      </c>
      <c r="C308" t="str">
        <f>IFERROR(__xludf.DUMMYFUNCTION("""COMPUTED_VALUE"""),"Undefined")</f>
        <v>Undefined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IFERROR(__xludf.DUMMYFUNCTION("""COMPUTED_VALUE"""),"UnallocateWithOutSave")</f>
        <v>UnallocateWithOutSave</v>
      </c>
      <c r="C309" t="str">
        <f>IFERROR(__xludf.DUMMYFUNCTION("""COMPUTED_VALUE"""),"19cVarbOuQNlg9tbxHuhn3wzrl0Dl0aQ74q1jmyomP4g")</f>
        <v>19cVarbOuQNlg9tbxHuhn3wzrl0Dl0aQ74q1jmyomP4g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IFERROR(__xludf.DUMMYFUNCTION("""COMPUTED_VALUE"""),"TradeServer")</f>
        <v>TradeServer</v>
      </c>
      <c r="B310" t="str">
        <f>IFERROR(__xludf.DUMMYFUNCTION("""COMPUTED_VALUE"""),"UpdateServerConfig")</f>
        <v>UpdateServerConfig</v>
      </c>
      <c r="C310" t="str">
        <f>IFERROR(__xludf.DUMMYFUNCTION("""COMPUTED_VALUE"""),"1ntguYqi1K2vWfsTRW2CtSm4KINPmjFS_eOvtKxY85ZQ")</f>
        <v>1ntguYqi1K2vWfsTRW2CtSm4KINPmjFS_eOvtKxY85ZQ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IFERROR(__xludf.DUMMYFUNCTION("""COMPUTED_VALUE"""),"PricingServer")</f>
        <v>PricingServer</v>
      </c>
      <c r="B311" t="str">
        <f>IFERROR(__xludf.DUMMYFUNCTION("""COMPUTED_VALUE"""),"UpdatePricingConfig")</f>
        <v>UpdatePricingConfig</v>
      </c>
      <c r="C311" t="str">
        <f>IFERROR(__xludf.DUMMYFUNCTION("""COMPUTED_VALUE"""),"1-2O1thHoOe8Jm1Wv3Fb4tCm4pWcUbZihcfSvem_Boyg")</f>
        <v>1-2O1thHoOe8Jm1Wv3Fb4tCm4pWcUbZihcfSvem_Boyg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IFERROR(__xludf.DUMMYFUNCTION("""COMPUTED_VALUE"""),"Expnl")</f>
        <v>Expnl</v>
      </c>
      <c r="B312" t="str">
        <f>IFERROR(__xludf.DUMMYFUNCTION("""COMPUTED_VALUE"""),"UpdateExpnlConfig")</f>
        <v>UpdateExpnlConfig</v>
      </c>
      <c r="C312" t="str">
        <f>IFERROR(__xludf.DUMMYFUNCTION("""COMPUTED_VALUE"""),"1ZV-NcVGXqPhAJDn1HEBrg0nS-ePPBIhT2PqF_bzjjbI")</f>
        <v>1ZV-NcVGXqPhAJDn1HEBrg0nS-ePPBIhT2PqF_bzjjbI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IFERROR(__xludf.DUMMYFUNCTION("""COMPUTED_VALUE"""),"PranaClient")</f>
        <v>PranaClient</v>
      </c>
      <c r="B313" t="str">
        <f>IFERROR(__xludf.DUMMYFUNCTION("""COMPUTED_VALUE"""),"UpdateClientConfig")</f>
        <v>UpdateClientConfig</v>
      </c>
      <c r="C313" t="str">
        <f>IFERROR(__xludf.DUMMYFUNCTION("""COMPUTED_VALUE"""),"1frY1LhLHMBPkCYhsVVAsBHFT2rlJyiEXFkSkzxH1Gds")</f>
        <v>1frY1LhLHMBPkCYhsVVAsBHFT2rlJyiEXFkSkzxH1Gds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IFERROR(__xludf.DUMMYFUNCTION("""COMPUTED_VALUE"""),"PortfolioManagement")</f>
        <v>PortfolioManagement</v>
      </c>
      <c r="B314" t="str">
        <f>IFERROR(__xludf.DUMMYFUNCTION("""COMPUTED_VALUE"""),"OpenCreateTransactionFromPM")</f>
        <v>OpenCreateTransactionFromPM</v>
      </c>
      <c r="C314" t="str">
        <f>IFERROR(__xludf.DUMMYFUNCTION("""COMPUTED_VALUE"""),"Undefined")</f>
        <v>Undefined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IFERROR(__xludf.DUMMYFUNCTION("""COMPUTED_VALUE"""),"PortfolioManagement")</f>
        <v>PortfolioManagement</v>
      </c>
      <c r="B315" t="str">
        <f>IFERROR(__xludf.DUMMYFUNCTION("""COMPUTED_VALUE"""),"OpenClosingFromPM")</f>
        <v>OpenClosingFromPM</v>
      </c>
      <c r="C315" t="str">
        <f>IFERROR(__xludf.DUMMYFUNCTION("""COMPUTED_VALUE"""),"Undefined")</f>
        <v>Undefined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IFERROR(__xludf.DUMMYFUNCTION("""COMPUTED_VALUE"""),"OpenCorporateActionFromPM")</f>
        <v>OpenCorporateActionFromPM</v>
      </c>
      <c r="C316" t="str">
        <f>IFERROR(__xludf.DUMMYFUNCTION("""COMPUTED_VALUE"""),"Undefined")</f>
        <v>Undefined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IFERROR(__xludf.DUMMYFUNCTION("""COMPUTED_VALUE"""),"OpenDailyValuationFromPM")</f>
        <v>OpenDailyValuationFromPM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IFERROR(__xludf.DUMMYFUNCTION("""COMPUTED_VALUE"""),"ClosePositionFromPM")</f>
        <v>ClosePositionFromPM</v>
      </c>
      <c r="C318" t="str">
        <f>IFERROR(__xludf.DUMMYFUNCTION("""COMPUTED_VALUE"""),"1hwn8YF0CJ2vMWiEWuMugnRzYhgCmVscoVCcOJ02qeec")</f>
        <v>1hwn8YF0CJ2vMWiEWuMugnRzYhgCmVscoVCcOJ02qeec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IFERROR(__xludf.DUMMYFUNCTION("""COMPUTED_VALUE"""),"ShowSummaryToolFromPM")</f>
        <v>ShowSummaryToolFromPM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IFERROR(__xludf.DUMMYFUNCTION("""COMPUTED_VALUE"""),"HideSummaryToolFromPM")</f>
        <v>HideSummaryToolFromPM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IFERROR(__xludf.DUMMYFUNCTION("""COMPUTED_VALUE"""),"CloseAccountPositionFromPM")</f>
        <v>CloseAccountPositionFromPM</v>
      </c>
      <c r="C321" t="str">
        <f>IFERROR(__xludf.DUMMYFUNCTION("""COMPUTED_VALUE"""),"16e4g-RAoYjoWitnDJ9y3fFYf3SAe4_CsF6ky1sSABkc")</f>
        <v>16e4g-RAoYjoWitnDJ9y3fFYf3SAe4_CsF6ky1sSABkc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IFERROR(__xludf.DUMMYFUNCTION("""COMPUTED_VALUE"""),"CloseSelectedTaxlotsFromPM")</f>
        <v>CloseSelectedTaxlotsFromPM</v>
      </c>
      <c r="C322" t="str">
        <f>IFERROR(__xludf.DUMMYFUNCTION("""COMPUTED_VALUE"""),"1hAoKGRhAfXB8jHJT_UcDFw8-xg_dAOnRuzX6lewOyc4")</f>
        <v>1hAoKGRhAfXB8jHJT_UcDFw8-xg_dAOnRuzX6lewOyc4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IFERROR(__xludf.DUMMYFUNCTION("""COMPUTED_VALUE"""),"ExpandCollapsePM")</f>
        <v>ExpandCollapsePM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IFERROR(__xludf.DUMMYFUNCTION("""COMPUTED_VALUE"""),"AddCustomViewPM")</f>
        <v>AddCustomViewPM</v>
      </c>
      <c r="C324" t="str">
        <f>IFERROR(__xludf.DUMMYFUNCTION("""COMPUTED_VALUE"""),"1gSE_3bNggHmnsbG6fS9t4pXwl5etTuSELL1JWFBMCMo")</f>
        <v>1gSE_3bNggHmnsbG6fS9t4pXwl5etTuSELL1JWFBMCMo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IFERROR(__xludf.DUMMYFUNCTION("""COMPUTED_VALUE"""),"AddCustomViewRightClickPM")</f>
        <v>AddCustomViewRightClickPM</v>
      </c>
      <c r="C325" t="str">
        <f>IFERROR(__xludf.DUMMYFUNCTION("""COMPUTED_VALUE"""),"1mVIjr7WiCUI_8T1Nu9kLLd9RyRky8B0dpiVPi39wPsQ")</f>
        <v>1mVIjr7WiCUI_8T1Nu9kLLd9RyRky8B0dpiVPi39wPsQ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IFERROR(__xludf.DUMMYFUNCTION("""COMPUTED_VALUE"""),"RenameCustomViewPM")</f>
        <v>RenameCustomViewPM</v>
      </c>
      <c r="C326" t="str">
        <f>IFERROR(__xludf.DUMMYFUNCTION("""COMPUTED_VALUE"""),"1SPVn3fs4LD-sB1fNGx0hjylZj_EPXAuPw12tQSsykLE")</f>
        <v>1SPVn3fs4LD-sB1fNGx0hjylZj_EPXAuPw12tQSsykLE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IFERROR(__xludf.DUMMYFUNCTION("""COMPUTED_VALUE"""),"DeleteCustomViewPM")</f>
        <v>DeleteCustomViewPM</v>
      </c>
      <c r="C327" t="str">
        <f>IFERROR(__xludf.DUMMYFUNCTION("""COMPUTED_VALUE"""),"1EvRy_aXh9WrXyZvrkdk38cDpdJw5quK_eZf3ga9Uq-0")</f>
        <v>1EvRy_aXh9WrXyZvrkdk38cDpdJw5quK_eZf3ga9Uq-0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IFERROR(__xludf.DUMMYFUNCTION("""COMPUTED_VALUE"""),"Closing")</f>
        <v>Closing</v>
      </c>
      <c r="B328" t="str">
        <f>IFERROR(__xludf.DUMMYFUNCTION("""COMPUTED_VALUE"""),"SetClosingPreference")</f>
        <v>SetClosingPreference</v>
      </c>
      <c r="C328" t="str">
        <f>IFERROR(__xludf.DUMMYFUNCTION("""COMPUTED_VALUE"""),"1pC4k61XEpSu9UFhSg1vDsoE5sNKd6oFM8IQAnmCT3IA")</f>
        <v>1pC4k61XEpSu9UFhSg1vDsoE5sNKd6oFM8IQAnmCT3IA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IFERROR(__xludf.DUMMYFUNCTION("""COMPUTED_VALUE"""),"CreateTransaction")</f>
        <v>CreateTransaction</v>
      </c>
      <c r="B329" t="str">
        <f>IFERROR(__xludf.DUMMYFUNCTION("""COMPUTED_VALUE"""),"SaveTransaction")</f>
        <v>SaveTransaction</v>
      </c>
      <c r="C329" t="str">
        <f>IFERROR(__xludf.DUMMYFUNCTION("""COMPUTED_VALUE"""),"Undefined")</f>
        <v>Undefined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IFERROR(__xludf.DUMMYFUNCTION("""COMPUTED_VALUE"""),"Allocation")</f>
        <v>Allocation</v>
      </c>
      <c r="B330" t="str">
        <f>IFERROR(__xludf.DUMMYFUNCTION("""COMPUTED_VALUE"""),"EditUnallocatedGrid")</f>
        <v>EditUnallocatedGrid</v>
      </c>
      <c r="C330" t="str">
        <f>IFERROR(__xludf.DUMMYFUNCTION("""COMPUTED_VALUE"""),"1r-jMuudozlz8r2zrwJ2PjOPCk616iGWZcBg4_ad6oSg")</f>
        <v>1r-jMuudozlz8r2zrwJ2PjOPCk616iGWZcBg4_ad6oSg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IFERROR(__xludf.DUMMYFUNCTION("""COMPUTED_VALUE"""),"EditAllocatedGrid")</f>
        <v>EditAllocatedGrid</v>
      </c>
      <c r="C331" t="str">
        <f>IFERROR(__xludf.DUMMYFUNCTION("""COMPUTED_VALUE"""),"1jrQw598shWWXw6ZjU8Px2JuS2qONwaexZdAGHbU5sdM")</f>
        <v>1jrQw598shWWXw6ZjU8Px2JuS2qONwaexZdAGHbU5sdM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IFERROR(__xludf.DUMMYFUNCTION("""COMPUTED_VALUE"""),"PTT")</f>
        <v>PTT</v>
      </c>
      <c r="B332" t="str">
        <f>IFERROR(__xludf.DUMMYFUNCTION("""COMPUTED_VALUE"""),"SetPTTPreference")</f>
        <v>SetPTTPreference</v>
      </c>
      <c r="C332" t="str">
        <f>IFERROR(__xludf.DUMMYFUNCTION("""COMPUTED_VALUE"""),"1EDJvzKHMHo1Dv3IYf4bbQ2XiEIL8o1Wsf4PwuQirIEM")</f>
        <v>1EDJvzKHMHo1Dv3IYf4bbQ2XiEIL8o1Wsf4PwuQirIEM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IFERROR(__xludf.DUMMYFUNCTION("""COMPUTED_VALUE"""),"SetLongShortPTTPreference")</f>
        <v>SetLongShortPTTPreference</v>
      </c>
      <c r="C333" t="str">
        <f>IFERROR(__xludf.DUMMYFUNCTION("""COMPUTED_VALUE"""),"1VRK3w9-AlLx6tene3e2MfXjazMUBDHk-xx5pfFTsprs")</f>
        <v>1VRK3w9-AlLx6tene3e2MfXjazMUBDHk-xx5pfFTsprs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IFERROR(__xludf.DUMMYFUNCTION("""COMPUTED_VALUE"""),"TradingTicket")</f>
        <v>TradingTicket</v>
      </c>
      <c r="B334" t="str">
        <f>IFERROR(__xludf.DUMMYFUNCTION("""COMPUTED_VALUE"""),"VerifyTT")</f>
        <v>VerifyTT</v>
      </c>
      <c r="C334" t="str">
        <f>IFERROR(__xludf.DUMMYFUNCTION("""COMPUTED_VALUE"""),"1Y-B9aR4y4vzlZUqWLoxW-jKdnha_AYEBG-4WGQ_19hk")</f>
        <v>1Y-B9aR4y4vzlZUqWLoxW-jKdnha_AYEBG-4WGQ_19hk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IFERROR(__xludf.DUMMYFUNCTION("""COMPUTED_VALUE"""),"SaveLayoutAllocatedGrid")</f>
        <v>SaveLayoutAllocatedGrid</v>
      </c>
      <c r="C335" t="str">
        <f>IFERROR(__xludf.DUMMYFUNCTION("""COMPUTED_VALUE"""),"1Kwn0Qzs9hDRfphqulV-JqNQiiCzjrOEwF0oAX3LbYDc")</f>
        <v>1Kwn0Qzs9hDRfphqulV-JqNQiiCzjrOEwF0oAX3LbYDc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IFERROR(__xludf.DUMMYFUNCTION("""COMPUTED_VALUE"""),"SaveLayoutUnallocatedGrid")</f>
        <v>SaveLayoutUnallocatedGrid</v>
      </c>
      <c r="C336" t="str">
        <f>IFERROR(__xludf.DUMMYFUNCTION("""COMPUTED_VALUE"""),"1tRj8lXNex06fWnQVGrX5I5OPI78adr3XFcJK1h8rIHg")</f>
        <v>1tRj8lXNex06fWnQVGrX5I5OPI78adr3XFcJK1h8rIHg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IFERROR(__xludf.DUMMYFUNCTION("""COMPUTED_VALUE"""),"SaveLayoutAllocationUI")</f>
        <v>SaveLayoutAllocationUI</v>
      </c>
      <c r="C337" t="str">
        <f>IFERROR(__xludf.DUMMYFUNCTION("""COMPUTED_VALUE"""),"1-HJfPPk4JKRUN4RTdsb-f3wQPOfEmuaW1ze0BpTGTUo")</f>
        <v>1-HJfPPk4JKRUN4RTdsb-f3wQPOfEmuaW1ze0BpTGTUo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IFERROR(__xludf.DUMMYFUNCTION("""COMPUTED_VALUE"""),"ClearFiltersAllocatedGrid")</f>
        <v>ClearFiltersAllocatedGrid</v>
      </c>
      <c r="C338" t="str">
        <f>IFERROR(__xludf.DUMMYFUNCTION("""COMPUTED_VALUE"""),"Undefined")</f>
        <v>Undefined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IFERROR(__xludf.DUMMYFUNCTION("""COMPUTED_VALUE"""),"ClearFiltersUnallocatedGrid")</f>
        <v>ClearFiltersUnallocatedGrid</v>
      </c>
      <c r="C339" t="str">
        <f>IFERROR(__xludf.DUMMYFUNCTION("""COMPUTED_VALUE"""),"Undefined")</f>
        <v>Undefined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IFERROR(__xludf.DUMMYFUNCTION("""COMPUTED_VALUE"""),"VerifyLayoutAllocatedGrid")</f>
        <v>VerifyLayoutAllocatedGrid</v>
      </c>
      <c r="C340" t="str">
        <f>IFERROR(__xludf.DUMMYFUNCTION("""COMPUTED_VALUE"""),"14Tygy0EYVLe0QC_N08Tfbzy9GPatKGdeJDzdn55gASw")</f>
        <v>14Tygy0EYVLe0QC_N08Tfbzy9GPatKGdeJDzdn55gASw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IFERROR(__xludf.DUMMYFUNCTION("""COMPUTED_VALUE"""),"VerifyLayoutUnallocatedGrid")</f>
        <v>VerifyLayoutUnallocatedGrid</v>
      </c>
      <c r="C341" t="str">
        <f>IFERROR(__xludf.DUMMYFUNCTION("""COMPUTED_VALUE"""),"1pycFZUjkr7vdJD6eubKHogcFpDbgMUN3smIZ8Rm_yco")</f>
        <v>1pycFZUjkr7vdJD6eubKHogcFpDbgMUN3smIZ8Rm_yco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IFERROR(__xludf.DUMMYFUNCTION("""COMPUTED_VALUE"""),"DailyValuation")</f>
        <v>DailyValuation</v>
      </c>
      <c r="B342" t="str">
        <f>IFERROR(__xludf.DUMMYFUNCTION("""COMPUTED_VALUE"""),"UpdateForexConversionMonthly")</f>
        <v>UpdateForexConversionMonthly</v>
      </c>
      <c r="C342" t="str">
        <f>IFERROR(__xludf.DUMMYFUNCTION("""COMPUTED_VALUE"""),"1HpQVbf8W4GajTSIC8kGF1tH3WnFo6pK6B7uke36ir2A")</f>
        <v>1HpQVbf8W4GajTSIC8kGF1tH3WnFo6pK6B7uke36ir2A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IFERROR(__xludf.DUMMYFUNCTION("""COMPUTED_VALUE"""),"GeneralLedger")</f>
        <v>GeneralLedger</v>
      </c>
      <c r="B343" t="str">
        <f>IFERROR(__xludf.DUMMYFUNCTION("""COMPUTED_VALUE"""),"SaveTransaction")</f>
        <v>SaveTransaction</v>
      </c>
      <c r="C343" t="str">
        <f>IFERROR(__xludf.DUMMYFUNCTION("""COMPUTED_VALUE"""),"Undefined")</f>
        <v>Undefined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IFERROR(__xludf.DUMMYFUNCTION("""COMPUTED_VALUE"""),"UpdateMarkPriceMonthly")</f>
        <v>UpdateMarkPriceMonthly</v>
      </c>
      <c r="C344" t="str">
        <f>IFERROR(__xludf.DUMMYFUNCTION("""COMPUTED_VALUE"""),"1LZNbFC1PnuaPrnBTiS7cPn77JWS5KamtO5NC0K2w_4U")</f>
        <v>1LZNbFC1PnuaPrnBTiS7cPn77JWS5KamtO5NC0K2w_4U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IFERROR(__xludf.DUMMYFUNCTION("""COMPUTED_VALUE"""),"CleanUp")</f>
        <v>CleanUp</v>
      </c>
      <c r="C345" t="str">
        <f>IFERROR(__xludf.DUMMYFUNCTION("""COMPUTED_VALUE"""),"1AhEe6J2rslqa3BzEP_7UvQ7jPy4A-eMiqZrnKYFwzsA")</f>
        <v>1AhEe6J2rslqa3BzEP_7UvQ7jPy4A-eMiqZrnKYFwzsA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IFERROR(__xludf.DUMMYFUNCTION("""COMPUTED_VALUE"""),"CheckAllocatedTaxlots")</f>
        <v>CheckAllocatedTaxlots</v>
      </c>
      <c r="C346" t="str">
        <f>IFERROR(__xludf.DUMMYFUNCTION("""COMPUTED_VALUE"""),"10sowRLCM7YJ-Xy92okzSPlfXQ3p_gxUmmlK1pmugO1w")</f>
        <v>10sowRLCM7YJ-Xy92okzSPlfXQ3p_gxUmmlK1pmugO1w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IFERROR(__xludf.DUMMYFUNCTION("""COMPUTED_VALUE"""),"Closing")</f>
        <v>Closing</v>
      </c>
      <c r="B347" t="str">
        <f>IFERROR(__xludf.DUMMYFUNCTION("""COMPUTED_VALUE"""),"EditTradeUnexpiredUnsettled")</f>
        <v>EditTradeUnexpiredUnsettled</v>
      </c>
      <c r="C347" t="str">
        <f>IFERROR(__xludf.DUMMYFUNCTION("""COMPUTED_VALUE"""),"1LTux-Q7oooaqTo92O02j7zzAAWt68sxzlbqHEjlsOHQ")</f>
        <v>1LTux-Q7oooaqTo92O02j7zzAAWt68sxzlbqHEjlsOHQ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IFERROR(__xludf.DUMMYFUNCTION("""COMPUTED_VALUE"""),"ThirdParty")</f>
        <v>ThirdParty</v>
      </c>
      <c r="B348" t="str">
        <f>IFERROR(__xludf.DUMMYFUNCTION("""COMPUTED_VALUE"""),"ThirdPartyWork")</f>
        <v>ThirdPartyWork</v>
      </c>
      <c r="C348" t="str">
        <f>IFERROR(__xludf.DUMMYFUNCTION("""COMPUTED_VALUE"""),"Undefined")</f>
        <v>Undefined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IFERROR(__xludf.DUMMYFUNCTION("""COMPUTED_VALUE"""),"Automation")</f>
        <v>Automation</v>
      </c>
      <c r="C349" t="str">
        <f>IFERROR(__xludf.DUMMYFUNCTION("""COMPUTED_VALUE"""),"Undefined")</f>
        <v>Undefined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IFERROR(__xludf.DUMMYFUNCTION("""COMPUTED_VALUE"""),"ThirdPartyManagerFunction")</f>
        <v>ThirdPartyManagerFunction</v>
      </c>
      <c r="C350" t="str">
        <f>IFERROR(__xludf.DUMMYFUNCTION("""COMPUTED_VALUE"""),"undefined")</f>
        <v>undefined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IFERROR(__xludf.DUMMYFUNCTION("""COMPUTED_VALUE"""),"OpeningManager")</f>
        <v>OpeningManager</v>
      </c>
      <c r="C351" t="str">
        <f>IFERROR(__xludf.DUMMYFUNCTION("""COMPUTED_VALUE"""),"1YCm89wwcph1NRIicF83TaZHNjokNj6631tskVX_-Uqc")</f>
        <v>1YCm89wwcph1NRIicF83TaZHNjokNj6631tskVX_-Uqc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IFERROR(__xludf.DUMMYFUNCTION("""COMPUTED_VALUE"""),"SelectFromThirdPartyGrid")</f>
        <v>SelectFromThirdPartyGrid</v>
      </c>
      <c r="C352" t="str">
        <f>IFERROR(__xludf.DUMMYFUNCTION("""COMPUTED_VALUE"""),"1WwDby9zimBWnZSEvIx2bNZ44YUQXeG_P96xFNYays6c")</f>
        <v>1WwDby9zimBWnZSEvIx2bNZ44YUQXeG_P96xFNYays6c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IFERROR(__xludf.DUMMYFUNCTION("""COMPUTED_VALUE"""),"SendThirdPartyData")</f>
        <v>SendThirdPartyData</v>
      </c>
      <c r="C353" t="str">
        <f>IFERROR(__xludf.DUMMYFUNCTION("""COMPUTED_VALUE"""),"1CkawRz9O3eZDLTDD3IFjm-mQsQDTWspGsHAzTCZZmj4")</f>
        <v>1CkawRz9O3eZDLTDD3IFjm-mQsQDTWspGsHAzTCZZmj4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IFERROR(__xludf.DUMMYFUNCTION("""COMPUTED_VALUE"""),"ThirdParty")</f>
        <v>ThirdParty</v>
      </c>
      <c r="B354" t="str">
        <f>IFERROR(__xludf.DUMMYFUNCTION("""COMPUTED_VALUE"""),"VerifyThirdPartyView")</f>
        <v>VerifyThirdPartyView</v>
      </c>
      <c r="C354" t="str">
        <f>IFERROR(__xludf.DUMMYFUNCTION("""COMPUTED_VALUE"""),"1528uWSs4BLAXxKK6sUCy-XWIPP8V8Ki2KRvJs0jv9s8")</f>
        <v>1528uWSs4BLAXxKK6sUCy-XWIPP8V8Ki2KRvJs0jv9s8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IFERROR(__xludf.DUMMYFUNCTION("""COMPUTED_VALUE"""),"ThirdParty")</f>
        <v>ThirdParty</v>
      </c>
      <c r="B355" t="str">
        <f>IFERROR(__xludf.DUMMYFUNCTION("""COMPUTED_VALUE"""),"ViewAllThirdParty")</f>
        <v>ViewAllThirdParty</v>
      </c>
      <c r="C355" t="str">
        <f>IFERROR(__xludf.DUMMYFUNCTION("""COMPUTED_VALUE"""),"1DWiVq0oEQcBMo9BlB0eNB2gGWybIs_aBbbplwi52XD0")</f>
        <v>1DWiVq0oEQcBMo9BlB0eNB2gGWybIs_aBbbplwi52XD0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IFERROR(__xludf.DUMMYFUNCTION("""COMPUTED_VALUE"""),"ThirdParty")</f>
        <v>ThirdParty</v>
      </c>
      <c r="B356" t="str">
        <f>IFERROR(__xludf.DUMMYFUNCTION("""COMPUTED_VALUE"""),"VerifyThirdPartyGenerate")</f>
        <v>VerifyThirdPartyGenerate</v>
      </c>
      <c r="C356" t="str">
        <f>IFERROR(__xludf.DUMMYFUNCTION("""COMPUTED_VALUE"""),"1dtpOLGKF_e9DirGphaW178YiwcZeN2gJLTC8SOTHt_s")</f>
        <v>1dtpOLGKF_e9DirGphaW178YiwcZeN2gJLTC8SOTHt_s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IFERROR(__xludf.DUMMYFUNCTION("""COMPUTED_VALUE"""),"ThirdParty")</f>
        <v>ThirdParty</v>
      </c>
      <c r="B357" t="str">
        <f>IFERROR(__xludf.DUMMYFUNCTION("""COMPUTED_VALUE"""),"VerifyThirdPartySend")</f>
        <v>VerifyThirdPartySend</v>
      </c>
      <c r="C357" t="str">
        <f>IFERROR(__xludf.DUMMYFUNCTION("""COMPUTED_VALUE"""),"1oDj2kdyhy-C3O23_V41d-eRnBw9HwgfQ6oFUoabzrmo")</f>
        <v>1oDj2kdyhy-C3O23_V41d-eRnBw9HwgfQ6oFUoabzrmo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IFERROR(__xludf.DUMMYFUNCTION("""COMPUTED_VALUE"""),"ThirdParty")</f>
        <v>ThirdParty</v>
      </c>
      <c r="B358" t="str">
        <f>IFERROR(__xludf.DUMMYFUNCTION("""COMPUTED_VALUE"""),"SelectThirdPartyData")</f>
        <v>SelectThirdPartyData</v>
      </c>
      <c r="C358" t="str">
        <f>IFERROR(__xludf.DUMMYFUNCTION("""COMPUTED_VALUE"""),"10-k4rDTB5lEHUF88IcYPoyEagaa6DTnjiba3Tn00stU")</f>
        <v>10-k4rDTB5lEHUF88IcYPoyEagaa6DTnjiba3Tn00stU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IFERROR(__xludf.DUMMYFUNCTION("""COMPUTED_VALUE"""),"VerifyAccountDivisorWindow")</f>
        <v>VerifyAccountDivisorWindow</v>
      </c>
      <c r="C359" t="str">
        <f>IFERROR(__xludf.DUMMYFUNCTION("""COMPUTED_VALUE"""),"1SmEw6tAQywBZwVKCZlLwdMyj2schxBA_5VA05LxEkoM")</f>
        <v>1SmEw6tAQywBZwVKCZlLwdMyj2schxBA_5VA05LxEkoM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IFERROR(__xludf.DUMMYFUNCTION("""COMPUTED_VALUE"""),"VerifyAccountNavPreferenceWindow")</f>
        <v>VerifyAccountNavPreferenceWindow</v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IFERROR(__xludf.DUMMYFUNCTION("""COMPUTED_VALUE"""),"VerifyAccountDivisorWindow")</f>
        <v>VerifyAccountDivisorWindow</v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IFERROR(__xludf.DUMMYFUNCTION("""COMPUTED_VALUE"""),"ThirdParty")</f>
        <v>ThirdParty</v>
      </c>
      <c r="B362" t="str">
        <f>IFERROR(__xludf.DUMMYFUNCTION("""COMPUTED_VALUE"""),"SelectThirdParty")</f>
        <v>SelectThirdParty</v>
      </c>
      <c r="C362" t="str">
        <f>IFERROR(__xludf.DUMMYFUNCTION("""COMPUTED_VALUE"""),"1k4lHaJJ_9NsJZ0FSNDDU_6f4jnaGdFRgIJnbFwRLohU")</f>
        <v>1k4lHaJJ_9NsJZ0FSNDDU_6f4jnaGdFRgIJnbFwRLohU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IFERROR(__xludf.DUMMYFUNCTION("""COMPUTED_VALUE"""),"ThirdParty")</f>
        <v>ThirdParty</v>
      </c>
      <c r="B363" t="str">
        <f>IFERROR(__xludf.DUMMYFUNCTION("""COMPUTED_VALUE"""),"ViewThirdParty")</f>
        <v>ViewThirdParty</v>
      </c>
      <c r="C363" t="str">
        <f>IFERROR(__xludf.DUMMYFUNCTION("""COMPUTED_VALUE"""),"1F_BXcQL-UOYNmtCgE2FRSzTxqoMMKNIV-clJRsPLe1s")</f>
        <v>1F_BXcQL-UOYNmtCgE2FRSzTxqoMMKNIV-clJRsPLe1s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IFERROR(__xludf.DUMMYFUNCTION("""COMPUTED_VALUE"""),"ThirdParty")</f>
        <v>ThirdParty</v>
      </c>
      <c r="B364" t="str">
        <f>IFERROR(__xludf.DUMMYFUNCTION("""COMPUTED_VALUE"""),"GenerateThirdPartyData")</f>
        <v>GenerateThirdPartyData</v>
      </c>
      <c r="C364" t="str">
        <f>IFERROR(__xludf.DUMMYFUNCTION("""COMPUTED_VALUE"""),"1jO2sEi9fgfj6h9R95yhsETkryLMSfEkw-vbND7WNKY8")</f>
        <v>1jO2sEi9fgfj6h9R95yhsETkryLMSfEkw-vbND7WNKY8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IFERROR(__xludf.DUMMYFUNCTION("""COMPUTED_VALUE"""),"ThirdParty")</f>
        <v>ThirdParty</v>
      </c>
      <c r="B365" t="str">
        <f>IFERROR(__xludf.DUMMYFUNCTION("""COMPUTED_VALUE"""),"ThirdPartyGenerate")</f>
        <v>ThirdPartyGenerate</v>
      </c>
      <c r="C365" t="str">
        <f>IFERROR(__xludf.DUMMYFUNCTION("""COMPUTED_VALUE"""),"1puok3lGCTJkc7JrWkRgGfOSPIdh4ZDhQ6wjL8ymHgHE")</f>
        <v>1puok3lGCTJkc7JrWkRgGfOSPIdh4ZDhQ6wjL8ymHgHE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IFERROR(__xludf.DUMMYFUNCTION("""COMPUTED_VALUE"""),"Admin")</f>
        <v>Admin</v>
      </c>
      <c r="B366" t="str">
        <f>IFERROR(__xludf.DUMMYFUNCTION("""COMPUTED_VALUE"""),"SetRollover")</f>
        <v>SetRollover</v>
      </c>
      <c r="C366" t="str">
        <f>IFERROR(__xludf.DUMMYFUNCTION("""COMPUTED_VALUE"""),"1enrqJSoARlmScHFR8FFzCMjK0eft-_xCn0wQRtC5ZQ8")</f>
        <v>1enrqJSoARlmScHFR8FFzCMjK0eft-_xCn0wQRtC5ZQ8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IFERROR(__xludf.DUMMYFUNCTION("""COMPUTED_VALUE"""),"Blotter")</f>
        <v>Blotter</v>
      </c>
      <c r="B367" t="str">
        <f>IFERROR(__xludf.DUMMYFUNCTION("""COMPUTED_VALUE"""),"VerifyRollover")</f>
        <v>VerifyRollover</v>
      </c>
      <c r="C367" t="str">
        <f>IFERROR(__xludf.DUMMYFUNCTION("""COMPUTED_VALUE"""),"1tJyh5JL-64iQ-bl-RuMJOMs882_Zoag9NMKD3Z9YksY")</f>
        <v>1tJyh5JL-64iQ-bl-RuMJOMs882_Zoag9NMKD3Z9YksY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IFERROR(__xludf.DUMMYFUNCTION("""COMPUTED_VALUE"""),"PranaClient")</f>
        <v>PranaClient</v>
      </c>
      <c r="B368" t="str">
        <f>IFERROR(__xludf.DUMMYFUNCTION("""COMPUTED_VALUE"""),"RestartClient")</f>
        <v>RestartClient</v>
      </c>
      <c r="C368" t="str">
        <f>IFERROR(__xludf.DUMMYFUNCTION("""COMPUTED_VALUE"""),"1Bz82rxtbsfQ4tpuZ9syMjXr63Q8bfX_f24L8wLWkI_E")</f>
        <v>1Bz82rxtbsfQ4tpuZ9syMjXr63Q8bfX_f24L8wLWkI_E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4" t="s">
        <v>2</v>
      </c>
      <c r="B1" s="2"/>
      <c r="C1" s="5"/>
    </row>
    <row r="2" ht="15.75" customHeight="1">
      <c r="A2" s="7"/>
      <c r="B2" s="7"/>
      <c r="C2" s="7"/>
    </row>
    <row r="3" ht="15.75" customHeight="1">
      <c r="A3" s="8" t="s">
        <v>5</v>
      </c>
      <c r="B3" s="13" t="s">
        <v>6</v>
      </c>
      <c r="C3" s="7"/>
    </row>
    <row r="4" ht="15.75" customHeight="1">
      <c r="A4" s="10" t="s">
        <v>9</v>
      </c>
      <c r="B4" s="13" t="s">
        <v>10</v>
      </c>
      <c r="C4" s="7"/>
    </row>
    <row r="5" ht="15.75" customHeight="1">
      <c r="A5" s="15"/>
      <c r="B5" s="7"/>
      <c r="C5" s="7"/>
    </row>
    <row r="6" ht="15.75" customHeight="1">
      <c r="A6" s="15"/>
      <c r="B6" s="7"/>
      <c r="C6" s="7"/>
    </row>
    <row r="7" ht="15.75" customHeight="1">
      <c r="A7" s="15"/>
      <c r="B7" s="7"/>
      <c r="C7" s="7"/>
    </row>
    <row r="8" ht="15.75" customHeight="1">
      <c r="A8" s="15"/>
      <c r="B8" s="7"/>
      <c r="C8" s="7"/>
    </row>
    <row r="9" ht="15.75" customHeight="1">
      <c r="A9" s="15"/>
      <c r="B9" s="7"/>
      <c r="C9" s="7"/>
    </row>
    <row r="10" ht="15.75" customHeight="1">
      <c r="A10" s="15"/>
      <c r="B10" s="7"/>
      <c r="C10" s="7"/>
    </row>
    <row r="11" ht="15.75" customHeight="1">
      <c r="A11" s="15"/>
      <c r="B11" s="7"/>
      <c r="C11" s="7"/>
    </row>
    <row r="12" ht="15.75" customHeight="1">
      <c r="A12" s="15"/>
      <c r="B12" s="7"/>
      <c r="C12" s="7"/>
    </row>
    <row r="13" ht="15.75" customHeight="1">
      <c r="A13" s="15"/>
      <c r="B13" s="7"/>
      <c r="C13" s="7"/>
    </row>
    <row r="14" ht="15.75" customHeight="1">
      <c r="A14" s="15"/>
      <c r="B14" s="7"/>
      <c r="C14" s="7"/>
    </row>
    <row r="15" ht="15.75" customHeight="1">
      <c r="A15" s="15"/>
      <c r="B15" s="7"/>
      <c r="C15" s="7"/>
    </row>
    <row r="16" ht="15.75" customHeight="1">
      <c r="A16" s="15"/>
      <c r="B16" s="7"/>
      <c r="C16" s="7"/>
    </row>
    <row r="17" ht="15.75" customHeight="1">
      <c r="A17" s="15"/>
      <c r="B17" s="7"/>
      <c r="C17" s="7"/>
    </row>
    <row r="18" ht="15.75" customHeight="1">
      <c r="A18" s="15"/>
      <c r="B18" s="7"/>
      <c r="C18" s="7"/>
    </row>
    <row r="19" ht="15.75" customHeight="1">
      <c r="A19" s="15"/>
      <c r="B19" s="7"/>
      <c r="C19" s="7"/>
    </row>
    <row r="20" ht="15.75" customHeight="1">
      <c r="A20" s="15"/>
      <c r="B20" s="7"/>
      <c r="C20" s="7"/>
    </row>
    <row r="21" ht="15.75" customHeight="1">
      <c r="A21" s="15"/>
      <c r="B21" s="7"/>
      <c r="C21" s="7"/>
    </row>
    <row r="22" ht="15.75" customHeight="1">
      <c r="A22" s="15"/>
      <c r="B22" s="7"/>
      <c r="C22" s="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" t="s">
        <v>0</v>
      </c>
      <c r="B1" s="2"/>
      <c r="C1" s="2"/>
      <c r="D1" s="2"/>
      <c r="E1" s="2"/>
      <c r="F1" s="5"/>
    </row>
    <row r="2">
      <c r="A2" s="6"/>
      <c r="B2" s="6"/>
      <c r="C2" s="6"/>
      <c r="D2" s="6"/>
      <c r="E2" s="6"/>
      <c r="F2" s="6"/>
    </row>
    <row r="3">
      <c r="A3" s="10" t="s">
        <v>4</v>
      </c>
      <c r="B3" s="12" t="s">
        <v>7</v>
      </c>
      <c r="C3" s="12" t="s">
        <v>8</v>
      </c>
      <c r="D3" s="14"/>
      <c r="E3" s="14"/>
      <c r="F3" s="14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  <c r="E4" t="str">
        <f>IFERROR(__xludf.DUMMYFUNCTION("""COMPUTED_VALUE"""),"")</f>
        <v/>
      </c>
      <c r="F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  <c r="E5" t="str">
        <f>IFERROR(__xludf.DUMMYFUNCTION("""COMPUTED_VALUE"""),"")</f>
        <v/>
      </c>
      <c r="F5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  <c r="E6" t="str">
        <f>IFERROR(__xludf.DUMMYFUNCTION("""COMPUTED_VALUE"""),"")</f>
        <v/>
      </c>
      <c r="F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  <c r="E7" t="str">
        <f>IFERROR(__xludf.DUMMYFUNCTION("""COMPUTED_VALUE"""),"")</f>
        <v/>
      </c>
      <c r="F7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  <c r="E8" t="str">
        <f>IFERROR(__xludf.DUMMYFUNCTION("""COMPUTED_VALUE"""),"")</f>
        <v/>
      </c>
      <c r="F8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  <c r="E9" t="str">
        <f>IFERROR(__xludf.DUMMYFUNCTION("""COMPUTED_VALUE"""),"")</f>
        <v/>
      </c>
      <c r="F9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  <c r="E10" t="str">
        <f>IFERROR(__xludf.DUMMYFUNCTION("""COMPUTED_VALUE"""),"")</f>
        <v/>
      </c>
      <c r="F10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  <c r="E11" t="str">
        <f>IFERROR(__xludf.DUMMYFUNCTION("""COMPUTED_VALUE"""),"")</f>
        <v/>
      </c>
      <c r="F11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  <c r="E12" t="str">
        <f>IFERROR(__xludf.DUMMYFUNCTION("""COMPUTED_VALUE"""),"")</f>
        <v/>
      </c>
      <c r="F12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  <c r="E13" t="str">
        <f>IFERROR(__xludf.DUMMYFUNCTION("""COMPUTED_VALUE"""),"")</f>
        <v/>
      </c>
      <c r="F13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  <c r="E14" t="str">
        <f>IFERROR(__xludf.DUMMYFUNCTION("""COMPUTED_VALUE"""),"")</f>
        <v/>
      </c>
      <c r="F1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  <c r="E15" t="str">
        <f>IFERROR(__xludf.DUMMYFUNCTION("""COMPUTED_VALUE"""),"")</f>
        <v/>
      </c>
      <c r="F15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  <c r="E16" t="str">
        <f>IFERROR(__xludf.DUMMYFUNCTION("""COMPUTED_VALUE"""),"")</f>
        <v/>
      </c>
      <c r="F1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  <c r="E17" t="str">
        <f>IFERROR(__xludf.DUMMYFUNCTION("""COMPUTED_VALUE"""),"")</f>
        <v/>
      </c>
      <c r="F17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  <c r="E18" t="str">
        <f>IFERROR(__xludf.DUMMYFUNCTION("""COMPUTED_VALUE"""),"")</f>
        <v/>
      </c>
      <c r="F18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  <c r="E19" t="str">
        <f>IFERROR(__xludf.DUMMYFUNCTION("""COMPUTED_VALUE"""),"")</f>
        <v/>
      </c>
      <c r="F19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  <c r="E20" t="str">
        <f>IFERROR(__xludf.DUMMYFUNCTION("""COMPUTED_VALUE"""),"")</f>
        <v/>
      </c>
      <c r="F20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>
      <c r="A21" t="str">
        <f>IFERROR(__xludf.DUMMYFUNCTION("""COMPUTED_VALUE"""),"")</f>
        <v/>
      </c>
      <c r="B21" t="str">
        <f>IFERROR(__xludf.DUMMYFUNCTION("""COMPUTED_VALUE"""),"")</f>
        <v/>
      </c>
      <c r="C21" t="str">
        <f>IFERROR(__xludf.DUMMYFUNCTION("""COMPUTED_VALUE"""),"")</f>
        <v/>
      </c>
      <c r="D21" t="str">
        <f>IFERROR(__xludf.DUMMYFUNCTION("""COMPUTED_VALUE"""),"")</f>
        <v/>
      </c>
      <c r="E21" t="str">
        <f>IFERROR(__xludf.DUMMYFUNCTION("""COMPUTED_VALUE"""),"")</f>
        <v/>
      </c>
      <c r="F21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>
      <c r="A22" t="str">
        <f>IFERROR(__xludf.DUMMYFUNCTION("""COMPUTED_VALUE"""),"")</f>
        <v/>
      </c>
      <c r="B22" t="str">
        <f>IFERROR(__xludf.DUMMYFUNCTION("""COMPUTED_VALUE"""),"")</f>
        <v/>
      </c>
      <c r="C22" t="str">
        <f>IFERROR(__xludf.DUMMYFUNCTION("""COMPUTED_VALUE"""),"")</f>
        <v/>
      </c>
      <c r="D22" t="str">
        <f>IFERROR(__xludf.DUMMYFUNCTION("""COMPUTED_VALUE"""),"")</f>
        <v/>
      </c>
      <c r="E22" t="str">
        <f>IFERROR(__xludf.DUMMYFUNCTION("""COMPUTED_VALUE"""),"")</f>
        <v/>
      </c>
      <c r="F22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>
      <c r="A23" t="str">
        <f>IFERROR(__xludf.DUMMYFUNCTION("""COMPUTED_VALUE"""),"")</f>
        <v/>
      </c>
      <c r="B23" t="str">
        <f>IFERROR(__xludf.DUMMYFUNCTION("""COMPUTED_VALUE"""),"")</f>
        <v/>
      </c>
      <c r="C23" t="str">
        <f>IFERROR(__xludf.DUMMYFUNCTION("""COMPUTED_VALUE"""),"")</f>
        <v/>
      </c>
      <c r="D23" t="str">
        <f>IFERROR(__xludf.DUMMYFUNCTION("""COMPUTED_VALUE"""),"")</f>
        <v/>
      </c>
      <c r="E23" t="str">
        <f>IFERROR(__xludf.DUMMYFUNCTION("""COMPUTED_VALUE"""),"")</f>
        <v/>
      </c>
      <c r="F23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>
      <c r="A24" t="str">
        <f>IFERROR(__xludf.DUMMYFUNCTION("""COMPUTED_VALUE"""),"")</f>
        <v/>
      </c>
      <c r="B24" t="str">
        <f>IFERROR(__xludf.DUMMYFUNCTION("""COMPUTED_VALUE"""),"")</f>
        <v/>
      </c>
      <c r="C24" t="str">
        <f>IFERROR(__xludf.DUMMYFUNCTION("""COMPUTED_VALUE"""),"")</f>
        <v/>
      </c>
      <c r="D24" t="str">
        <f>IFERROR(__xludf.DUMMYFUNCTION("""COMPUTED_VALUE"""),"")</f>
        <v/>
      </c>
      <c r="E24" t="str">
        <f>IFERROR(__xludf.DUMMYFUNCTION("""COMPUTED_VALUE"""),"")</f>
        <v/>
      </c>
      <c r="F2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>
      <c r="A25" t="str">
        <f>IFERROR(__xludf.DUMMYFUNCTION("""COMPUTED_VALUE"""),"")</f>
        <v/>
      </c>
      <c r="B25" t="str">
        <f>IFERROR(__xludf.DUMMYFUNCTION("""COMPUTED_VALUE"""),"")</f>
        <v/>
      </c>
      <c r="C25" t="str">
        <f>IFERROR(__xludf.DUMMYFUNCTION("""COMPUTED_VALUE"""),"")</f>
        <v/>
      </c>
      <c r="D25" t="str">
        <f>IFERROR(__xludf.DUMMYFUNCTION("""COMPUTED_VALUE"""),"")</f>
        <v/>
      </c>
      <c r="E25" t="str">
        <f>IFERROR(__xludf.DUMMYFUNCTION("""COMPUTED_VALUE"""),"")</f>
        <v/>
      </c>
      <c r="F25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>
      <c r="A26" t="str">
        <f>IFERROR(__xludf.DUMMYFUNCTION("""COMPUTED_VALUE"""),"")</f>
        <v/>
      </c>
      <c r="B26" t="str">
        <f>IFERROR(__xludf.DUMMYFUNCTION("""COMPUTED_VALUE"""),"")</f>
        <v/>
      </c>
      <c r="C26" t="str">
        <f>IFERROR(__xludf.DUMMYFUNCTION("""COMPUTED_VALUE"""),"")</f>
        <v/>
      </c>
      <c r="D26" t="str">
        <f>IFERROR(__xludf.DUMMYFUNCTION("""COMPUTED_VALUE"""),"")</f>
        <v/>
      </c>
      <c r="E26" t="str">
        <f>IFERROR(__xludf.DUMMYFUNCTION("""COMPUTED_VALUE"""),"")</f>
        <v/>
      </c>
      <c r="F2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>
      <c r="A27" t="str">
        <f>IFERROR(__xludf.DUMMYFUNCTION("""COMPUTED_VALUE"""),"")</f>
        <v/>
      </c>
      <c r="B27" t="str">
        <f>IFERROR(__xludf.DUMMYFUNCTION("""COMPUTED_VALUE"""),"")</f>
        <v/>
      </c>
      <c r="C27" t="str">
        <f>IFERROR(__xludf.DUMMYFUNCTION("""COMPUTED_VALUE"""),"")</f>
        <v/>
      </c>
      <c r="D27" t="str">
        <f>IFERROR(__xludf.DUMMYFUNCTION("""COMPUTED_VALUE"""),"")</f>
        <v/>
      </c>
      <c r="E27" t="str">
        <f>IFERROR(__xludf.DUMMYFUNCTION("""COMPUTED_VALUE"""),"")</f>
        <v/>
      </c>
      <c r="F27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>
      <c r="A28" t="str">
        <f>IFERROR(__xludf.DUMMYFUNCTION("""COMPUTED_VALUE"""),"")</f>
        <v/>
      </c>
      <c r="B28" t="str">
        <f>IFERROR(__xludf.DUMMYFUNCTION("""COMPUTED_VALUE"""),"")</f>
        <v/>
      </c>
      <c r="C28" t="str">
        <f>IFERROR(__xludf.DUMMYFUNCTION("""COMPUTED_VALUE"""),"")</f>
        <v/>
      </c>
      <c r="D28" t="str">
        <f>IFERROR(__xludf.DUMMYFUNCTION("""COMPUTED_VALUE"""),"")</f>
        <v/>
      </c>
      <c r="E28" t="str">
        <f>IFERROR(__xludf.DUMMYFUNCTION("""COMPUTED_VALUE"""),"")</f>
        <v/>
      </c>
      <c r="F28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>
      <c r="A29" t="str">
        <f>IFERROR(__xludf.DUMMYFUNCTION("""COMPUTED_VALUE"""),"")</f>
        <v/>
      </c>
      <c r="B29" t="str">
        <f>IFERROR(__xludf.DUMMYFUNCTION("""COMPUTED_VALUE"""),"")</f>
        <v/>
      </c>
      <c r="C29" t="str">
        <f>IFERROR(__xludf.DUMMYFUNCTION("""COMPUTED_VALUE"""),"")</f>
        <v/>
      </c>
      <c r="D29" t="str">
        <f>IFERROR(__xludf.DUMMYFUNCTION("""COMPUTED_VALUE"""),"")</f>
        <v/>
      </c>
      <c r="E29" t="str">
        <f>IFERROR(__xludf.DUMMYFUNCTION("""COMPUTED_VALUE"""),"")</f>
        <v/>
      </c>
      <c r="F29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>
      <c r="A30" t="str">
        <f>IFERROR(__xludf.DUMMYFUNCTION("""COMPUTED_VALUE"""),"")</f>
        <v/>
      </c>
      <c r="B30" t="str">
        <f>IFERROR(__xludf.DUMMYFUNCTION("""COMPUTED_VALUE"""),"")</f>
        <v/>
      </c>
      <c r="C30" t="str">
        <f>IFERROR(__xludf.DUMMYFUNCTION("""COMPUTED_VALUE"""),"")</f>
        <v/>
      </c>
      <c r="D30" t="str">
        <f>IFERROR(__xludf.DUMMYFUNCTION("""COMPUTED_VALUE"""),"")</f>
        <v/>
      </c>
      <c r="E30" t="str">
        <f>IFERROR(__xludf.DUMMYFUNCTION("""COMPUTED_VALUE"""),"")</f>
        <v/>
      </c>
      <c r="F30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>
      <c r="A31" t="str">
        <f>IFERROR(__xludf.DUMMYFUNCTION("""COMPUTED_VALUE"""),"")</f>
        <v/>
      </c>
      <c r="B31" t="str">
        <f>IFERROR(__xludf.DUMMYFUNCTION("""COMPUTED_VALUE"""),"")</f>
        <v/>
      </c>
      <c r="C31" t="str">
        <f>IFERROR(__xludf.DUMMYFUNCTION("""COMPUTED_VALUE"""),"")</f>
        <v/>
      </c>
      <c r="D31" t="str">
        <f>IFERROR(__xludf.DUMMYFUNCTION("""COMPUTED_VALUE"""),"")</f>
        <v/>
      </c>
      <c r="E31" t="str">
        <f>IFERROR(__xludf.DUMMYFUNCTION("""COMPUTED_VALUE"""),"")</f>
        <v/>
      </c>
      <c r="F31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>
      <c r="A32" t="str">
        <f>IFERROR(__xludf.DUMMYFUNCTION("""COMPUTED_VALUE"""),"")</f>
        <v/>
      </c>
      <c r="B32" t="str">
        <f>IFERROR(__xludf.DUMMYFUNCTION("""COMPUTED_VALUE"""),"")</f>
        <v/>
      </c>
      <c r="C32" t="str">
        <f>IFERROR(__xludf.DUMMYFUNCTION("""COMPUTED_VALUE"""),"")</f>
        <v/>
      </c>
      <c r="D32" t="str">
        <f>IFERROR(__xludf.DUMMYFUNCTION("""COMPUTED_VALUE"""),"")</f>
        <v/>
      </c>
      <c r="E32" t="str">
        <f>IFERROR(__xludf.DUMMYFUNCTION("""COMPUTED_VALUE"""),"")</f>
        <v/>
      </c>
      <c r="F32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>
      <c r="A33" t="str">
        <f>IFERROR(__xludf.DUMMYFUNCTION("""COMPUTED_VALUE"""),"")</f>
        <v/>
      </c>
      <c r="B33" t="str">
        <f>IFERROR(__xludf.DUMMYFUNCTION("""COMPUTED_VALUE"""),"")</f>
        <v/>
      </c>
      <c r="C33" t="str">
        <f>IFERROR(__xludf.DUMMYFUNCTION("""COMPUTED_VALUE"""),"")</f>
        <v/>
      </c>
      <c r="D33" t="str">
        <f>IFERROR(__xludf.DUMMYFUNCTION("""COMPUTED_VALUE"""),"")</f>
        <v/>
      </c>
      <c r="E33" t="str">
        <f>IFERROR(__xludf.DUMMYFUNCTION("""COMPUTED_VALUE"""),"")</f>
        <v/>
      </c>
      <c r="F33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>
      <c r="A34" t="str">
        <f>IFERROR(__xludf.DUMMYFUNCTION("""COMPUTED_VALUE"""),"")</f>
        <v/>
      </c>
      <c r="B34" t="str">
        <f>IFERROR(__xludf.DUMMYFUNCTION("""COMPUTED_VALUE"""),"")</f>
        <v/>
      </c>
      <c r="C34" t="str">
        <f>IFERROR(__xludf.DUMMYFUNCTION("""COMPUTED_VALUE"""),"")</f>
        <v/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>
      <c r="A35" t="str">
        <f>IFERROR(__xludf.DUMMYFUNCTION("""COMPUTED_VALUE"""),"")</f>
        <v/>
      </c>
      <c r="B35" t="str">
        <f>IFERROR(__xludf.DUMMYFUNCTION("""COMPUTED_VALUE"""),"")</f>
        <v/>
      </c>
      <c r="C35" t="str">
        <f>IFERROR(__xludf.DUMMYFUNCTION("""COMPUTED_VALUE"""),"")</f>
        <v/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>
      <c r="A36" t="str">
        <f>IFERROR(__xludf.DUMMYFUNCTION("""COMPUTED_VALUE"""),"")</f>
        <v/>
      </c>
      <c r="B36" t="str">
        <f>IFERROR(__xludf.DUMMYFUNCTION("""COMPUTED_VALUE"""),"")</f>
        <v/>
      </c>
      <c r="C36" t="str">
        <f>IFERROR(__xludf.DUMMYFUNCTION("""COMPUTED_VALUE"""),"")</f>
        <v/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>
      <c r="A37" t="str">
        <f>IFERROR(__xludf.DUMMYFUNCTION("""COMPUTED_VALUE"""),"")</f>
        <v/>
      </c>
      <c r="B37" t="str">
        <f>IFERROR(__xludf.DUMMYFUNCTION("""COMPUTED_VALUE"""),"")</f>
        <v/>
      </c>
      <c r="C37" t="str">
        <f>IFERROR(__xludf.DUMMYFUNCTION("""COMPUTED_VALUE"""),"")</f>
        <v/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>
      <c r="A38" t="str">
        <f>IFERROR(__xludf.DUMMYFUNCTION("""COMPUTED_VALUE"""),"")</f>
        <v/>
      </c>
      <c r="B38" t="str">
        <f>IFERROR(__xludf.DUMMYFUNCTION("""COMPUTED_VALUE"""),"")</f>
        <v/>
      </c>
      <c r="C38" t="str">
        <f>IFERROR(__xludf.DUMMYFUNCTION("""COMPUTED_VALUE"""),"")</f>
        <v/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>
      <c r="A39" t="str">
        <f>IFERROR(__xludf.DUMMYFUNCTION("""COMPUTED_VALUE"""),"")</f>
        <v/>
      </c>
      <c r="B39" t="str">
        <f>IFERROR(__xludf.DUMMYFUNCTION("""COMPUTED_VALUE"""),"")</f>
        <v/>
      </c>
      <c r="C39" t="str">
        <f>IFERROR(__xludf.DUMMYFUNCTION("""COMPUTED_VALUE"""),"")</f>
        <v/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>
      <c r="A40" t="str">
        <f>IFERROR(__xludf.DUMMYFUNCTION("""COMPUTED_VALUE"""),"")</f>
        <v/>
      </c>
      <c r="B40" t="str">
        <f>IFERROR(__xludf.DUMMYFUNCTION("""COMPUTED_VALUE"""),"")</f>
        <v/>
      </c>
      <c r="C40" t="str">
        <f>IFERROR(__xludf.DUMMYFUNCTION("""COMPUTED_VALUE"""),"")</f>
        <v/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>
      <c r="A41" t="str">
        <f>IFERROR(__xludf.DUMMYFUNCTION("""COMPUTED_VALUE"""),"")</f>
        <v/>
      </c>
      <c r="B41" t="str">
        <f>IFERROR(__xludf.DUMMYFUNCTION("""COMPUTED_VALUE"""),"")</f>
        <v/>
      </c>
      <c r="C41" t="str">
        <f>IFERROR(__xludf.DUMMYFUNCTION("""COMPUTED_VALUE"""),"")</f>
        <v/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>
      <c r="A42" t="str">
        <f>IFERROR(__xludf.DUMMYFUNCTION("""COMPUTED_VALUE"""),"")</f>
        <v/>
      </c>
      <c r="B42" t="str">
        <f>IFERROR(__xludf.DUMMYFUNCTION("""COMPUTED_VALUE"""),"")</f>
        <v/>
      </c>
      <c r="C42" t="str">
        <f>IFERROR(__xludf.DUMMYFUNCTION("""COMPUTED_VALUE"""),"")</f>
        <v/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>
      <c r="A43" t="str">
        <f>IFERROR(__xludf.DUMMYFUNCTION("""COMPUTED_VALUE"""),"")</f>
        <v/>
      </c>
      <c r="B43" t="str">
        <f>IFERROR(__xludf.DUMMYFUNCTION("""COMPUTED_VALUE"""),"")</f>
        <v/>
      </c>
      <c r="C43" t="str">
        <f>IFERROR(__xludf.DUMMYFUNCTION("""COMPUTED_VALUE"""),"")</f>
        <v/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>
      <c r="A44" t="str">
        <f>IFERROR(__xludf.DUMMYFUNCTION("""COMPUTED_VALUE"""),"")</f>
        <v/>
      </c>
      <c r="B44" t="str">
        <f>IFERROR(__xludf.DUMMYFUNCTION("""COMPUTED_VALUE"""),"")</f>
        <v/>
      </c>
      <c r="C44" t="str">
        <f>IFERROR(__xludf.DUMMYFUNCTION("""COMPUTED_VALUE"""),"")</f>
        <v/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>
      <c r="A45" t="str">
        <f>IFERROR(__xludf.DUMMYFUNCTION("""COMPUTED_VALUE"""),"")</f>
        <v/>
      </c>
      <c r="B45" t="str">
        <f>IFERROR(__xludf.DUMMYFUNCTION("""COMPUTED_VALUE"""),"")</f>
        <v/>
      </c>
      <c r="C45" t="str">
        <f>IFERROR(__xludf.DUMMYFUNCTION("""COMPUTED_VALUE"""),"")</f>
        <v/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>
      <c r="A46" t="str">
        <f>IFERROR(__xludf.DUMMYFUNCTION("""COMPUTED_VALUE"""),"")</f>
        <v/>
      </c>
      <c r="B46" t="str">
        <f>IFERROR(__xludf.DUMMYFUNCTION("""COMPUTED_VALUE"""),"")</f>
        <v/>
      </c>
      <c r="C46" t="str">
        <f>IFERROR(__xludf.DUMMYFUNCTION("""COMPUTED_VALUE"""),"")</f>
        <v/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>
      <c r="A47" t="str">
        <f>IFERROR(__xludf.DUMMYFUNCTION("""COMPUTED_VALUE"""),"")</f>
        <v/>
      </c>
      <c r="B47" t="str">
        <f>IFERROR(__xludf.DUMMYFUNCTION("""COMPUTED_VALUE"""),"")</f>
        <v/>
      </c>
      <c r="C47" t="str">
        <f>IFERROR(__xludf.DUMMYFUNCTION("""COMPUTED_VALUE"""),"")</f>
        <v/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>
      <c r="A48" t="str">
        <f>IFERROR(__xludf.DUMMYFUNCTION("""COMPUTED_VALUE"""),"")</f>
        <v/>
      </c>
      <c r="B48" t="str">
        <f>IFERROR(__xludf.DUMMYFUNCTION("""COMPUTED_VALUE"""),"")</f>
        <v/>
      </c>
      <c r="C48" t="str">
        <f>IFERROR(__xludf.DUMMYFUNCTION("""COMPUTED_VALUE"""),"")</f>
        <v/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>
      <c r="A49" t="str">
        <f>IFERROR(__xludf.DUMMYFUNCTION("""COMPUTED_VALUE"""),"")</f>
        <v/>
      </c>
      <c r="B49" t="str">
        <f>IFERROR(__xludf.DUMMYFUNCTION("""COMPUTED_VALUE"""),"")</f>
        <v/>
      </c>
      <c r="C49" t="str">
        <f>IFERROR(__xludf.DUMMYFUNCTION("""COMPUTED_VALUE"""),"")</f>
        <v/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>
      <c r="A50" t="str">
        <f>IFERROR(__xludf.DUMMYFUNCTION("""COMPUTED_VALUE"""),"")</f>
        <v/>
      </c>
      <c r="B50" t="str">
        <f>IFERROR(__xludf.DUMMYFUNCTION("""COMPUTED_VALUE"""),"")</f>
        <v/>
      </c>
      <c r="C50" t="str">
        <f>IFERROR(__xludf.DUMMYFUNCTION("""COMPUTED_VALUE"""),"")</f>
        <v/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>
      <c r="A51" t="str">
        <f>IFERROR(__xludf.DUMMYFUNCTION("""COMPUTED_VALUE"""),"")</f>
        <v/>
      </c>
      <c r="B51" t="str">
        <f>IFERROR(__xludf.DUMMYFUNCTION("""COMPUTED_VALUE"""),"")</f>
        <v/>
      </c>
      <c r="C51" t="str">
        <f>IFERROR(__xludf.DUMMYFUNCTION("""COMPUTED_VALUE"""),"")</f>
        <v/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>
      <c r="A52" t="str">
        <f>IFERROR(__xludf.DUMMYFUNCTION("""COMPUTED_VALUE"""),"")</f>
        <v/>
      </c>
      <c r="B52" t="str">
        <f>IFERROR(__xludf.DUMMYFUNCTION("""COMPUTED_VALUE"""),"")</f>
        <v/>
      </c>
      <c r="C52" t="str">
        <f>IFERROR(__xludf.DUMMYFUNCTION("""COMPUTED_VALUE"""),"")</f>
        <v/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>
      <c r="A53" t="str">
        <f>IFERROR(__xludf.DUMMYFUNCTION("""COMPUTED_VALUE"""),"")</f>
        <v/>
      </c>
      <c r="B53" t="str">
        <f>IFERROR(__xludf.DUMMYFUNCTION("""COMPUTED_VALUE"""),"")</f>
        <v/>
      </c>
      <c r="C53" t="str">
        <f>IFERROR(__xludf.DUMMYFUNCTION("""COMPUTED_VALUE"""),"")</f>
        <v/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>
      <c r="A54" t="str">
        <f>IFERROR(__xludf.DUMMYFUNCTION("""COMPUTED_VALUE"""),"")</f>
        <v/>
      </c>
      <c r="B54" t="str">
        <f>IFERROR(__xludf.DUMMYFUNCTION("""COMPUTED_VALUE"""),"")</f>
        <v/>
      </c>
      <c r="C54" t="str">
        <f>IFERROR(__xludf.DUMMYFUNCTION("""COMPUTED_VALUE"""),"")</f>
        <v/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>
      <c r="A55" t="str">
        <f>IFERROR(__xludf.DUMMYFUNCTION("""COMPUTED_VALUE"""),"")</f>
        <v/>
      </c>
      <c r="B55" t="str">
        <f>IFERROR(__xludf.DUMMYFUNCTION("""COMPUTED_VALUE"""),"")</f>
        <v/>
      </c>
      <c r="C55" t="str">
        <f>IFERROR(__xludf.DUMMYFUNCTION("""COMPUTED_VALUE"""),"")</f>
        <v/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>
      <c r="A56" t="str">
        <f>IFERROR(__xludf.DUMMYFUNCTION("""COMPUTED_VALUE"""),"")</f>
        <v/>
      </c>
      <c r="B56" t="str">
        <f>IFERROR(__xludf.DUMMYFUNCTION("""COMPUTED_VALUE"""),"")</f>
        <v/>
      </c>
      <c r="C56" t="str">
        <f>IFERROR(__xludf.DUMMYFUNCTION("""COMPUTED_VALUE"""),"")</f>
        <v/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>
      <c r="A57" t="str">
        <f>IFERROR(__xludf.DUMMYFUNCTION("""COMPUTED_VALUE"""),"")</f>
        <v/>
      </c>
      <c r="B57" t="str">
        <f>IFERROR(__xludf.DUMMYFUNCTION("""COMPUTED_VALUE"""),"")</f>
        <v/>
      </c>
      <c r="C57" t="str">
        <f>IFERROR(__xludf.DUMMYFUNCTION("""COMPUTED_VALUE"""),"")</f>
        <v/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>
      <c r="A58" t="str">
        <f>IFERROR(__xludf.DUMMYFUNCTION("""COMPUTED_VALUE"""),"")</f>
        <v/>
      </c>
      <c r="B58" t="str">
        <f>IFERROR(__xludf.DUMMYFUNCTION("""COMPUTED_VALUE"""),"")</f>
        <v/>
      </c>
      <c r="C58" t="str">
        <f>IFERROR(__xludf.DUMMYFUNCTION("""COMPUTED_VALUE"""),"")</f>
        <v/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>
      <c r="A59" t="str">
        <f>IFERROR(__xludf.DUMMYFUNCTION("""COMPUTED_VALUE"""),"")</f>
        <v/>
      </c>
      <c r="B59" t="str">
        <f>IFERROR(__xludf.DUMMYFUNCTION("""COMPUTED_VALUE"""),"")</f>
        <v/>
      </c>
      <c r="C59" t="str">
        <f>IFERROR(__xludf.DUMMYFUNCTION("""COMPUTED_VALUE"""),"")</f>
        <v/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>
      <c r="A60" t="str">
        <f>IFERROR(__xludf.DUMMYFUNCTION("""COMPUTED_VALUE"""),"")</f>
        <v/>
      </c>
      <c r="B60" t="str">
        <f>IFERROR(__xludf.DUMMYFUNCTION("""COMPUTED_VALUE"""),"")</f>
        <v/>
      </c>
      <c r="C60" t="str">
        <f>IFERROR(__xludf.DUMMYFUNCTION("""COMPUTED_VALUE"""),"")</f>
        <v/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>
      <c r="A61" t="str">
        <f>IFERROR(__xludf.DUMMYFUNCTION("""COMPUTED_VALUE"""),"")</f>
        <v/>
      </c>
      <c r="B61" t="str">
        <f>IFERROR(__xludf.DUMMYFUNCTION("""COMPUTED_VALUE"""),"")</f>
        <v/>
      </c>
      <c r="C61" t="str">
        <f>IFERROR(__xludf.DUMMYFUNCTION("""COMPUTED_VALUE"""),"")</f>
        <v/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>
      <c r="A62" t="str">
        <f>IFERROR(__xludf.DUMMYFUNCTION("""COMPUTED_VALUE"""),"")</f>
        <v/>
      </c>
      <c r="B62" t="str">
        <f>IFERROR(__xludf.DUMMYFUNCTION("""COMPUTED_VALUE"""),"")</f>
        <v/>
      </c>
      <c r="C62" t="str">
        <f>IFERROR(__xludf.DUMMYFUNCTION("""COMPUTED_VALUE"""),"")</f>
        <v/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>
      <c r="A63" t="str">
        <f>IFERROR(__xludf.DUMMYFUNCTION("""COMPUTED_VALUE"""),"")</f>
        <v/>
      </c>
      <c r="B63" t="str">
        <f>IFERROR(__xludf.DUMMYFUNCTION("""COMPUTED_VALUE"""),"")</f>
        <v/>
      </c>
      <c r="C63" t="str">
        <f>IFERROR(__xludf.DUMMYFUNCTION("""COMPUTED_VALUE"""),"")</f>
        <v/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>
      <c r="A64" t="str">
        <f>IFERROR(__xludf.DUMMYFUNCTION("""COMPUTED_VALUE"""),"")</f>
        <v/>
      </c>
      <c r="B64" t="str">
        <f>IFERROR(__xludf.DUMMYFUNCTION("""COMPUTED_VALUE"""),"")</f>
        <v/>
      </c>
      <c r="C64" t="str">
        <f>IFERROR(__xludf.DUMMYFUNCTION("""COMPUTED_VALUE"""),"")</f>
        <v/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>
      <c r="A65" t="str">
        <f>IFERROR(__xludf.DUMMYFUNCTION("""COMPUTED_VALUE"""),"")</f>
        <v/>
      </c>
      <c r="B65" t="str">
        <f>IFERROR(__xludf.DUMMYFUNCTION("""COMPUTED_VALUE"""),"")</f>
        <v/>
      </c>
      <c r="C65" t="str">
        <f>IFERROR(__xludf.DUMMYFUNCTION("""COMPUTED_VALUE"""),"")</f>
        <v/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>
      <c r="A66" t="str">
        <f>IFERROR(__xludf.DUMMYFUNCTION("""COMPUTED_VALUE"""),"")</f>
        <v/>
      </c>
      <c r="B66" t="str">
        <f>IFERROR(__xludf.DUMMYFUNCTION("""COMPUTED_VALUE"""),"")</f>
        <v/>
      </c>
      <c r="C66" t="str">
        <f>IFERROR(__xludf.DUMMYFUNCTION("""COMPUTED_VALUE"""),"")</f>
        <v/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>
      <c r="A67" t="str">
        <f>IFERROR(__xludf.DUMMYFUNCTION("""COMPUTED_VALUE"""),"")</f>
        <v/>
      </c>
      <c r="B67" t="str">
        <f>IFERROR(__xludf.DUMMYFUNCTION("""COMPUTED_VALUE"""),"")</f>
        <v/>
      </c>
      <c r="C67" t="str">
        <f>IFERROR(__xludf.DUMMYFUNCTION("""COMPUTED_VALUE"""),"")</f>
        <v/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>
      <c r="A68" t="str">
        <f>IFERROR(__xludf.DUMMYFUNCTION("""COMPUTED_VALUE"""),"")</f>
        <v/>
      </c>
      <c r="B68" t="str">
        <f>IFERROR(__xludf.DUMMYFUNCTION("""COMPUTED_VALUE"""),"")</f>
        <v/>
      </c>
      <c r="C68" t="str">
        <f>IFERROR(__xludf.DUMMYFUNCTION("""COMPUTED_VALUE"""),"")</f>
        <v/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>
      <c r="A69" t="str">
        <f>IFERROR(__xludf.DUMMYFUNCTION("""COMPUTED_VALUE"""),"")</f>
        <v/>
      </c>
      <c r="B69" t="str">
        <f>IFERROR(__xludf.DUMMYFUNCTION("""COMPUTED_VALUE"""),"")</f>
        <v/>
      </c>
      <c r="C69" t="str">
        <f>IFERROR(__xludf.DUMMYFUNCTION("""COMPUTED_VALUE"""),"")</f>
        <v/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>
      <c r="A70" t="str">
        <f>IFERROR(__xludf.DUMMYFUNCTION("""COMPUTED_VALUE"""),"")</f>
        <v/>
      </c>
      <c r="B70" t="str">
        <f>IFERROR(__xludf.DUMMYFUNCTION("""COMPUTED_VALUE"""),"")</f>
        <v/>
      </c>
      <c r="C70" t="str">
        <f>IFERROR(__xludf.DUMMYFUNCTION("""COMPUTED_VALUE"""),"")</f>
        <v/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>
      <c r="A71" t="str">
        <f>IFERROR(__xludf.DUMMYFUNCTION("""COMPUTED_VALUE"""),"")</f>
        <v/>
      </c>
      <c r="B71" t="str">
        <f>IFERROR(__xludf.DUMMYFUNCTION("""COMPUTED_VALUE"""),"")</f>
        <v/>
      </c>
      <c r="C71" t="str">
        <f>IFERROR(__xludf.DUMMYFUNCTION("""COMPUTED_VALUE"""),"")</f>
        <v/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>
      <c r="A72" t="str">
        <f>IFERROR(__xludf.DUMMYFUNCTION("""COMPUTED_VALUE"""),"")</f>
        <v/>
      </c>
      <c r="B72" t="str">
        <f>IFERROR(__xludf.DUMMYFUNCTION("""COMPUTED_VALUE"""),"")</f>
        <v/>
      </c>
      <c r="C72" t="str">
        <f>IFERROR(__xludf.DUMMYFUNCTION("""COMPUTED_VALUE"""),"")</f>
        <v/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>
      <c r="A73" t="str">
        <f>IFERROR(__xludf.DUMMYFUNCTION("""COMPUTED_VALUE"""),"")</f>
        <v/>
      </c>
      <c r="B73" t="str">
        <f>IFERROR(__xludf.DUMMYFUNCTION("""COMPUTED_VALUE"""),"")</f>
        <v/>
      </c>
      <c r="C73" t="str">
        <f>IFERROR(__xludf.DUMMYFUNCTION("""COMPUTED_VALUE"""),"")</f>
        <v/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>
      <c r="A74" t="str">
        <f>IFERROR(__xludf.DUMMYFUNCTION("""COMPUTED_VALUE"""),"")</f>
        <v/>
      </c>
      <c r="B74" t="str">
        <f>IFERROR(__xludf.DUMMYFUNCTION("""COMPUTED_VALUE"""),"")</f>
        <v/>
      </c>
      <c r="C74" t="str">
        <f>IFERROR(__xludf.DUMMYFUNCTION("""COMPUTED_VALUE"""),"")</f>
        <v/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>
      <c r="A75" t="str">
        <f>IFERROR(__xludf.DUMMYFUNCTION("""COMPUTED_VALUE"""),"")</f>
        <v/>
      </c>
      <c r="B75" t="str">
        <f>IFERROR(__xludf.DUMMYFUNCTION("""COMPUTED_VALUE"""),"")</f>
        <v/>
      </c>
      <c r="C75" t="str">
        <f>IFERROR(__xludf.DUMMYFUNCTION("""COMPUTED_VALUE"""),"")</f>
        <v/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>
      <c r="A76" t="str">
        <f>IFERROR(__xludf.DUMMYFUNCTION("""COMPUTED_VALUE"""),"")</f>
        <v/>
      </c>
      <c r="B76" t="str">
        <f>IFERROR(__xludf.DUMMYFUNCTION("""COMPUTED_VALUE"""),"")</f>
        <v/>
      </c>
      <c r="C76" t="str">
        <f>IFERROR(__xludf.DUMMYFUNCTION("""COMPUTED_VALUE"""),"")</f>
        <v/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>
      <c r="A77" t="str">
        <f>IFERROR(__xludf.DUMMYFUNCTION("""COMPUTED_VALUE"""),"")</f>
        <v/>
      </c>
      <c r="B77" t="str">
        <f>IFERROR(__xludf.DUMMYFUNCTION("""COMPUTED_VALUE"""),"")</f>
        <v/>
      </c>
      <c r="C77" t="str">
        <f>IFERROR(__xludf.DUMMYFUNCTION("""COMPUTED_VALUE"""),"")</f>
        <v/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>
      <c r="A78" t="str">
        <f>IFERROR(__xludf.DUMMYFUNCTION("""COMPUTED_VALUE"""),"")</f>
        <v/>
      </c>
      <c r="B78" t="str">
        <f>IFERROR(__xludf.DUMMYFUNCTION("""COMPUTED_VALUE"""),"")</f>
        <v/>
      </c>
      <c r="C78" t="str">
        <f>IFERROR(__xludf.DUMMYFUNCTION("""COMPUTED_VALUE"""),"")</f>
        <v/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>
      <c r="A79" t="str">
        <f>IFERROR(__xludf.DUMMYFUNCTION("""COMPUTED_VALUE"""),"")</f>
        <v/>
      </c>
      <c r="B79" t="str">
        <f>IFERROR(__xludf.DUMMYFUNCTION("""COMPUTED_VALUE"""),"")</f>
        <v/>
      </c>
      <c r="C79" t="str">
        <f>IFERROR(__xludf.DUMMYFUNCTION("""COMPUTED_VALUE"""),"")</f>
        <v/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>
      <c r="A80" t="str">
        <f>IFERROR(__xludf.DUMMYFUNCTION("""COMPUTED_VALUE"""),"")</f>
        <v/>
      </c>
      <c r="B80" t="str">
        <f>IFERROR(__xludf.DUMMYFUNCTION("""COMPUTED_VALUE"""),"")</f>
        <v/>
      </c>
      <c r="C80" t="str">
        <f>IFERROR(__xludf.DUMMYFUNCTION("""COMPUTED_VALUE"""),"")</f>
        <v/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>
      <c r="A81" t="str">
        <f>IFERROR(__xludf.DUMMYFUNCTION("""COMPUTED_VALUE"""),"")</f>
        <v/>
      </c>
      <c r="B81" t="str">
        <f>IFERROR(__xludf.DUMMYFUNCTION("""COMPUTED_VALUE"""),"")</f>
        <v/>
      </c>
      <c r="C81" t="str">
        <f>IFERROR(__xludf.DUMMYFUNCTION("""COMPUTED_VALUE"""),"")</f>
        <v/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>
      <c r="A82" t="str">
        <f>IFERROR(__xludf.DUMMYFUNCTION("""COMPUTED_VALUE"""),"")</f>
        <v/>
      </c>
      <c r="B82" t="str">
        <f>IFERROR(__xludf.DUMMYFUNCTION("""COMPUTED_VALUE"""),"")</f>
        <v/>
      </c>
      <c r="C82" t="str">
        <f>IFERROR(__xludf.DUMMYFUNCTION("""COMPUTED_VALUE"""),"")</f>
        <v/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>
      <c r="A83" t="str">
        <f>IFERROR(__xludf.DUMMYFUNCTION("""COMPUTED_VALUE"""),"")</f>
        <v/>
      </c>
      <c r="B83" t="str">
        <f>IFERROR(__xludf.DUMMYFUNCTION("""COMPUTED_VALUE"""),"")</f>
        <v/>
      </c>
      <c r="C83" t="str">
        <f>IFERROR(__xludf.DUMMYFUNCTION("""COMPUTED_VALUE"""),"")</f>
        <v/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>
      <c r="A84" t="str">
        <f>IFERROR(__xludf.DUMMYFUNCTION("""COMPUTED_VALUE"""),"")</f>
        <v/>
      </c>
      <c r="B84" t="str">
        <f>IFERROR(__xludf.DUMMYFUNCTION("""COMPUTED_VALUE"""),"")</f>
        <v/>
      </c>
      <c r="C84" t="str">
        <f>IFERROR(__xludf.DUMMYFUNCTION("""COMPUTED_VALUE"""),"")</f>
        <v/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>
      <c r="A85" t="str">
        <f>IFERROR(__xludf.DUMMYFUNCTION("""COMPUTED_VALUE"""),"")</f>
        <v/>
      </c>
      <c r="B85" t="str">
        <f>IFERROR(__xludf.DUMMYFUNCTION("""COMPUTED_VALUE"""),"")</f>
        <v/>
      </c>
      <c r="C85" t="str">
        <f>IFERROR(__xludf.DUMMYFUNCTION("""COMPUTED_VALUE"""),"")</f>
        <v/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>
      <c r="A86" t="str">
        <f>IFERROR(__xludf.DUMMYFUNCTION("""COMPUTED_VALUE"""),"")</f>
        <v/>
      </c>
      <c r="B86" t="str">
        <f>IFERROR(__xludf.DUMMYFUNCTION("""COMPUTED_VALUE"""),"")</f>
        <v/>
      </c>
      <c r="C86" t="str">
        <f>IFERROR(__xludf.DUMMYFUNCTION("""COMPUTED_VALUE"""),"")</f>
        <v/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>
      <c r="A87" t="str">
        <f>IFERROR(__xludf.DUMMYFUNCTION("""COMPUTED_VALUE"""),"")</f>
        <v/>
      </c>
      <c r="B87" t="str">
        <f>IFERROR(__xludf.DUMMYFUNCTION("""COMPUTED_VALUE"""),"")</f>
        <v/>
      </c>
      <c r="C87" t="str">
        <f>IFERROR(__xludf.DUMMYFUNCTION("""COMPUTED_VALUE"""),"")</f>
        <v/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>
      <c r="A88" t="str">
        <f>IFERROR(__xludf.DUMMYFUNCTION("""COMPUTED_VALUE"""),"")</f>
        <v/>
      </c>
      <c r="B88" t="str">
        <f>IFERROR(__xludf.DUMMYFUNCTION("""COMPUTED_VALUE"""),"")</f>
        <v/>
      </c>
      <c r="C88" t="str">
        <f>IFERROR(__xludf.DUMMYFUNCTION("""COMPUTED_VALUE"""),"")</f>
        <v/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>
      <c r="A89" t="str">
        <f>IFERROR(__xludf.DUMMYFUNCTION("""COMPUTED_VALUE"""),"")</f>
        <v/>
      </c>
      <c r="B89" t="str">
        <f>IFERROR(__xludf.DUMMYFUNCTION("""COMPUTED_VALUE"""),"")</f>
        <v/>
      </c>
      <c r="C89" t="str">
        <f>IFERROR(__xludf.DUMMYFUNCTION("""COMPUTED_VALUE"""),"")</f>
        <v/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>
      <c r="A90" t="str">
        <f>IFERROR(__xludf.DUMMYFUNCTION("""COMPUTED_VALUE"""),"")</f>
        <v/>
      </c>
      <c r="B90" t="str">
        <f>IFERROR(__xludf.DUMMYFUNCTION("""COMPUTED_VALUE"""),"")</f>
        <v/>
      </c>
      <c r="C90" t="str">
        <f>IFERROR(__xludf.DUMMYFUNCTION("""COMPUTED_VALUE"""),"")</f>
        <v/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>
      <c r="A91" t="str">
        <f>IFERROR(__xludf.DUMMYFUNCTION("""COMPUTED_VALUE"""),"")</f>
        <v/>
      </c>
      <c r="B91" t="str">
        <f>IFERROR(__xludf.DUMMYFUNCTION("""COMPUTED_VALUE"""),"")</f>
        <v/>
      </c>
      <c r="C91" t="str">
        <f>IFERROR(__xludf.DUMMYFUNCTION("""COMPUTED_VALUE"""),"")</f>
        <v/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>
      <c r="A92" t="str">
        <f>IFERROR(__xludf.DUMMYFUNCTION("""COMPUTED_VALUE"""),"")</f>
        <v/>
      </c>
      <c r="B92" t="str">
        <f>IFERROR(__xludf.DUMMYFUNCTION("""COMPUTED_VALUE"""),"")</f>
        <v/>
      </c>
      <c r="C92" t="str">
        <f>IFERROR(__xludf.DUMMYFUNCTION("""COMPUTED_VALUE"""),"")</f>
        <v/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>
      <c r="A93" t="str">
        <f>IFERROR(__xludf.DUMMYFUNCTION("""COMPUTED_VALUE"""),"")</f>
        <v/>
      </c>
      <c r="B93" t="str">
        <f>IFERROR(__xludf.DUMMYFUNCTION("""COMPUTED_VALUE"""),"")</f>
        <v/>
      </c>
      <c r="C93" t="str">
        <f>IFERROR(__xludf.DUMMYFUNCTION("""COMPUTED_VALUE"""),"")</f>
        <v/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>
      <c r="A94" t="str">
        <f>IFERROR(__xludf.DUMMYFUNCTION("""COMPUTED_VALUE"""),"")</f>
        <v/>
      </c>
      <c r="B94" t="str">
        <f>IFERROR(__xludf.DUMMYFUNCTION("""COMPUTED_VALUE"""),"")</f>
        <v/>
      </c>
      <c r="C94" t="str">
        <f>IFERROR(__xludf.DUMMYFUNCTION("""COMPUTED_VALUE"""),"")</f>
        <v/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>
      <c r="A95" t="str">
        <f>IFERROR(__xludf.DUMMYFUNCTION("""COMPUTED_VALUE"""),"")</f>
        <v/>
      </c>
      <c r="B95" t="str">
        <f>IFERROR(__xludf.DUMMYFUNCTION("""COMPUTED_VALUE"""),"")</f>
        <v/>
      </c>
      <c r="C95" t="str">
        <f>IFERROR(__xludf.DUMMYFUNCTION("""COMPUTED_VALUE"""),"")</f>
        <v/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>
      <c r="A96" t="str">
        <f>IFERROR(__xludf.DUMMYFUNCTION("""COMPUTED_VALUE"""),"")</f>
        <v/>
      </c>
      <c r="B96" t="str">
        <f>IFERROR(__xludf.DUMMYFUNCTION("""COMPUTED_VALUE"""),"")</f>
        <v/>
      </c>
      <c r="C96" t="str">
        <f>IFERROR(__xludf.DUMMYFUNCTION("""COMPUTED_VALUE"""),"")</f>
        <v/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>
      <c r="A97" t="str">
        <f>IFERROR(__xludf.DUMMYFUNCTION("""COMPUTED_VALUE"""),"")</f>
        <v/>
      </c>
      <c r="B97" t="str">
        <f>IFERROR(__xludf.DUMMYFUNCTION("""COMPUTED_VALUE"""),"")</f>
        <v/>
      </c>
      <c r="C97" t="str">
        <f>IFERROR(__xludf.DUMMYFUNCTION("""COMPUTED_VALUE"""),"")</f>
        <v/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>
      <c r="A98" t="str">
        <f>IFERROR(__xludf.DUMMYFUNCTION("""COMPUTED_VALUE"""),"")</f>
        <v/>
      </c>
      <c r="B98" t="str">
        <f>IFERROR(__xludf.DUMMYFUNCTION("""COMPUTED_VALUE"""),"")</f>
        <v/>
      </c>
      <c r="C98" t="str">
        <f>IFERROR(__xludf.DUMMYFUNCTION("""COMPUTED_VALUE"""),"")</f>
        <v/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>
      <c r="A99" t="str">
        <f>IFERROR(__xludf.DUMMYFUNCTION("""COMPUTED_VALUE"""),"")</f>
        <v/>
      </c>
      <c r="B99" t="str">
        <f>IFERROR(__xludf.DUMMYFUNCTION("""COMPUTED_VALUE"""),"")</f>
        <v/>
      </c>
      <c r="C99" t="str">
        <f>IFERROR(__xludf.DUMMYFUNCTION("""COMPUTED_VALUE"""),"")</f>
        <v/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>
      <c r="A100" t="str">
        <f>IFERROR(__xludf.DUMMYFUNCTION("""COMPUTED_VALUE"""),"")</f>
        <v/>
      </c>
      <c r="B100" t="str">
        <f>IFERROR(__xludf.DUMMYFUNCTION("""COMPUTED_VALUE"""),"")</f>
        <v/>
      </c>
      <c r="C100" t="str">
        <f>IFERROR(__xludf.DUMMYFUNCTION("""COMPUTED_VALUE"""),"")</f>
        <v/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>
      <c r="A101" t="str">
        <f>IFERROR(__xludf.DUMMYFUNCTION("""COMPUTED_VALUE"""),"")</f>
        <v/>
      </c>
      <c r="B101" t="str">
        <f>IFERROR(__xludf.DUMMYFUNCTION("""COMPUTED_VALUE"""),"")</f>
        <v/>
      </c>
      <c r="C101" t="str">
        <f>IFERROR(__xludf.DUMMYFUNCTION("""COMPUTED_VALUE"""),"")</f>
        <v/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>
      <c r="A102" t="str">
        <f>IFERROR(__xludf.DUMMYFUNCTION("""COMPUTED_VALUE"""),"")</f>
        <v/>
      </c>
      <c r="B102" t="str">
        <f>IFERROR(__xludf.DUMMYFUNCTION("""COMPUTED_VALUE"""),"")</f>
        <v/>
      </c>
      <c r="C102" t="str">
        <f>IFERROR(__xludf.DUMMYFUNCTION("""COMPUTED_VALUE"""),"")</f>
        <v/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>
      <c r="A103" t="str">
        <f>IFERROR(__xludf.DUMMYFUNCTION("""COMPUTED_VALUE"""),"")</f>
        <v/>
      </c>
      <c r="B103" t="str">
        <f>IFERROR(__xludf.DUMMYFUNCTION("""COMPUTED_VALUE"""),"")</f>
        <v/>
      </c>
      <c r="C103" t="str">
        <f>IFERROR(__xludf.DUMMYFUNCTION("""COMPUTED_VALUE"""),"")</f>
        <v/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>
      <c r="A104" t="str">
        <f>IFERROR(__xludf.DUMMYFUNCTION("""COMPUTED_VALUE"""),"")</f>
        <v/>
      </c>
      <c r="B104" t="str">
        <f>IFERROR(__xludf.DUMMYFUNCTION("""COMPUTED_VALUE"""),"")</f>
        <v/>
      </c>
      <c r="C104" t="str">
        <f>IFERROR(__xludf.DUMMYFUNCTION("""COMPUTED_VALUE"""),"")</f>
        <v/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>
      <c r="A105" t="str">
        <f>IFERROR(__xludf.DUMMYFUNCTION("""COMPUTED_VALUE"""),"")</f>
        <v/>
      </c>
      <c r="B105" t="str">
        <f>IFERROR(__xludf.DUMMYFUNCTION("""COMPUTED_VALUE"""),"")</f>
        <v/>
      </c>
      <c r="C105" t="str">
        <f>IFERROR(__xludf.DUMMYFUNCTION("""COMPUTED_VALUE"""),"")</f>
        <v/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>
      <c r="A106" t="str">
        <f>IFERROR(__xludf.DUMMYFUNCTION("""COMPUTED_VALUE"""),"")</f>
        <v/>
      </c>
      <c r="B106" t="str">
        <f>IFERROR(__xludf.DUMMYFUNCTION("""COMPUTED_VALUE"""),"")</f>
        <v/>
      </c>
      <c r="C106" t="str">
        <f>IFERROR(__xludf.DUMMYFUNCTION("""COMPUTED_VALUE"""),"")</f>
        <v/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>
      <c r="A107" t="str">
        <f>IFERROR(__xludf.DUMMYFUNCTION("""COMPUTED_VALUE"""),"")</f>
        <v/>
      </c>
      <c r="B107" t="str">
        <f>IFERROR(__xludf.DUMMYFUNCTION("""COMPUTED_VALUE"""),"")</f>
        <v/>
      </c>
      <c r="C107" t="str">
        <f>IFERROR(__xludf.DUMMYFUNCTION("""COMPUTED_VALUE"""),"")</f>
        <v/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>
      <c r="A108" t="str">
        <f>IFERROR(__xludf.DUMMYFUNCTION("""COMPUTED_VALUE"""),"")</f>
        <v/>
      </c>
      <c r="B108" t="str">
        <f>IFERROR(__xludf.DUMMYFUNCTION("""COMPUTED_VALUE"""),"")</f>
        <v/>
      </c>
      <c r="C108" t="str">
        <f>IFERROR(__xludf.DUMMYFUNCTION("""COMPUTED_VALUE"""),"")</f>
        <v/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>
      <c r="A109" t="str">
        <f>IFERROR(__xludf.DUMMYFUNCTION("""COMPUTED_VALUE"""),"")</f>
        <v/>
      </c>
      <c r="B109" t="str">
        <f>IFERROR(__xludf.DUMMYFUNCTION("""COMPUTED_VALUE"""),"")</f>
        <v/>
      </c>
      <c r="C109" t="str">
        <f>IFERROR(__xludf.DUMMYFUNCTION("""COMPUTED_VALUE"""),"")</f>
        <v/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>
      <c r="A110" t="str">
        <f>IFERROR(__xludf.DUMMYFUNCTION("""COMPUTED_VALUE"""),"")</f>
        <v/>
      </c>
      <c r="B110" t="str">
        <f>IFERROR(__xludf.DUMMYFUNCTION("""COMPUTED_VALUE"""),"")</f>
        <v/>
      </c>
      <c r="C110" t="str">
        <f>IFERROR(__xludf.DUMMYFUNCTION("""COMPUTED_VALUE"""),"")</f>
        <v/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>
      <c r="A111" t="str">
        <f>IFERROR(__xludf.DUMMYFUNCTION("""COMPUTED_VALUE"""),"")</f>
        <v/>
      </c>
      <c r="B111" t="str">
        <f>IFERROR(__xludf.DUMMYFUNCTION("""COMPUTED_VALUE"""),"")</f>
        <v/>
      </c>
      <c r="C111" t="str">
        <f>IFERROR(__xludf.DUMMYFUNCTION("""COMPUTED_VALUE"""),"")</f>
        <v/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>
      <c r="A112" t="str">
        <f>IFERROR(__xludf.DUMMYFUNCTION("""COMPUTED_VALUE"""),"")</f>
        <v/>
      </c>
      <c r="B112" t="str">
        <f>IFERROR(__xludf.DUMMYFUNCTION("""COMPUTED_VALUE"""),"")</f>
        <v/>
      </c>
      <c r="C112" t="str">
        <f>IFERROR(__xludf.DUMMYFUNCTION("""COMPUTED_VALUE"""),"")</f>
        <v/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>
      <c r="A113" t="str">
        <f>IFERROR(__xludf.DUMMYFUNCTION("""COMPUTED_VALUE"""),"")</f>
        <v/>
      </c>
      <c r="B113" t="str">
        <f>IFERROR(__xludf.DUMMYFUNCTION("""COMPUTED_VALUE"""),"")</f>
        <v/>
      </c>
      <c r="C113" t="str">
        <f>IFERROR(__xludf.DUMMYFUNCTION("""COMPUTED_VALUE"""),"")</f>
        <v/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>
      <c r="A114" t="str">
        <f>IFERROR(__xludf.DUMMYFUNCTION("""COMPUTED_VALUE"""),"")</f>
        <v/>
      </c>
      <c r="B114" t="str">
        <f>IFERROR(__xludf.DUMMYFUNCTION("""COMPUTED_VALUE"""),"")</f>
        <v/>
      </c>
      <c r="C114" t="str">
        <f>IFERROR(__xludf.DUMMYFUNCTION("""COMPUTED_VALUE"""),"")</f>
        <v/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>
      <c r="A115" t="str">
        <f>IFERROR(__xludf.DUMMYFUNCTION("""COMPUTED_VALUE"""),"")</f>
        <v/>
      </c>
      <c r="B115" t="str">
        <f>IFERROR(__xludf.DUMMYFUNCTION("""COMPUTED_VALUE"""),"")</f>
        <v/>
      </c>
      <c r="C115" t="str">
        <f>IFERROR(__xludf.DUMMYFUNCTION("""COMPUTED_VALUE"""),"")</f>
        <v/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>
      <c r="A116" t="str">
        <f>IFERROR(__xludf.DUMMYFUNCTION("""COMPUTED_VALUE"""),"")</f>
        <v/>
      </c>
      <c r="B116" t="str">
        <f>IFERROR(__xludf.DUMMYFUNCTION("""COMPUTED_VALUE"""),"")</f>
        <v/>
      </c>
      <c r="C116" t="str">
        <f>IFERROR(__xludf.DUMMYFUNCTION("""COMPUTED_VALUE"""),"")</f>
        <v/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>
      <c r="A117" t="str">
        <f>IFERROR(__xludf.DUMMYFUNCTION("""COMPUTED_VALUE"""),"")</f>
        <v/>
      </c>
      <c r="B117" t="str">
        <f>IFERROR(__xludf.DUMMYFUNCTION("""COMPUTED_VALUE"""),"")</f>
        <v/>
      </c>
      <c r="C117" t="str">
        <f>IFERROR(__xludf.DUMMYFUNCTION("""COMPUTED_VALUE"""),"")</f>
        <v/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>
      <c r="A118" t="str">
        <f>IFERROR(__xludf.DUMMYFUNCTION("""COMPUTED_VALUE"""),"")</f>
        <v/>
      </c>
      <c r="B118" t="str">
        <f>IFERROR(__xludf.DUMMYFUNCTION("""COMPUTED_VALUE"""),"")</f>
        <v/>
      </c>
      <c r="C118" t="str">
        <f>IFERROR(__xludf.DUMMYFUNCTION("""COMPUTED_VALUE"""),"")</f>
        <v/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>
      <c r="A119" t="str">
        <f>IFERROR(__xludf.DUMMYFUNCTION("""COMPUTED_VALUE"""),"")</f>
        <v/>
      </c>
      <c r="B119" t="str">
        <f>IFERROR(__xludf.DUMMYFUNCTION("""COMPUTED_VALUE"""),"")</f>
        <v/>
      </c>
      <c r="C119" t="str">
        <f>IFERROR(__xludf.DUMMYFUNCTION("""COMPUTED_VALUE"""),"")</f>
        <v/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>
      <c r="A120" t="str">
        <f>IFERROR(__xludf.DUMMYFUNCTION("""COMPUTED_VALUE"""),"")</f>
        <v/>
      </c>
      <c r="B120" t="str">
        <f>IFERROR(__xludf.DUMMYFUNCTION("""COMPUTED_VALUE"""),"")</f>
        <v/>
      </c>
      <c r="C120" t="str">
        <f>IFERROR(__xludf.DUMMYFUNCTION("""COMPUTED_VALUE"""),"")</f>
        <v/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>
      <c r="A121" t="str">
        <f>IFERROR(__xludf.DUMMYFUNCTION("""COMPUTED_VALUE"""),"")</f>
        <v/>
      </c>
      <c r="B121" t="str">
        <f>IFERROR(__xludf.DUMMYFUNCTION("""COMPUTED_VALUE"""),"")</f>
        <v/>
      </c>
      <c r="C121" t="str">
        <f>IFERROR(__xludf.DUMMYFUNCTION("""COMPUTED_VALUE"""),"")</f>
        <v/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>
      <c r="A122" t="str">
        <f>IFERROR(__xludf.DUMMYFUNCTION("""COMPUTED_VALUE"""),"")</f>
        <v/>
      </c>
      <c r="B122" t="str">
        <f>IFERROR(__xludf.DUMMYFUNCTION("""COMPUTED_VALUE"""),"")</f>
        <v/>
      </c>
      <c r="C122" t="str">
        <f>IFERROR(__xludf.DUMMYFUNCTION("""COMPUTED_VALUE"""),"")</f>
        <v/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>
      <c r="A123" t="str">
        <f>IFERROR(__xludf.DUMMYFUNCTION("""COMPUTED_VALUE"""),"")</f>
        <v/>
      </c>
      <c r="B123" t="str">
        <f>IFERROR(__xludf.DUMMYFUNCTION("""COMPUTED_VALUE"""),"")</f>
        <v/>
      </c>
      <c r="C123" t="str">
        <f>IFERROR(__xludf.DUMMYFUNCTION("""COMPUTED_VALUE"""),"")</f>
        <v/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>
      <c r="A124" t="str">
        <f>IFERROR(__xludf.DUMMYFUNCTION("""COMPUTED_VALUE"""),"")</f>
        <v/>
      </c>
      <c r="B124" t="str">
        <f>IFERROR(__xludf.DUMMYFUNCTION("""COMPUTED_VALUE"""),"")</f>
        <v/>
      </c>
      <c r="C124" t="str">
        <f>IFERROR(__xludf.DUMMYFUNCTION("""COMPUTED_VALUE"""),"")</f>
        <v/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>
      <c r="A125" t="str">
        <f>IFERROR(__xludf.DUMMYFUNCTION("""COMPUTED_VALUE"""),"")</f>
        <v/>
      </c>
      <c r="B125" t="str">
        <f>IFERROR(__xludf.DUMMYFUNCTION("""COMPUTED_VALUE"""),"")</f>
        <v/>
      </c>
      <c r="C125" t="str">
        <f>IFERROR(__xludf.DUMMYFUNCTION("""COMPUTED_VALUE"""),"")</f>
        <v/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>
      <c r="A126" t="str">
        <f>IFERROR(__xludf.DUMMYFUNCTION("""COMPUTED_VALUE"""),"")</f>
        <v/>
      </c>
      <c r="B126" t="str">
        <f>IFERROR(__xludf.DUMMYFUNCTION("""COMPUTED_VALUE"""),"")</f>
        <v/>
      </c>
      <c r="C126" t="str">
        <f>IFERROR(__xludf.DUMMYFUNCTION("""COMPUTED_VALUE"""),"")</f>
        <v/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>
      <c r="A127" t="str">
        <f>IFERROR(__xludf.DUMMYFUNCTION("""COMPUTED_VALUE"""),"")</f>
        <v/>
      </c>
      <c r="B127" t="str">
        <f>IFERROR(__xludf.DUMMYFUNCTION("""COMPUTED_VALUE"""),"")</f>
        <v/>
      </c>
      <c r="C127" t="str">
        <f>IFERROR(__xludf.DUMMYFUNCTION("""COMPUTED_VALUE"""),"")</f>
        <v/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>
      <c r="A128" t="str">
        <f>IFERROR(__xludf.DUMMYFUNCTION("""COMPUTED_VALUE"""),"")</f>
        <v/>
      </c>
      <c r="B128" t="str">
        <f>IFERROR(__xludf.DUMMYFUNCTION("""COMPUTED_VALUE"""),"")</f>
        <v/>
      </c>
      <c r="C128" t="str">
        <f>IFERROR(__xludf.DUMMYFUNCTION("""COMPUTED_VALUE"""),"")</f>
        <v/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>
      <c r="A129" t="str">
        <f>IFERROR(__xludf.DUMMYFUNCTION("""COMPUTED_VALUE"""),"")</f>
        <v/>
      </c>
      <c r="B129" t="str">
        <f>IFERROR(__xludf.DUMMYFUNCTION("""COMPUTED_VALUE"""),"")</f>
        <v/>
      </c>
      <c r="C129" t="str">
        <f>IFERROR(__xludf.DUMMYFUNCTION("""COMPUTED_VALUE"""),"")</f>
        <v/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>
      <c r="A130" t="str">
        <f>IFERROR(__xludf.DUMMYFUNCTION("""COMPUTED_VALUE"""),"")</f>
        <v/>
      </c>
      <c r="B130" t="str">
        <f>IFERROR(__xludf.DUMMYFUNCTION("""COMPUTED_VALUE"""),"")</f>
        <v/>
      </c>
      <c r="C130" t="str">
        <f>IFERROR(__xludf.DUMMYFUNCTION("""COMPUTED_VALUE"""),"")</f>
        <v/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>
      <c r="A131" t="str">
        <f>IFERROR(__xludf.DUMMYFUNCTION("""COMPUTED_VALUE"""),"")</f>
        <v/>
      </c>
      <c r="B131" t="str">
        <f>IFERROR(__xludf.DUMMYFUNCTION("""COMPUTED_VALUE"""),"")</f>
        <v/>
      </c>
      <c r="C131" t="str">
        <f>IFERROR(__xludf.DUMMYFUNCTION("""COMPUTED_VALUE"""),"")</f>
        <v/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>
      <c r="A132" t="str">
        <f>IFERROR(__xludf.DUMMYFUNCTION("""COMPUTED_VALUE"""),"")</f>
        <v/>
      </c>
      <c r="B132" t="str">
        <f>IFERROR(__xludf.DUMMYFUNCTION("""COMPUTED_VALUE"""),"")</f>
        <v/>
      </c>
      <c r="C132" t="str">
        <f>IFERROR(__xludf.DUMMYFUNCTION("""COMPUTED_VALUE"""),"")</f>
        <v/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>
      <c r="A133" t="str">
        <f>IFERROR(__xludf.DUMMYFUNCTION("""COMPUTED_VALUE"""),"")</f>
        <v/>
      </c>
      <c r="B133" t="str">
        <f>IFERROR(__xludf.DUMMYFUNCTION("""COMPUTED_VALUE"""),"")</f>
        <v/>
      </c>
      <c r="C133" t="str">
        <f>IFERROR(__xludf.DUMMYFUNCTION("""COMPUTED_VALUE"""),"")</f>
        <v/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>
      <c r="A134" t="str">
        <f>IFERROR(__xludf.DUMMYFUNCTION("""COMPUTED_VALUE"""),"")</f>
        <v/>
      </c>
      <c r="B134" t="str">
        <f>IFERROR(__xludf.DUMMYFUNCTION("""COMPUTED_VALUE"""),"")</f>
        <v/>
      </c>
      <c r="C134" t="str">
        <f>IFERROR(__xludf.DUMMYFUNCTION("""COMPUTED_VALUE"""),"")</f>
        <v/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>
      <c r="A135" t="str">
        <f>IFERROR(__xludf.DUMMYFUNCTION("""COMPUTED_VALUE"""),"")</f>
        <v/>
      </c>
      <c r="B135" t="str">
        <f>IFERROR(__xludf.DUMMYFUNCTION("""COMPUTED_VALUE"""),"")</f>
        <v/>
      </c>
      <c r="C135" t="str">
        <f>IFERROR(__xludf.DUMMYFUNCTION("""COMPUTED_VALUE"""),"")</f>
        <v/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>
      <c r="A136" t="str">
        <f>IFERROR(__xludf.DUMMYFUNCTION("""COMPUTED_VALUE"""),"")</f>
        <v/>
      </c>
      <c r="B136" t="str">
        <f>IFERROR(__xludf.DUMMYFUNCTION("""COMPUTED_VALUE"""),"")</f>
        <v/>
      </c>
      <c r="C136" t="str">
        <f>IFERROR(__xludf.DUMMYFUNCTION("""COMPUTED_VALUE"""),"")</f>
        <v/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>
      <c r="A137" t="str">
        <f>IFERROR(__xludf.DUMMYFUNCTION("""COMPUTED_VALUE"""),"")</f>
        <v/>
      </c>
      <c r="B137" t="str">
        <f>IFERROR(__xludf.DUMMYFUNCTION("""COMPUTED_VALUE"""),"")</f>
        <v/>
      </c>
      <c r="C137" t="str">
        <f>IFERROR(__xludf.DUMMYFUNCTION("""COMPUTED_VALUE"""),"")</f>
        <v/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>
      <c r="A138" t="str">
        <f>IFERROR(__xludf.DUMMYFUNCTION("""COMPUTED_VALUE"""),"")</f>
        <v/>
      </c>
      <c r="B138" t="str">
        <f>IFERROR(__xludf.DUMMYFUNCTION("""COMPUTED_VALUE"""),"")</f>
        <v/>
      </c>
      <c r="C138" t="str">
        <f>IFERROR(__xludf.DUMMYFUNCTION("""COMPUTED_VALUE"""),"")</f>
        <v/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>
      <c r="A139" t="str">
        <f>IFERROR(__xludf.DUMMYFUNCTION("""COMPUTED_VALUE"""),"")</f>
        <v/>
      </c>
      <c r="B139" t="str">
        <f>IFERROR(__xludf.DUMMYFUNCTION("""COMPUTED_VALUE"""),"")</f>
        <v/>
      </c>
      <c r="C139" t="str">
        <f>IFERROR(__xludf.DUMMYFUNCTION("""COMPUTED_VALUE"""),"")</f>
        <v/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>
      <c r="A140" t="str">
        <f>IFERROR(__xludf.DUMMYFUNCTION("""COMPUTED_VALUE"""),"")</f>
        <v/>
      </c>
      <c r="B140" t="str">
        <f>IFERROR(__xludf.DUMMYFUNCTION("""COMPUTED_VALUE"""),"")</f>
        <v/>
      </c>
      <c r="C140" t="str">
        <f>IFERROR(__xludf.DUMMYFUNCTION("""COMPUTED_VALUE"""),"")</f>
        <v/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>
      <c r="A141" t="str">
        <f>IFERROR(__xludf.DUMMYFUNCTION("""COMPUTED_VALUE"""),"")</f>
        <v/>
      </c>
      <c r="B141" t="str">
        <f>IFERROR(__xludf.DUMMYFUNCTION("""COMPUTED_VALUE"""),"")</f>
        <v/>
      </c>
      <c r="C141" t="str">
        <f>IFERROR(__xludf.DUMMYFUNCTION("""COMPUTED_VALUE"""),"")</f>
        <v/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>
      <c r="A142" t="str">
        <f>IFERROR(__xludf.DUMMYFUNCTION("""COMPUTED_VALUE"""),"")</f>
        <v/>
      </c>
      <c r="B142" t="str">
        <f>IFERROR(__xludf.DUMMYFUNCTION("""COMPUTED_VALUE"""),"")</f>
        <v/>
      </c>
      <c r="C142" t="str">
        <f>IFERROR(__xludf.DUMMYFUNCTION("""COMPUTED_VALUE"""),"")</f>
        <v/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>
      <c r="A143" t="str">
        <f>IFERROR(__xludf.DUMMYFUNCTION("""COMPUTED_VALUE"""),"")</f>
        <v/>
      </c>
      <c r="B143" t="str">
        <f>IFERROR(__xludf.DUMMYFUNCTION("""COMPUTED_VALUE"""),"")</f>
        <v/>
      </c>
      <c r="C143" t="str">
        <f>IFERROR(__xludf.DUMMYFUNCTION("""COMPUTED_VALUE"""),"")</f>
        <v/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>
      <c r="A144" t="str">
        <f>IFERROR(__xludf.DUMMYFUNCTION("""COMPUTED_VALUE"""),"")</f>
        <v/>
      </c>
      <c r="B144" t="str">
        <f>IFERROR(__xludf.DUMMYFUNCTION("""COMPUTED_VALUE"""),"")</f>
        <v/>
      </c>
      <c r="C144" t="str">
        <f>IFERROR(__xludf.DUMMYFUNCTION("""COMPUTED_VALUE"""),"")</f>
        <v/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>
      <c r="A145" t="str">
        <f>IFERROR(__xludf.DUMMYFUNCTION("""COMPUTED_VALUE"""),"")</f>
        <v/>
      </c>
      <c r="B145" t="str">
        <f>IFERROR(__xludf.DUMMYFUNCTION("""COMPUTED_VALUE"""),"")</f>
        <v/>
      </c>
      <c r="C145" t="str">
        <f>IFERROR(__xludf.DUMMYFUNCTION("""COMPUTED_VALUE"""),"")</f>
        <v/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>
      <c r="A146" t="str">
        <f>IFERROR(__xludf.DUMMYFUNCTION("""COMPUTED_VALUE"""),"")</f>
        <v/>
      </c>
      <c r="B146" t="str">
        <f>IFERROR(__xludf.DUMMYFUNCTION("""COMPUTED_VALUE"""),"")</f>
        <v/>
      </c>
      <c r="C146" t="str">
        <f>IFERROR(__xludf.DUMMYFUNCTION("""COMPUTED_VALUE"""),"")</f>
        <v/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>
      <c r="A147" t="str">
        <f>IFERROR(__xludf.DUMMYFUNCTION("""COMPUTED_VALUE"""),"")</f>
        <v/>
      </c>
      <c r="B147" t="str">
        <f>IFERROR(__xludf.DUMMYFUNCTION("""COMPUTED_VALUE"""),"")</f>
        <v/>
      </c>
      <c r="C147" t="str">
        <f>IFERROR(__xludf.DUMMYFUNCTION("""COMPUTED_VALUE"""),"")</f>
        <v/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>
      <c r="A148" t="str">
        <f>IFERROR(__xludf.DUMMYFUNCTION("""COMPUTED_VALUE"""),"")</f>
        <v/>
      </c>
      <c r="B148" t="str">
        <f>IFERROR(__xludf.DUMMYFUNCTION("""COMPUTED_VALUE"""),"")</f>
        <v/>
      </c>
      <c r="C148" t="str">
        <f>IFERROR(__xludf.DUMMYFUNCTION("""COMPUTED_VALUE"""),"")</f>
        <v/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>
      <c r="A149" t="str">
        <f>IFERROR(__xludf.DUMMYFUNCTION("""COMPUTED_VALUE"""),"")</f>
        <v/>
      </c>
      <c r="B149" t="str">
        <f>IFERROR(__xludf.DUMMYFUNCTION("""COMPUTED_VALUE"""),"")</f>
        <v/>
      </c>
      <c r="C149" t="str">
        <f>IFERROR(__xludf.DUMMYFUNCTION("""COMPUTED_VALUE"""),"")</f>
        <v/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>
      <c r="A150" t="str">
        <f>IFERROR(__xludf.DUMMYFUNCTION("""COMPUTED_VALUE"""),"")</f>
        <v/>
      </c>
      <c r="B150" t="str">
        <f>IFERROR(__xludf.DUMMYFUNCTION("""COMPUTED_VALUE"""),"")</f>
        <v/>
      </c>
      <c r="C150" t="str">
        <f>IFERROR(__xludf.DUMMYFUNCTION("""COMPUTED_VALUE"""),"")</f>
        <v/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>
      <c r="A151" t="str">
        <f>IFERROR(__xludf.DUMMYFUNCTION("""COMPUTED_VALUE"""),"")</f>
        <v/>
      </c>
      <c r="B151" t="str">
        <f>IFERROR(__xludf.DUMMYFUNCTION("""COMPUTED_VALUE"""),"")</f>
        <v/>
      </c>
      <c r="C151" t="str">
        <f>IFERROR(__xludf.DUMMYFUNCTION("""COMPUTED_VALUE"""),"")</f>
        <v/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>
      <c r="A152" t="str">
        <f>IFERROR(__xludf.DUMMYFUNCTION("""COMPUTED_VALUE"""),"")</f>
        <v/>
      </c>
      <c r="B152" t="str">
        <f>IFERROR(__xludf.DUMMYFUNCTION("""COMPUTED_VALUE"""),"")</f>
        <v/>
      </c>
      <c r="C152" t="str">
        <f>IFERROR(__xludf.DUMMYFUNCTION("""COMPUTED_VALUE"""),"")</f>
        <v/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>
      <c r="A153" t="str">
        <f>IFERROR(__xludf.DUMMYFUNCTION("""COMPUTED_VALUE"""),"")</f>
        <v/>
      </c>
      <c r="B153" t="str">
        <f>IFERROR(__xludf.DUMMYFUNCTION("""COMPUTED_VALUE"""),"")</f>
        <v/>
      </c>
      <c r="C153" t="str">
        <f>IFERROR(__xludf.DUMMYFUNCTION("""COMPUTED_VALUE"""),"")</f>
        <v/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>
      <c r="A154" t="str">
        <f>IFERROR(__xludf.DUMMYFUNCTION("""COMPUTED_VALUE"""),"")</f>
        <v/>
      </c>
      <c r="B154" t="str">
        <f>IFERROR(__xludf.DUMMYFUNCTION("""COMPUTED_VALUE"""),"")</f>
        <v/>
      </c>
      <c r="C154" t="str">
        <f>IFERROR(__xludf.DUMMYFUNCTION("""COMPUTED_VALUE"""),"")</f>
        <v/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>
      <c r="A155" t="str">
        <f>IFERROR(__xludf.DUMMYFUNCTION("""COMPUTED_VALUE"""),"")</f>
        <v/>
      </c>
      <c r="B155" t="str">
        <f>IFERROR(__xludf.DUMMYFUNCTION("""COMPUTED_VALUE"""),"")</f>
        <v/>
      </c>
      <c r="C155" t="str">
        <f>IFERROR(__xludf.DUMMYFUNCTION("""COMPUTED_VALUE"""),"")</f>
        <v/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>
      <c r="A156" t="str">
        <f>IFERROR(__xludf.DUMMYFUNCTION("""COMPUTED_VALUE"""),"")</f>
        <v/>
      </c>
      <c r="B156" t="str">
        <f>IFERROR(__xludf.DUMMYFUNCTION("""COMPUTED_VALUE"""),"")</f>
        <v/>
      </c>
      <c r="C156" t="str">
        <f>IFERROR(__xludf.DUMMYFUNCTION("""COMPUTED_VALUE"""),"")</f>
        <v/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>
      <c r="A157" t="str">
        <f>IFERROR(__xludf.DUMMYFUNCTION("""COMPUTED_VALUE"""),"")</f>
        <v/>
      </c>
      <c r="B157" t="str">
        <f>IFERROR(__xludf.DUMMYFUNCTION("""COMPUTED_VALUE"""),"")</f>
        <v/>
      </c>
      <c r="C157" t="str">
        <f>IFERROR(__xludf.DUMMYFUNCTION("""COMPUTED_VALUE"""),"")</f>
        <v/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>
      <c r="A158" t="str">
        <f>IFERROR(__xludf.DUMMYFUNCTION("""COMPUTED_VALUE"""),"")</f>
        <v/>
      </c>
      <c r="B158" t="str">
        <f>IFERROR(__xludf.DUMMYFUNCTION("""COMPUTED_VALUE"""),"")</f>
        <v/>
      </c>
      <c r="C158" t="str">
        <f>IFERROR(__xludf.DUMMYFUNCTION("""COMPUTED_VALUE"""),"")</f>
        <v/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>
      <c r="A159" t="str">
        <f>IFERROR(__xludf.DUMMYFUNCTION("""COMPUTED_VALUE"""),"")</f>
        <v/>
      </c>
      <c r="B159" t="str">
        <f>IFERROR(__xludf.DUMMYFUNCTION("""COMPUTED_VALUE"""),"")</f>
        <v/>
      </c>
      <c r="C159" t="str">
        <f>IFERROR(__xludf.DUMMYFUNCTION("""COMPUTED_VALUE"""),"")</f>
        <v/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>
      <c r="A160" t="str">
        <f>IFERROR(__xludf.DUMMYFUNCTION("""COMPUTED_VALUE"""),"")</f>
        <v/>
      </c>
      <c r="B160" t="str">
        <f>IFERROR(__xludf.DUMMYFUNCTION("""COMPUTED_VALUE"""),"")</f>
        <v/>
      </c>
      <c r="C160" t="str">
        <f>IFERROR(__xludf.DUMMYFUNCTION("""COMPUTED_VALUE"""),"")</f>
        <v/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>
      <c r="A161" t="str">
        <f>IFERROR(__xludf.DUMMYFUNCTION("""COMPUTED_VALUE"""),"")</f>
        <v/>
      </c>
      <c r="B161" t="str">
        <f>IFERROR(__xludf.DUMMYFUNCTION("""COMPUTED_VALUE"""),"")</f>
        <v/>
      </c>
      <c r="C161" t="str">
        <f>IFERROR(__xludf.DUMMYFUNCTION("""COMPUTED_VALUE"""),"")</f>
        <v/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>
      <c r="A162" t="str">
        <f>IFERROR(__xludf.DUMMYFUNCTION("""COMPUTED_VALUE"""),"")</f>
        <v/>
      </c>
      <c r="B162" t="str">
        <f>IFERROR(__xludf.DUMMYFUNCTION("""COMPUTED_VALUE"""),"")</f>
        <v/>
      </c>
      <c r="C162" t="str">
        <f>IFERROR(__xludf.DUMMYFUNCTION("""COMPUTED_VALUE"""),"")</f>
        <v/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>
      <c r="A163" t="str">
        <f>IFERROR(__xludf.DUMMYFUNCTION("""COMPUTED_VALUE"""),"")</f>
        <v/>
      </c>
      <c r="B163" t="str">
        <f>IFERROR(__xludf.DUMMYFUNCTION("""COMPUTED_VALUE"""),"")</f>
        <v/>
      </c>
      <c r="C163" t="str">
        <f>IFERROR(__xludf.DUMMYFUNCTION("""COMPUTED_VALUE"""),"")</f>
        <v/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>
      <c r="A164" t="str">
        <f>IFERROR(__xludf.DUMMYFUNCTION("""COMPUTED_VALUE"""),"")</f>
        <v/>
      </c>
      <c r="B164" t="str">
        <f>IFERROR(__xludf.DUMMYFUNCTION("""COMPUTED_VALUE"""),"")</f>
        <v/>
      </c>
      <c r="C164" t="str">
        <f>IFERROR(__xludf.DUMMYFUNCTION("""COMPUTED_VALUE"""),"")</f>
        <v/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>
      <c r="A165" t="str">
        <f>IFERROR(__xludf.DUMMYFUNCTION("""COMPUTED_VALUE"""),"")</f>
        <v/>
      </c>
      <c r="B165" t="str">
        <f>IFERROR(__xludf.DUMMYFUNCTION("""COMPUTED_VALUE"""),"")</f>
        <v/>
      </c>
      <c r="C165" t="str">
        <f>IFERROR(__xludf.DUMMYFUNCTION("""COMPUTED_VALUE"""),"")</f>
        <v/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>
      <c r="A166" t="str">
        <f>IFERROR(__xludf.DUMMYFUNCTION("""COMPUTED_VALUE"""),"")</f>
        <v/>
      </c>
      <c r="B166" t="str">
        <f>IFERROR(__xludf.DUMMYFUNCTION("""COMPUTED_VALUE"""),"")</f>
        <v/>
      </c>
      <c r="C166" t="str">
        <f>IFERROR(__xludf.DUMMYFUNCTION("""COMPUTED_VALUE"""),"")</f>
        <v/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>
      <c r="A167" t="str">
        <f>IFERROR(__xludf.DUMMYFUNCTION("""COMPUTED_VALUE"""),"")</f>
        <v/>
      </c>
      <c r="B167" t="str">
        <f>IFERROR(__xludf.DUMMYFUNCTION("""COMPUTED_VALUE"""),"")</f>
        <v/>
      </c>
      <c r="C167" t="str">
        <f>IFERROR(__xludf.DUMMYFUNCTION("""COMPUTED_VALUE"""),"")</f>
        <v/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>
      <c r="A168" t="str">
        <f>IFERROR(__xludf.DUMMYFUNCTION("""COMPUTED_VALUE"""),"")</f>
        <v/>
      </c>
      <c r="B168" t="str">
        <f>IFERROR(__xludf.DUMMYFUNCTION("""COMPUTED_VALUE"""),"")</f>
        <v/>
      </c>
      <c r="C168" t="str">
        <f>IFERROR(__xludf.DUMMYFUNCTION("""COMPUTED_VALUE"""),"")</f>
        <v/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>
      <c r="A169" t="str">
        <f>IFERROR(__xludf.DUMMYFUNCTION("""COMPUTED_VALUE"""),"")</f>
        <v/>
      </c>
      <c r="B169" t="str">
        <f>IFERROR(__xludf.DUMMYFUNCTION("""COMPUTED_VALUE"""),"")</f>
        <v/>
      </c>
      <c r="C169" t="str">
        <f>IFERROR(__xludf.DUMMYFUNCTION("""COMPUTED_VALUE"""),"")</f>
        <v/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>
      <c r="A170" t="str">
        <f>IFERROR(__xludf.DUMMYFUNCTION("""COMPUTED_VALUE"""),"")</f>
        <v/>
      </c>
      <c r="B170" t="str">
        <f>IFERROR(__xludf.DUMMYFUNCTION("""COMPUTED_VALUE"""),"")</f>
        <v/>
      </c>
      <c r="C170" t="str">
        <f>IFERROR(__xludf.DUMMYFUNCTION("""COMPUTED_VALUE"""),"")</f>
        <v/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>
      <c r="A171" t="str">
        <f>IFERROR(__xludf.DUMMYFUNCTION("""COMPUTED_VALUE"""),"")</f>
        <v/>
      </c>
      <c r="B171" t="str">
        <f>IFERROR(__xludf.DUMMYFUNCTION("""COMPUTED_VALUE"""),"")</f>
        <v/>
      </c>
      <c r="C171" t="str">
        <f>IFERROR(__xludf.DUMMYFUNCTION("""COMPUTED_VALUE"""),"")</f>
        <v/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>
      <c r="A172" t="str">
        <f>IFERROR(__xludf.DUMMYFUNCTION("""COMPUTED_VALUE"""),"")</f>
        <v/>
      </c>
      <c r="B172" t="str">
        <f>IFERROR(__xludf.DUMMYFUNCTION("""COMPUTED_VALUE"""),"")</f>
        <v/>
      </c>
      <c r="C172" t="str">
        <f>IFERROR(__xludf.DUMMYFUNCTION("""COMPUTED_VALUE"""),"")</f>
        <v/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>
      <c r="A173" t="str">
        <f>IFERROR(__xludf.DUMMYFUNCTION("""COMPUTED_VALUE"""),"")</f>
        <v/>
      </c>
      <c r="B173" t="str">
        <f>IFERROR(__xludf.DUMMYFUNCTION("""COMPUTED_VALUE"""),"")</f>
        <v/>
      </c>
      <c r="C173" t="str">
        <f>IFERROR(__xludf.DUMMYFUNCTION("""COMPUTED_VALUE"""),"")</f>
        <v/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>
      <c r="A174" t="str">
        <f>IFERROR(__xludf.DUMMYFUNCTION("""COMPUTED_VALUE"""),"")</f>
        <v/>
      </c>
      <c r="B174" t="str">
        <f>IFERROR(__xludf.DUMMYFUNCTION("""COMPUTED_VALUE"""),"")</f>
        <v/>
      </c>
      <c r="C174" t="str">
        <f>IFERROR(__xludf.DUMMYFUNCTION("""COMPUTED_VALUE"""),"")</f>
        <v/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>
      <c r="A175" t="str">
        <f>IFERROR(__xludf.DUMMYFUNCTION("""COMPUTED_VALUE"""),"")</f>
        <v/>
      </c>
      <c r="B175" t="str">
        <f>IFERROR(__xludf.DUMMYFUNCTION("""COMPUTED_VALUE"""),"")</f>
        <v/>
      </c>
      <c r="C175" t="str">
        <f>IFERROR(__xludf.DUMMYFUNCTION("""COMPUTED_VALUE"""),"")</f>
        <v/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>
      <c r="A176" t="str">
        <f>IFERROR(__xludf.DUMMYFUNCTION("""COMPUTED_VALUE"""),"")</f>
        <v/>
      </c>
      <c r="B176" t="str">
        <f>IFERROR(__xludf.DUMMYFUNCTION("""COMPUTED_VALUE"""),"")</f>
        <v/>
      </c>
      <c r="C176" t="str">
        <f>IFERROR(__xludf.DUMMYFUNCTION("""COMPUTED_VALUE"""),"")</f>
        <v/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>
      <c r="A177" t="str">
        <f>IFERROR(__xludf.DUMMYFUNCTION("""COMPUTED_VALUE"""),"")</f>
        <v/>
      </c>
      <c r="B177" t="str">
        <f>IFERROR(__xludf.DUMMYFUNCTION("""COMPUTED_VALUE"""),"")</f>
        <v/>
      </c>
      <c r="C177" t="str">
        <f>IFERROR(__xludf.DUMMYFUNCTION("""COMPUTED_VALUE"""),"")</f>
        <v/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>
      <c r="A178" t="str">
        <f>IFERROR(__xludf.DUMMYFUNCTION("""COMPUTED_VALUE"""),"")</f>
        <v/>
      </c>
      <c r="B178" t="str">
        <f>IFERROR(__xludf.DUMMYFUNCTION("""COMPUTED_VALUE"""),"")</f>
        <v/>
      </c>
      <c r="C178" t="str">
        <f>IFERROR(__xludf.DUMMYFUNCTION("""COMPUTED_VALUE"""),"")</f>
        <v/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>
      <c r="A179" t="str">
        <f>IFERROR(__xludf.DUMMYFUNCTION("""COMPUTED_VALUE"""),"")</f>
        <v/>
      </c>
      <c r="B179" t="str">
        <f>IFERROR(__xludf.DUMMYFUNCTION("""COMPUTED_VALUE"""),"")</f>
        <v/>
      </c>
      <c r="C179" t="str">
        <f>IFERROR(__xludf.DUMMYFUNCTION("""COMPUTED_VALUE"""),"")</f>
        <v/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>
      <c r="A180" t="str">
        <f>IFERROR(__xludf.DUMMYFUNCTION("""COMPUTED_VALUE"""),"")</f>
        <v/>
      </c>
      <c r="B180" t="str">
        <f>IFERROR(__xludf.DUMMYFUNCTION("""COMPUTED_VALUE"""),"")</f>
        <v/>
      </c>
      <c r="C180" t="str">
        <f>IFERROR(__xludf.DUMMYFUNCTION("""COMPUTED_VALUE"""),"")</f>
        <v/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>
      <c r="A181" t="str">
        <f>IFERROR(__xludf.DUMMYFUNCTION("""COMPUTED_VALUE"""),"")</f>
        <v/>
      </c>
      <c r="B181" t="str">
        <f>IFERROR(__xludf.DUMMYFUNCTION("""COMPUTED_VALUE"""),"")</f>
        <v/>
      </c>
      <c r="C181" t="str">
        <f>IFERROR(__xludf.DUMMYFUNCTION("""COMPUTED_VALUE"""),"")</f>
        <v/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>
      <c r="A182" t="str">
        <f>IFERROR(__xludf.DUMMYFUNCTION("""COMPUTED_VALUE"""),"")</f>
        <v/>
      </c>
      <c r="B182" t="str">
        <f>IFERROR(__xludf.DUMMYFUNCTION("""COMPUTED_VALUE"""),"")</f>
        <v/>
      </c>
      <c r="C182" t="str">
        <f>IFERROR(__xludf.DUMMYFUNCTION("""COMPUTED_VALUE"""),"")</f>
        <v/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>
      <c r="A183" t="str">
        <f>IFERROR(__xludf.DUMMYFUNCTION("""COMPUTED_VALUE"""),"")</f>
        <v/>
      </c>
      <c r="B183" t="str">
        <f>IFERROR(__xludf.DUMMYFUNCTION("""COMPUTED_VALUE"""),"")</f>
        <v/>
      </c>
      <c r="C183" t="str">
        <f>IFERROR(__xludf.DUMMYFUNCTION("""COMPUTED_VALUE"""),"")</f>
        <v/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>
      <c r="A184" t="str">
        <f>IFERROR(__xludf.DUMMYFUNCTION("""COMPUTED_VALUE"""),"")</f>
        <v/>
      </c>
      <c r="B184" t="str">
        <f>IFERROR(__xludf.DUMMYFUNCTION("""COMPUTED_VALUE"""),"")</f>
        <v/>
      </c>
      <c r="C184" t="str">
        <f>IFERROR(__xludf.DUMMYFUNCTION("""COMPUTED_VALUE"""),"")</f>
        <v/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>
      <c r="A185" t="str">
        <f>IFERROR(__xludf.DUMMYFUNCTION("""COMPUTED_VALUE"""),"")</f>
        <v/>
      </c>
      <c r="B185" t="str">
        <f>IFERROR(__xludf.DUMMYFUNCTION("""COMPUTED_VALUE"""),"")</f>
        <v/>
      </c>
      <c r="C185" t="str">
        <f>IFERROR(__xludf.DUMMYFUNCTION("""COMPUTED_VALUE"""),"")</f>
        <v/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>
      <c r="A186" t="str">
        <f>IFERROR(__xludf.DUMMYFUNCTION("""COMPUTED_VALUE"""),"")</f>
        <v/>
      </c>
      <c r="B186" t="str">
        <f>IFERROR(__xludf.DUMMYFUNCTION("""COMPUTED_VALUE"""),"")</f>
        <v/>
      </c>
      <c r="C186" t="str">
        <f>IFERROR(__xludf.DUMMYFUNCTION("""COMPUTED_VALUE"""),"")</f>
        <v/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>
      <c r="A187" t="str">
        <f>IFERROR(__xludf.DUMMYFUNCTION("""COMPUTED_VALUE"""),"")</f>
        <v/>
      </c>
      <c r="B187" t="str">
        <f>IFERROR(__xludf.DUMMYFUNCTION("""COMPUTED_VALUE"""),"")</f>
        <v/>
      </c>
      <c r="C187" t="str">
        <f>IFERROR(__xludf.DUMMYFUNCTION("""COMPUTED_VALUE"""),"")</f>
        <v/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>
      <c r="A188" t="str">
        <f>IFERROR(__xludf.DUMMYFUNCTION("""COMPUTED_VALUE"""),"")</f>
        <v/>
      </c>
      <c r="B188" t="str">
        <f>IFERROR(__xludf.DUMMYFUNCTION("""COMPUTED_VALUE"""),"")</f>
        <v/>
      </c>
      <c r="C188" t="str">
        <f>IFERROR(__xludf.DUMMYFUNCTION("""COMPUTED_VALUE"""),"")</f>
        <v/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>
      <c r="A189" t="str">
        <f>IFERROR(__xludf.DUMMYFUNCTION("""COMPUTED_VALUE"""),"")</f>
        <v/>
      </c>
      <c r="B189" t="str">
        <f>IFERROR(__xludf.DUMMYFUNCTION("""COMPUTED_VALUE"""),"")</f>
        <v/>
      </c>
      <c r="C189" t="str">
        <f>IFERROR(__xludf.DUMMYFUNCTION("""COMPUTED_VALUE"""),"")</f>
        <v/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>
      <c r="A190" t="str">
        <f>IFERROR(__xludf.DUMMYFUNCTION("""COMPUTED_VALUE"""),"")</f>
        <v/>
      </c>
      <c r="B190" t="str">
        <f>IFERROR(__xludf.DUMMYFUNCTION("""COMPUTED_VALUE"""),"")</f>
        <v/>
      </c>
      <c r="C190" t="str">
        <f>IFERROR(__xludf.DUMMYFUNCTION("""COMPUTED_VALUE"""),"")</f>
        <v/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>
      <c r="A191" t="str">
        <f>IFERROR(__xludf.DUMMYFUNCTION("""COMPUTED_VALUE"""),"")</f>
        <v/>
      </c>
      <c r="B191" t="str">
        <f>IFERROR(__xludf.DUMMYFUNCTION("""COMPUTED_VALUE"""),"")</f>
        <v/>
      </c>
      <c r="C191" t="str">
        <f>IFERROR(__xludf.DUMMYFUNCTION("""COMPUTED_VALUE"""),"")</f>
        <v/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>
      <c r="A192" t="str">
        <f>IFERROR(__xludf.DUMMYFUNCTION("""COMPUTED_VALUE"""),"")</f>
        <v/>
      </c>
      <c r="B192" t="str">
        <f>IFERROR(__xludf.DUMMYFUNCTION("""COMPUTED_VALUE"""),"")</f>
        <v/>
      </c>
      <c r="C192" t="str">
        <f>IFERROR(__xludf.DUMMYFUNCTION("""COMPUTED_VALUE"""),"")</f>
        <v/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>
      <c r="A193" t="str">
        <f>IFERROR(__xludf.DUMMYFUNCTION("""COMPUTED_VALUE"""),"")</f>
        <v/>
      </c>
      <c r="B193" t="str">
        <f>IFERROR(__xludf.DUMMYFUNCTION("""COMPUTED_VALUE"""),"")</f>
        <v/>
      </c>
      <c r="C193" t="str">
        <f>IFERROR(__xludf.DUMMYFUNCTION("""COMPUTED_VALUE"""),"")</f>
        <v/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>
      <c r="A194" t="str">
        <f>IFERROR(__xludf.DUMMYFUNCTION("""COMPUTED_VALUE"""),"")</f>
        <v/>
      </c>
      <c r="B194" t="str">
        <f>IFERROR(__xludf.DUMMYFUNCTION("""COMPUTED_VALUE"""),"")</f>
        <v/>
      </c>
      <c r="C194" t="str">
        <f>IFERROR(__xludf.DUMMYFUNCTION("""COMPUTED_VALUE"""),"")</f>
        <v/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>
      <c r="A195" t="str">
        <f>IFERROR(__xludf.DUMMYFUNCTION("""COMPUTED_VALUE"""),"")</f>
        <v/>
      </c>
      <c r="B195" t="str">
        <f>IFERROR(__xludf.DUMMYFUNCTION("""COMPUTED_VALUE"""),"")</f>
        <v/>
      </c>
      <c r="C195" t="str">
        <f>IFERROR(__xludf.DUMMYFUNCTION("""COMPUTED_VALUE"""),"")</f>
        <v/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>
      <c r="A196" t="str">
        <f>IFERROR(__xludf.DUMMYFUNCTION("""COMPUTED_VALUE"""),"")</f>
        <v/>
      </c>
      <c r="B196" t="str">
        <f>IFERROR(__xludf.DUMMYFUNCTION("""COMPUTED_VALUE"""),"")</f>
        <v/>
      </c>
      <c r="C196" t="str">
        <f>IFERROR(__xludf.DUMMYFUNCTION("""COMPUTED_VALUE"""),"")</f>
        <v/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>
      <c r="A197" t="str">
        <f>IFERROR(__xludf.DUMMYFUNCTION("""COMPUTED_VALUE"""),"")</f>
        <v/>
      </c>
      <c r="B197" t="str">
        <f>IFERROR(__xludf.DUMMYFUNCTION("""COMPUTED_VALUE"""),"")</f>
        <v/>
      </c>
      <c r="C197" t="str">
        <f>IFERROR(__xludf.DUMMYFUNCTION("""COMPUTED_VALUE"""),"")</f>
        <v/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>
      <c r="A198" t="str">
        <f>IFERROR(__xludf.DUMMYFUNCTION("""COMPUTED_VALUE"""),"")</f>
        <v/>
      </c>
      <c r="B198" t="str">
        <f>IFERROR(__xludf.DUMMYFUNCTION("""COMPUTED_VALUE"""),"")</f>
        <v/>
      </c>
      <c r="C198" t="str">
        <f>IFERROR(__xludf.DUMMYFUNCTION("""COMPUTED_VALUE"""),"")</f>
        <v/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>
      <c r="A199" t="str">
        <f>IFERROR(__xludf.DUMMYFUNCTION("""COMPUTED_VALUE"""),"")</f>
        <v/>
      </c>
      <c r="B199" t="str">
        <f>IFERROR(__xludf.DUMMYFUNCTION("""COMPUTED_VALUE"""),"")</f>
        <v/>
      </c>
      <c r="C199" t="str">
        <f>IFERROR(__xludf.DUMMYFUNCTION("""COMPUTED_VALUE"""),"")</f>
        <v/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>
      <c r="A200" t="str">
        <f>IFERROR(__xludf.DUMMYFUNCTION("""COMPUTED_VALUE"""),"")</f>
        <v/>
      </c>
      <c r="B200" t="str">
        <f>IFERROR(__xludf.DUMMYFUNCTION("""COMPUTED_VALUE"""),"")</f>
        <v/>
      </c>
      <c r="C200" t="str">
        <f>IFERROR(__xludf.DUMMYFUNCTION("""COMPUTED_VALUE"""),"")</f>
        <v/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>
      <c r="A201" t="str">
        <f>IFERROR(__xludf.DUMMYFUNCTION("""COMPUTED_VALUE"""),"")</f>
        <v/>
      </c>
      <c r="B201" t="str">
        <f>IFERROR(__xludf.DUMMYFUNCTION("""COMPUTED_VALUE"""),"")</f>
        <v/>
      </c>
      <c r="C201" t="str">
        <f>IFERROR(__xludf.DUMMYFUNCTION("""COMPUTED_VALUE"""),"")</f>
        <v/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>
      <c r="A202" t="str">
        <f>IFERROR(__xludf.DUMMYFUNCTION("""COMPUTED_VALUE"""),"")</f>
        <v/>
      </c>
      <c r="B202" t="str">
        <f>IFERROR(__xludf.DUMMYFUNCTION("""COMPUTED_VALUE"""),"")</f>
        <v/>
      </c>
      <c r="C202" t="str">
        <f>IFERROR(__xludf.DUMMYFUNCTION("""COMPUTED_VALUE"""),"")</f>
        <v/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>
      <c r="A203" t="str">
        <f>IFERROR(__xludf.DUMMYFUNCTION("""COMPUTED_VALUE"""),"")</f>
        <v/>
      </c>
      <c r="B203" t="str">
        <f>IFERROR(__xludf.DUMMYFUNCTION("""COMPUTED_VALUE"""),"")</f>
        <v/>
      </c>
      <c r="C203" t="str">
        <f>IFERROR(__xludf.DUMMYFUNCTION("""COMPUTED_VALUE"""),"")</f>
        <v/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>
      <c r="A204" t="str">
        <f>IFERROR(__xludf.DUMMYFUNCTION("""COMPUTED_VALUE"""),"")</f>
        <v/>
      </c>
      <c r="B204" t="str">
        <f>IFERROR(__xludf.DUMMYFUNCTION("""COMPUTED_VALUE"""),"")</f>
        <v/>
      </c>
      <c r="C204" t="str">
        <f>IFERROR(__xludf.DUMMYFUNCTION("""COMPUTED_VALUE"""),"")</f>
        <v/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>
      <c r="A205" t="str">
        <f>IFERROR(__xludf.DUMMYFUNCTION("""COMPUTED_VALUE"""),"")</f>
        <v/>
      </c>
      <c r="B205" t="str">
        <f>IFERROR(__xludf.DUMMYFUNCTION("""COMPUTED_VALUE"""),"")</f>
        <v/>
      </c>
      <c r="C205" t="str">
        <f>IFERROR(__xludf.DUMMYFUNCTION("""COMPUTED_VALUE"""),"")</f>
        <v/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>
      <c r="A206" t="str">
        <f>IFERROR(__xludf.DUMMYFUNCTION("""COMPUTED_VALUE"""),"")</f>
        <v/>
      </c>
      <c r="B206" t="str">
        <f>IFERROR(__xludf.DUMMYFUNCTION("""COMPUTED_VALUE"""),"")</f>
        <v/>
      </c>
      <c r="C206" t="str">
        <f>IFERROR(__xludf.DUMMYFUNCTION("""COMPUTED_VALUE"""),"")</f>
        <v/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>
      <c r="A207" t="str">
        <f>IFERROR(__xludf.DUMMYFUNCTION("""COMPUTED_VALUE"""),"")</f>
        <v/>
      </c>
      <c r="B207" t="str">
        <f>IFERROR(__xludf.DUMMYFUNCTION("""COMPUTED_VALUE"""),"")</f>
        <v/>
      </c>
      <c r="C207" t="str">
        <f>IFERROR(__xludf.DUMMYFUNCTION("""COMPUTED_VALUE"""),"")</f>
        <v/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>
      <c r="A208" t="str">
        <f>IFERROR(__xludf.DUMMYFUNCTION("""COMPUTED_VALUE"""),"")</f>
        <v/>
      </c>
      <c r="B208" t="str">
        <f>IFERROR(__xludf.DUMMYFUNCTION("""COMPUTED_VALUE"""),"")</f>
        <v/>
      </c>
      <c r="C208" t="str">
        <f>IFERROR(__xludf.DUMMYFUNCTION("""COMPUTED_VALUE"""),"")</f>
        <v/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>
      <c r="A209" t="str">
        <f>IFERROR(__xludf.DUMMYFUNCTION("""COMPUTED_VALUE"""),"")</f>
        <v/>
      </c>
      <c r="B209" t="str">
        <f>IFERROR(__xludf.DUMMYFUNCTION("""COMPUTED_VALUE"""),"")</f>
        <v/>
      </c>
      <c r="C209" t="str">
        <f>IFERROR(__xludf.DUMMYFUNCTION("""COMPUTED_VALUE"""),"")</f>
        <v/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>
      <c r="A210" t="str">
        <f>IFERROR(__xludf.DUMMYFUNCTION("""COMPUTED_VALUE"""),"")</f>
        <v/>
      </c>
      <c r="B210" t="str">
        <f>IFERROR(__xludf.DUMMYFUNCTION("""COMPUTED_VALUE"""),"")</f>
        <v/>
      </c>
      <c r="C210" t="str">
        <f>IFERROR(__xludf.DUMMYFUNCTION("""COMPUTED_VALUE"""),"")</f>
        <v/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>
      <c r="A211" t="str">
        <f>IFERROR(__xludf.DUMMYFUNCTION("""COMPUTED_VALUE"""),"")</f>
        <v/>
      </c>
      <c r="B211" t="str">
        <f>IFERROR(__xludf.DUMMYFUNCTION("""COMPUTED_VALUE"""),"")</f>
        <v/>
      </c>
      <c r="C211" t="str">
        <f>IFERROR(__xludf.DUMMYFUNCTION("""COMPUTED_VALUE"""),"")</f>
        <v/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>
      <c r="A212" t="str">
        <f>IFERROR(__xludf.DUMMYFUNCTION("""COMPUTED_VALUE"""),"")</f>
        <v/>
      </c>
      <c r="B212" t="str">
        <f>IFERROR(__xludf.DUMMYFUNCTION("""COMPUTED_VALUE"""),"")</f>
        <v/>
      </c>
      <c r="C212" t="str">
        <f>IFERROR(__xludf.DUMMYFUNCTION("""COMPUTED_VALUE"""),"")</f>
        <v/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>
      <c r="A213" t="str">
        <f>IFERROR(__xludf.DUMMYFUNCTION("""COMPUTED_VALUE"""),"")</f>
        <v/>
      </c>
      <c r="B213" t="str">
        <f>IFERROR(__xludf.DUMMYFUNCTION("""COMPUTED_VALUE"""),"")</f>
        <v/>
      </c>
      <c r="C213" t="str">
        <f>IFERROR(__xludf.DUMMYFUNCTION("""COMPUTED_VALUE"""),"")</f>
        <v/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>
      <c r="A214" t="str">
        <f>IFERROR(__xludf.DUMMYFUNCTION("""COMPUTED_VALUE"""),"")</f>
        <v/>
      </c>
      <c r="B214" t="str">
        <f>IFERROR(__xludf.DUMMYFUNCTION("""COMPUTED_VALUE"""),"")</f>
        <v/>
      </c>
      <c r="C214" t="str">
        <f>IFERROR(__xludf.DUMMYFUNCTION("""COMPUTED_VALUE"""),"")</f>
        <v/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>
      <c r="A215" t="str">
        <f>IFERROR(__xludf.DUMMYFUNCTION("""COMPUTED_VALUE"""),"")</f>
        <v/>
      </c>
      <c r="B215" t="str">
        <f>IFERROR(__xludf.DUMMYFUNCTION("""COMPUTED_VALUE"""),"")</f>
        <v/>
      </c>
      <c r="C215" t="str">
        <f>IFERROR(__xludf.DUMMYFUNCTION("""COMPUTED_VALUE"""),"")</f>
        <v/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>
      <c r="A216" t="str">
        <f>IFERROR(__xludf.DUMMYFUNCTION("""COMPUTED_VALUE"""),"")</f>
        <v/>
      </c>
      <c r="B216" t="str">
        <f>IFERROR(__xludf.DUMMYFUNCTION("""COMPUTED_VALUE"""),"")</f>
        <v/>
      </c>
      <c r="C216" t="str">
        <f>IFERROR(__xludf.DUMMYFUNCTION("""COMPUTED_VALUE"""),"")</f>
        <v/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>
      <c r="A217" t="str">
        <f>IFERROR(__xludf.DUMMYFUNCTION("""COMPUTED_VALUE"""),"")</f>
        <v/>
      </c>
      <c r="B217" t="str">
        <f>IFERROR(__xludf.DUMMYFUNCTION("""COMPUTED_VALUE"""),"")</f>
        <v/>
      </c>
      <c r="C217" t="str">
        <f>IFERROR(__xludf.DUMMYFUNCTION("""COMPUTED_VALUE"""),"")</f>
        <v/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>
      <c r="A218" t="str">
        <f>IFERROR(__xludf.DUMMYFUNCTION("""COMPUTED_VALUE"""),"")</f>
        <v/>
      </c>
      <c r="B218" t="str">
        <f>IFERROR(__xludf.DUMMYFUNCTION("""COMPUTED_VALUE"""),"")</f>
        <v/>
      </c>
      <c r="C218" t="str">
        <f>IFERROR(__xludf.DUMMYFUNCTION("""COMPUTED_VALUE"""),"")</f>
        <v/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>
      <c r="A219" t="str">
        <f>IFERROR(__xludf.DUMMYFUNCTION("""COMPUTED_VALUE"""),"")</f>
        <v/>
      </c>
      <c r="B219" t="str">
        <f>IFERROR(__xludf.DUMMYFUNCTION("""COMPUTED_VALUE"""),"")</f>
        <v/>
      </c>
      <c r="C219" t="str">
        <f>IFERROR(__xludf.DUMMYFUNCTION("""COMPUTED_VALUE"""),"")</f>
        <v/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>
      <c r="A220" t="str">
        <f>IFERROR(__xludf.DUMMYFUNCTION("""COMPUTED_VALUE"""),"")</f>
        <v/>
      </c>
      <c r="B220" t="str">
        <f>IFERROR(__xludf.DUMMYFUNCTION("""COMPUTED_VALUE"""),"")</f>
        <v/>
      </c>
      <c r="C220" t="str">
        <f>IFERROR(__xludf.DUMMYFUNCTION("""COMPUTED_VALUE"""),"")</f>
        <v/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>
      <c r="A221" t="str">
        <f>IFERROR(__xludf.DUMMYFUNCTION("""COMPUTED_VALUE"""),"")</f>
        <v/>
      </c>
      <c r="B221" t="str">
        <f>IFERROR(__xludf.DUMMYFUNCTION("""COMPUTED_VALUE"""),"")</f>
        <v/>
      </c>
      <c r="C221" t="str">
        <f>IFERROR(__xludf.DUMMYFUNCTION("""COMPUTED_VALUE"""),"")</f>
        <v/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>
      <c r="A222" t="str">
        <f>IFERROR(__xludf.DUMMYFUNCTION("""COMPUTED_VALUE"""),"")</f>
        <v/>
      </c>
      <c r="B222" t="str">
        <f>IFERROR(__xludf.DUMMYFUNCTION("""COMPUTED_VALUE"""),"")</f>
        <v/>
      </c>
      <c r="C222" t="str">
        <f>IFERROR(__xludf.DUMMYFUNCTION("""COMPUTED_VALUE"""),"")</f>
        <v/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>
      <c r="A223" t="str">
        <f>IFERROR(__xludf.DUMMYFUNCTION("""COMPUTED_VALUE"""),"")</f>
        <v/>
      </c>
      <c r="B223" t="str">
        <f>IFERROR(__xludf.DUMMYFUNCTION("""COMPUTED_VALUE"""),"")</f>
        <v/>
      </c>
      <c r="C223" t="str">
        <f>IFERROR(__xludf.DUMMYFUNCTION("""COMPUTED_VALUE"""),"")</f>
        <v/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>
      <c r="A224" t="str">
        <f>IFERROR(__xludf.DUMMYFUNCTION("""COMPUTED_VALUE"""),"")</f>
        <v/>
      </c>
      <c r="B224" t="str">
        <f>IFERROR(__xludf.DUMMYFUNCTION("""COMPUTED_VALUE"""),"")</f>
        <v/>
      </c>
      <c r="C224" t="str">
        <f>IFERROR(__xludf.DUMMYFUNCTION("""COMPUTED_VALUE"""),"")</f>
        <v/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>
      <c r="A225" t="str">
        <f>IFERROR(__xludf.DUMMYFUNCTION("""COMPUTED_VALUE"""),"")</f>
        <v/>
      </c>
      <c r="B225" t="str">
        <f>IFERROR(__xludf.DUMMYFUNCTION("""COMPUTED_VALUE"""),"")</f>
        <v/>
      </c>
      <c r="C225" t="str">
        <f>IFERROR(__xludf.DUMMYFUNCTION("""COMPUTED_VALUE"""),"")</f>
        <v/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>
      <c r="A226" t="str">
        <f>IFERROR(__xludf.DUMMYFUNCTION("""COMPUTED_VALUE"""),"")</f>
        <v/>
      </c>
      <c r="B226" t="str">
        <f>IFERROR(__xludf.DUMMYFUNCTION("""COMPUTED_VALUE"""),"")</f>
        <v/>
      </c>
      <c r="C226" t="str">
        <f>IFERROR(__xludf.DUMMYFUNCTION("""COMPUTED_VALUE"""),"")</f>
        <v/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>
      <c r="A227" t="str">
        <f>IFERROR(__xludf.DUMMYFUNCTION("""COMPUTED_VALUE"""),"")</f>
        <v/>
      </c>
      <c r="B227" t="str">
        <f>IFERROR(__xludf.DUMMYFUNCTION("""COMPUTED_VALUE"""),"")</f>
        <v/>
      </c>
      <c r="C227" t="str">
        <f>IFERROR(__xludf.DUMMYFUNCTION("""COMPUTED_VALUE"""),"")</f>
        <v/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>
      <c r="A228" t="str">
        <f>IFERROR(__xludf.DUMMYFUNCTION("""COMPUTED_VALUE"""),"")</f>
        <v/>
      </c>
      <c r="B228" t="str">
        <f>IFERROR(__xludf.DUMMYFUNCTION("""COMPUTED_VALUE"""),"")</f>
        <v/>
      </c>
      <c r="C228" t="str">
        <f>IFERROR(__xludf.DUMMYFUNCTION("""COMPUTED_VALUE"""),"")</f>
        <v/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>
      <c r="A229" t="str">
        <f>IFERROR(__xludf.DUMMYFUNCTION("""COMPUTED_VALUE"""),"")</f>
        <v/>
      </c>
      <c r="B229" t="str">
        <f>IFERROR(__xludf.DUMMYFUNCTION("""COMPUTED_VALUE"""),"")</f>
        <v/>
      </c>
      <c r="C229" t="str">
        <f>IFERROR(__xludf.DUMMYFUNCTION("""COMPUTED_VALUE"""),"")</f>
        <v/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>
      <c r="A230" t="str">
        <f>IFERROR(__xludf.DUMMYFUNCTION("""COMPUTED_VALUE"""),"")</f>
        <v/>
      </c>
      <c r="B230" t="str">
        <f>IFERROR(__xludf.DUMMYFUNCTION("""COMPUTED_VALUE"""),"")</f>
        <v/>
      </c>
      <c r="C230" t="str">
        <f>IFERROR(__xludf.DUMMYFUNCTION("""COMPUTED_VALUE"""),"")</f>
        <v/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>
      <c r="A231" t="str">
        <f>IFERROR(__xludf.DUMMYFUNCTION("""COMPUTED_VALUE"""),"")</f>
        <v/>
      </c>
      <c r="B231" t="str">
        <f>IFERROR(__xludf.DUMMYFUNCTION("""COMPUTED_VALUE"""),"")</f>
        <v/>
      </c>
      <c r="C231" t="str">
        <f>IFERROR(__xludf.DUMMYFUNCTION("""COMPUTED_VALUE"""),"")</f>
        <v/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>
      <c r="A232" t="str">
        <f>IFERROR(__xludf.DUMMYFUNCTION("""COMPUTED_VALUE"""),"")</f>
        <v/>
      </c>
      <c r="B232" t="str">
        <f>IFERROR(__xludf.DUMMYFUNCTION("""COMPUTED_VALUE"""),"")</f>
        <v/>
      </c>
      <c r="C232" t="str">
        <f>IFERROR(__xludf.DUMMYFUNCTION("""COMPUTED_VALUE"""),"")</f>
        <v/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>
      <c r="A233" t="str">
        <f>IFERROR(__xludf.DUMMYFUNCTION("""COMPUTED_VALUE"""),"")</f>
        <v/>
      </c>
      <c r="B233" t="str">
        <f>IFERROR(__xludf.DUMMYFUNCTION("""COMPUTED_VALUE"""),"")</f>
        <v/>
      </c>
      <c r="C233" t="str">
        <f>IFERROR(__xludf.DUMMYFUNCTION("""COMPUTED_VALUE"""),"")</f>
        <v/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>
      <c r="A234" t="str">
        <f>IFERROR(__xludf.DUMMYFUNCTION("""COMPUTED_VALUE"""),"")</f>
        <v/>
      </c>
      <c r="B234" t="str">
        <f>IFERROR(__xludf.DUMMYFUNCTION("""COMPUTED_VALUE"""),"")</f>
        <v/>
      </c>
      <c r="C234" t="str">
        <f>IFERROR(__xludf.DUMMYFUNCTION("""COMPUTED_VALUE"""),"")</f>
        <v/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>
      <c r="A235" t="str">
        <f>IFERROR(__xludf.DUMMYFUNCTION("""COMPUTED_VALUE"""),"")</f>
        <v/>
      </c>
      <c r="B235" t="str">
        <f>IFERROR(__xludf.DUMMYFUNCTION("""COMPUTED_VALUE"""),"")</f>
        <v/>
      </c>
      <c r="C235" t="str">
        <f>IFERROR(__xludf.DUMMYFUNCTION("""COMPUTED_VALUE"""),"")</f>
        <v/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>
      <c r="A236" t="str">
        <f>IFERROR(__xludf.DUMMYFUNCTION("""COMPUTED_VALUE"""),"")</f>
        <v/>
      </c>
      <c r="B236" t="str">
        <f>IFERROR(__xludf.DUMMYFUNCTION("""COMPUTED_VALUE"""),"")</f>
        <v/>
      </c>
      <c r="C236" t="str">
        <f>IFERROR(__xludf.DUMMYFUNCTION("""COMPUTED_VALUE"""),"")</f>
        <v/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>
      <c r="A237" t="str">
        <f>IFERROR(__xludf.DUMMYFUNCTION("""COMPUTED_VALUE"""),"")</f>
        <v/>
      </c>
      <c r="B237" t="str">
        <f>IFERROR(__xludf.DUMMYFUNCTION("""COMPUTED_VALUE"""),"")</f>
        <v/>
      </c>
      <c r="C237" t="str">
        <f>IFERROR(__xludf.DUMMYFUNCTION("""COMPUTED_VALUE"""),"")</f>
        <v/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>
      <c r="A238" t="str">
        <f>IFERROR(__xludf.DUMMYFUNCTION("""COMPUTED_VALUE"""),"")</f>
        <v/>
      </c>
      <c r="B238" t="str">
        <f>IFERROR(__xludf.DUMMYFUNCTION("""COMPUTED_VALUE"""),"")</f>
        <v/>
      </c>
      <c r="C238" t="str">
        <f>IFERROR(__xludf.DUMMYFUNCTION("""COMPUTED_VALUE"""),"")</f>
        <v/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>
      <c r="A239" t="str">
        <f>IFERROR(__xludf.DUMMYFUNCTION("""COMPUTED_VALUE"""),"")</f>
        <v/>
      </c>
      <c r="B239" t="str">
        <f>IFERROR(__xludf.DUMMYFUNCTION("""COMPUTED_VALUE"""),"")</f>
        <v/>
      </c>
      <c r="C239" t="str">
        <f>IFERROR(__xludf.DUMMYFUNCTION("""COMPUTED_VALUE"""),"")</f>
        <v/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>
      <c r="A240" t="str">
        <f>IFERROR(__xludf.DUMMYFUNCTION("""COMPUTED_VALUE"""),"")</f>
        <v/>
      </c>
      <c r="B240" t="str">
        <f>IFERROR(__xludf.DUMMYFUNCTION("""COMPUTED_VALUE"""),"")</f>
        <v/>
      </c>
      <c r="C240" t="str">
        <f>IFERROR(__xludf.DUMMYFUNCTION("""COMPUTED_VALUE"""),"")</f>
        <v/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>
      <c r="A241" t="str">
        <f>IFERROR(__xludf.DUMMYFUNCTION("""COMPUTED_VALUE"""),"")</f>
        <v/>
      </c>
      <c r="B241" t="str">
        <f>IFERROR(__xludf.DUMMYFUNCTION("""COMPUTED_VALUE"""),"")</f>
        <v/>
      </c>
      <c r="C241" t="str">
        <f>IFERROR(__xludf.DUMMYFUNCTION("""COMPUTED_VALUE"""),"")</f>
        <v/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>
      <c r="A242" t="str">
        <f>IFERROR(__xludf.DUMMYFUNCTION("""COMPUTED_VALUE"""),"")</f>
        <v/>
      </c>
      <c r="B242" t="str">
        <f>IFERROR(__xludf.DUMMYFUNCTION("""COMPUTED_VALUE"""),"")</f>
        <v/>
      </c>
      <c r="C242" t="str">
        <f>IFERROR(__xludf.DUMMYFUNCTION("""COMPUTED_VALUE"""),"")</f>
        <v/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>
      <c r="A243" t="str">
        <f>IFERROR(__xludf.DUMMYFUNCTION("""COMPUTED_VALUE"""),"")</f>
        <v/>
      </c>
      <c r="B243" t="str">
        <f>IFERROR(__xludf.DUMMYFUNCTION("""COMPUTED_VALUE"""),"")</f>
        <v/>
      </c>
      <c r="C243" t="str">
        <f>IFERROR(__xludf.DUMMYFUNCTION("""COMPUTED_VALUE"""),"")</f>
        <v/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>
      <c r="A244" t="str">
        <f>IFERROR(__xludf.DUMMYFUNCTION("""COMPUTED_VALUE"""),"")</f>
        <v/>
      </c>
      <c r="B244" t="str">
        <f>IFERROR(__xludf.DUMMYFUNCTION("""COMPUTED_VALUE"""),"")</f>
        <v/>
      </c>
      <c r="C244" t="str">
        <f>IFERROR(__xludf.DUMMYFUNCTION("""COMPUTED_VALUE"""),"")</f>
        <v/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>
      <c r="A245" t="str">
        <f>IFERROR(__xludf.DUMMYFUNCTION("""COMPUTED_VALUE"""),"")</f>
        <v/>
      </c>
      <c r="B245" t="str">
        <f>IFERROR(__xludf.DUMMYFUNCTION("""COMPUTED_VALUE"""),"")</f>
        <v/>
      </c>
      <c r="C245" t="str">
        <f>IFERROR(__xludf.DUMMYFUNCTION("""COMPUTED_VALUE"""),"")</f>
        <v/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>
      <c r="A246" t="str">
        <f>IFERROR(__xludf.DUMMYFUNCTION("""COMPUTED_VALUE"""),"")</f>
        <v/>
      </c>
      <c r="B246" t="str">
        <f>IFERROR(__xludf.DUMMYFUNCTION("""COMPUTED_VALUE"""),"")</f>
        <v/>
      </c>
      <c r="C246" t="str">
        <f>IFERROR(__xludf.DUMMYFUNCTION("""COMPUTED_VALUE"""),"")</f>
        <v/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>
      <c r="A247" t="str">
        <f>IFERROR(__xludf.DUMMYFUNCTION("""COMPUTED_VALUE"""),"")</f>
        <v/>
      </c>
      <c r="B247" t="str">
        <f>IFERROR(__xludf.DUMMYFUNCTION("""COMPUTED_VALUE"""),"")</f>
        <v/>
      </c>
      <c r="C247" t="str">
        <f>IFERROR(__xludf.DUMMYFUNCTION("""COMPUTED_VALUE"""),"")</f>
        <v/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>
      <c r="A248" t="str">
        <f>IFERROR(__xludf.DUMMYFUNCTION("""COMPUTED_VALUE"""),"")</f>
        <v/>
      </c>
      <c r="B248" t="str">
        <f>IFERROR(__xludf.DUMMYFUNCTION("""COMPUTED_VALUE"""),"")</f>
        <v/>
      </c>
      <c r="C248" t="str">
        <f>IFERROR(__xludf.DUMMYFUNCTION("""COMPUTED_VALUE"""),"")</f>
        <v/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>
      <c r="A249" t="str">
        <f>IFERROR(__xludf.DUMMYFUNCTION("""COMPUTED_VALUE"""),"")</f>
        <v/>
      </c>
      <c r="B249" t="str">
        <f>IFERROR(__xludf.DUMMYFUNCTION("""COMPUTED_VALUE"""),"")</f>
        <v/>
      </c>
      <c r="C249" t="str">
        <f>IFERROR(__xludf.DUMMYFUNCTION("""COMPUTED_VALUE"""),"")</f>
        <v/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>
      <c r="A250" t="str">
        <f>IFERROR(__xludf.DUMMYFUNCTION("""COMPUTED_VALUE"""),"")</f>
        <v/>
      </c>
      <c r="B250" t="str">
        <f>IFERROR(__xludf.DUMMYFUNCTION("""COMPUTED_VALUE"""),"")</f>
        <v/>
      </c>
      <c r="C250" t="str">
        <f>IFERROR(__xludf.DUMMYFUNCTION("""COMPUTED_VALUE"""),"")</f>
        <v/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>
      <c r="A251" t="str">
        <f>IFERROR(__xludf.DUMMYFUNCTION("""COMPUTED_VALUE"""),"")</f>
        <v/>
      </c>
      <c r="B251" t="str">
        <f>IFERROR(__xludf.DUMMYFUNCTION("""COMPUTED_VALUE"""),"")</f>
        <v/>
      </c>
      <c r="C251" t="str">
        <f>IFERROR(__xludf.DUMMYFUNCTION("""COMPUTED_VALUE"""),"")</f>
        <v/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>
      <c r="A252" t="str">
        <f>IFERROR(__xludf.DUMMYFUNCTION("""COMPUTED_VALUE"""),"")</f>
        <v/>
      </c>
      <c r="B252" t="str">
        <f>IFERROR(__xludf.DUMMYFUNCTION("""COMPUTED_VALUE"""),"")</f>
        <v/>
      </c>
      <c r="C252" t="str">
        <f>IFERROR(__xludf.DUMMYFUNCTION("""COMPUTED_VALUE"""),"")</f>
        <v/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>
      <c r="A253" t="str">
        <f>IFERROR(__xludf.DUMMYFUNCTION("""COMPUTED_VALUE"""),"")</f>
        <v/>
      </c>
      <c r="B253" t="str">
        <f>IFERROR(__xludf.DUMMYFUNCTION("""COMPUTED_VALUE"""),"")</f>
        <v/>
      </c>
      <c r="C253" t="str">
        <f>IFERROR(__xludf.DUMMYFUNCTION("""COMPUTED_VALUE"""),"")</f>
        <v/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>
      <c r="A254" t="str">
        <f>IFERROR(__xludf.DUMMYFUNCTION("""COMPUTED_VALUE"""),"")</f>
        <v/>
      </c>
      <c r="B254" t="str">
        <f>IFERROR(__xludf.DUMMYFUNCTION("""COMPUTED_VALUE"""),"")</f>
        <v/>
      </c>
      <c r="C254" t="str">
        <f>IFERROR(__xludf.DUMMYFUNCTION("""COMPUTED_VALUE"""),"")</f>
        <v/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>
      <c r="A255" t="str">
        <f>IFERROR(__xludf.DUMMYFUNCTION("""COMPUTED_VALUE"""),"")</f>
        <v/>
      </c>
      <c r="B255" t="str">
        <f>IFERROR(__xludf.DUMMYFUNCTION("""COMPUTED_VALUE"""),"")</f>
        <v/>
      </c>
      <c r="C255" t="str">
        <f>IFERROR(__xludf.DUMMYFUNCTION("""COMPUTED_VALUE"""),"")</f>
        <v/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>
      <c r="A256" t="str">
        <f>IFERROR(__xludf.DUMMYFUNCTION("""COMPUTED_VALUE"""),"")</f>
        <v/>
      </c>
      <c r="B256" t="str">
        <f>IFERROR(__xludf.DUMMYFUNCTION("""COMPUTED_VALUE"""),"")</f>
        <v/>
      </c>
      <c r="C256" t="str">
        <f>IFERROR(__xludf.DUMMYFUNCTION("""COMPUTED_VALUE"""),"")</f>
        <v/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>
      <c r="A257" t="str">
        <f>IFERROR(__xludf.DUMMYFUNCTION("""COMPUTED_VALUE"""),"")</f>
        <v/>
      </c>
      <c r="B257" t="str">
        <f>IFERROR(__xludf.DUMMYFUNCTION("""COMPUTED_VALUE"""),"")</f>
        <v/>
      </c>
      <c r="C257" t="str">
        <f>IFERROR(__xludf.DUMMYFUNCTION("""COMPUTED_VALUE"""),"")</f>
        <v/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>
      <c r="A258" t="str">
        <f>IFERROR(__xludf.DUMMYFUNCTION("""COMPUTED_VALUE"""),"")</f>
        <v/>
      </c>
      <c r="B258" t="str">
        <f>IFERROR(__xludf.DUMMYFUNCTION("""COMPUTED_VALUE"""),"")</f>
        <v/>
      </c>
      <c r="C258" t="str">
        <f>IFERROR(__xludf.DUMMYFUNCTION("""COMPUTED_VALUE"""),"")</f>
        <v/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>
      <c r="A259" t="str">
        <f>IFERROR(__xludf.DUMMYFUNCTION("""COMPUTED_VALUE"""),"")</f>
        <v/>
      </c>
      <c r="B259" t="str">
        <f>IFERROR(__xludf.DUMMYFUNCTION("""COMPUTED_VALUE"""),"")</f>
        <v/>
      </c>
      <c r="C259" t="str">
        <f>IFERROR(__xludf.DUMMYFUNCTION("""COMPUTED_VALUE"""),"")</f>
        <v/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>
      <c r="A260" t="str">
        <f>IFERROR(__xludf.DUMMYFUNCTION("""COMPUTED_VALUE"""),"")</f>
        <v/>
      </c>
      <c r="B260" t="str">
        <f>IFERROR(__xludf.DUMMYFUNCTION("""COMPUTED_VALUE"""),"")</f>
        <v/>
      </c>
      <c r="C260" t="str">
        <f>IFERROR(__xludf.DUMMYFUNCTION("""COMPUTED_VALUE"""),"")</f>
        <v/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>
      <c r="A261" t="str">
        <f>IFERROR(__xludf.DUMMYFUNCTION("""COMPUTED_VALUE"""),"")</f>
        <v/>
      </c>
      <c r="B261" t="str">
        <f>IFERROR(__xludf.DUMMYFUNCTION("""COMPUTED_VALUE"""),"")</f>
        <v/>
      </c>
      <c r="C261" t="str">
        <f>IFERROR(__xludf.DUMMYFUNCTION("""COMPUTED_VALUE"""),"")</f>
        <v/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>
      <c r="A262" t="str">
        <f>IFERROR(__xludf.DUMMYFUNCTION("""COMPUTED_VALUE"""),"")</f>
        <v/>
      </c>
      <c r="B262" t="str">
        <f>IFERROR(__xludf.DUMMYFUNCTION("""COMPUTED_VALUE"""),"")</f>
        <v/>
      </c>
      <c r="C262" t="str">
        <f>IFERROR(__xludf.DUMMYFUNCTION("""COMPUTED_VALUE"""),"")</f>
        <v/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>
      <c r="A263" t="str">
        <f>IFERROR(__xludf.DUMMYFUNCTION("""COMPUTED_VALUE"""),"")</f>
        <v/>
      </c>
      <c r="B263" t="str">
        <f>IFERROR(__xludf.DUMMYFUNCTION("""COMPUTED_VALUE"""),"")</f>
        <v/>
      </c>
      <c r="C263" t="str">
        <f>IFERROR(__xludf.DUMMYFUNCTION("""COMPUTED_VALUE"""),"")</f>
        <v/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>
      <c r="A264" t="str">
        <f>IFERROR(__xludf.DUMMYFUNCTION("""COMPUTED_VALUE"""),"")</f>
        <v/>
      </c>
      <c r="B264" t="str">
        <f>IFERROR(__xludf.DUMMYFUNCTION("""COMPUTED_VALUE"""),"")</f>
        <v/>
      </c>
      <c r="C264" t="str">
        <f>IFERROR(__xludf.DUMMYFUNCTION("""COMPUTED_VALUE"""),"")</f>
        <v/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>
      <c r="A265" t="str">
        <f>IFERROR(__xludf.DUMMYFUNCTION("""COMPUTED_VALUE"""),"")</f>
        <v/>
      </c>
      <c r="B265" t="str">
        <f>IFERROR(__xludf.DUMMYFUNCTION("""COMPUTED_VALUE"""),"")</f>
        <v/>
      </c>
      <c r="C265" t="str">
        <f>IFERROR(__xludf.DUMMYFUNCTION("""COMPUTED_VALUE"""),"")</f>
        <v/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>
      <c r="A266" t="str">
        <f>IFERROR(__xludf.DUMMYFUNCTION("""COMPUTED_VALUE"""),"")</f>
        <v/>
      </c>
      <c r="B266" t="str">
        <f>IFERROR(__xludf.DUMMYFUNCTION("""COMPUTED_VALUE"""),"")</f>
        <v/>
      </c>
      <c r="C266" t="str">
        <f>IFERROR(__xludf.DUMMYFUNCTION("""COMPUTED_VALUE"""),"")</f>
        <v/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>
      <c r="A267" t="str">
        <f>IFERROR(__xludf.DUMMYFUNCTION("""COMPUTED_VALUE"""),"")</f>
        <v/>
      </c>
      <c r="B267" t="str">
        <f>IFERROR(__xludf.DUMMYFUNCTION("""COMPUTED_VALUE"""),"")</f>
        <v/>
      </c>
      <c r="C267" t="str">
        <f>IFERROR(__xludf.DUMMYFUNCTION("""COMPUTED_VALUE"""),"")</f>
        <v/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>
      <c r="A268" t="str">
        <f>IFERROR(__xludf.DUMMYFUNCTION("""COMPUTED_VALUE"""),"")</f>
        <v/>
      </c>
      <c r="B268" t="str">
        <f>IFERROR(__xludf.DUMMYFUNCTION("""COMPUTED_VALUE"""),"")</f>
        <v/>
      </c>
      <c r="C268" t="str">
        <f>IFERROR(__xludf.DUMMYFUNCTION("""COMPUTED_VALUE"""),"")</f>
        <v/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>
      <c r="A269" t="str">
        <f>IFERROR(__xludf.DUMMYFUNCTION("""COMPUTED_VALUE"""),"")</f>
        <v/>
      </c>
      <c r="B269" t="str">
        <f>IFERROR(__xludf.DUMMYFUNCTION("""COMPUTED_VALUE"""),"")</f>
        <v/>
      </c>
      <c r="C269" t="str">
        <f>IFERROR(__xludf.DUMMYFUNCTION("""COMPUTED_VALUE"""),"")</f>
        <v/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>
      <c r="A270" t="str">
        <f>IFERROR(__xludf.DUMMYFUNCTION("""COMPUTED_VALUE"""),"")</f>
        <v/>
      </c>
      <c r="B270" t="str">
        <f>IFERROR(__xludf.DUMMYFUNCTION("""COMPUTED_VALUE"""),"")</f>
        <v/>
      </c>
      <c r="C270" t="str">
        <f>IFERROR(__xludf.DUMMYFUNCTION("""COMPUTED_VALUE"""),"")</f>
        <v/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>
      <c r="A271" t="str">
        <f>IFERROR(__xludf.DUMMYFUNCTION("""COMPUTED_VALUE"""),"")</f>
        <v/>
      </c>
      <c r="B271" t="str">
        <f>IFERROR(__xludf.DUMMYFUNCTION("""COMPUTED_VALUE"""),"")</f>
        <v/>
      </c>
      <c r="C271" t="str">
        <f>IFERROR(__xludf.DUMMYFUNCTION("""COMPUTED_VALUE"""),"")</f>
        <v/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>
      <c r="A272" t="str">
        <f>IFERROR(__xludf.DUMMYFUNCTION("""COMPUTED_VALUE"""),"")</f>
        <v/>
      </c>
      <c r="B272" t="str">
        <f>IFERROR(__xludf.DUMMYFUNCTION("""COMPUTED_VALUE"""),"")</f>
        <v/>
      </c>
      <c r="C272" t="str">
        <f>IFERROR(__xludf.DUMMYFUNCTION("""COMPUTED_VALUE"""),"")</f>
        <v/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>
      <c r="A273" t="str">
        <f>IFERROR(__xludf.DUMMYFUNCTION("""COMPUTED_VALUE"""),"")</f>
        <v/>
      </c>
      <c r="B273" t="str">
        <f>IFERROR(__xludf.DUMMYFUNCTION("""COMPUTED_VALUE"""),"")</f>
        <v/>
      </c>
      <c r="C273" t="str">
        <f>IFERROR(__xludf.DUMMYFUNCTION("""COMPUTED_VALUE"""),"")</f>
        <v/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>
      <c r="A274" t="str">
        <f>IFERROR(__xludf.DUMMYFUNCTION("""COMPUTED_VALUE"""),"")</f>
        <v/>
      </c>
      <c r="B274" t="str">
        <f>IFERROR(__xludf.DUMMYFUNCTION("""COMPUTED_VALUE"""),"")</f>
        <v/>
      </c>
      <c r="C274" t="str">
        <f>IFERROR(__xludf.DUMMYFUNCTION("""COMPUTED_VALUE"""),"")</f>
        <v/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>
      <c r="A275" t="str">
        <f>IFERROR(__xludf.DUMMYFUNCTION("""COMPUTED_VALUE"""),"")</f>
        <v/>
      </c>
      <c r="B275" t="str">
        <f>IFERROR(__xludf.DUMMYFUNCTION("""COMPUTED_VALUE"""),"")</f>
        <v/>
      </c>
      <c r="C275" t="str">
        <f>IFERROR(__xludf.DUMMYFUNCTION("""COMPUTED_VALUE"""),"")</f>
        <v/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>
      <c r="A276" t="str">
        <f>IFERROR(__xludf.DUMMYFUNCTION("""COMPUTED_VALUE"""),"")</f>
        <v/>
      </c>
      <c r="B276" t="str">
        <f>IFERROR(__xludf.DUMMYFUNCTION("""COMPUTED_VALUE"""),"")</f>
        <v/>
      </c>
      <c r="C276" t="str">
        <f>IFERROR(__xludf.DUMMYFUNCTION("""COMPUTED_VALUE"""),"")</f>
        <v/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>
      <c r="A277" t="str">
        <f>IFERROR(__xludf.DUMMYFUNCTION("""COMPUTED_VALUE"""),"")</f>
        <v/>
      </c>
      <c r="B277" t="str">
        <f>IFERROR(__xludf.DUMMYFUNCTION("""COMPUTED_VALUE"""),"")</f>
        <v/>
      </c>
      <c r="C277" t="str">
        <f>IFERROR(__xludf.DUMMYFUNCTION("""COMPUTED_VALUE"""),"")</f>
        <v/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>
      <c r="A278" t="str">
        <f>IFERROR(__xludf.DUMMYFUNCTION("""COMPUTED_VALUE"""),"")</f>
        <v/>
      </c>
      <c r="B278" t="str">
        <f>IFERROR(__xludf.DUMMYFUNCTION("""COMPUTED_VALUE"""),"")</f>
        <v/>
      </c>
      <c r="C278" t="str">
        <f>IFERROR(__xludf.DUMMYFUNCTION("""COMPUTED_VALUE"""),"")</f>
        <v/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>
      <c r="A279" t="str">
        <f>IFERROR(__xludf.DUMMYFUNCTION("""COMPUTED_VALUE"""),"")</f>
        <v/>
      </c>
      <c r="B279" t="str">
        <f>IFERROR(__xludf.DUMMYFUNCTION("""COMPUTED_VALUE"""),"")</f>
        <v/>
      </c>
      <c r="C279" t="str">
        <f>IFERROR(__xludf.DUMMYFUNCTION("""COMPUTED_VALUE"""),"")</f>
        <v/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>
      <c r="A280" t="str">
        <f>IFERROR(__xludf.DUMMYFUNCTION("""COMPUTED_VALUE"""),"")</f>
        <v/>
      </c>
      <c r="B280" t="str">
        <f>IFERROR(__xludf.DUMMYFUNCTION("""COMPUTED_VALUE"""),"")</f>
        <v/>
      </c>
      <c r="C280" t="str">
        <f>IFERROR(__xludf.DUMMYFUNCTION("""COMPUTED_VALUE"""),"")</f>
        <v/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>
      <c r="A281" t="str">
        <f>IFERROR(__xludf.DUMMYFUNCTION("""COMPUTED_VALUE"""),"")</f>
        <v/>
      </c>
      <c r="B281" t="str">
        <f>IFERROR(__xludf.DUMMYFUNCTION("""COMPUTED_VALUE"""),"")</f>
        <v/>
      </c>
      <c r="C281" t="str">
        <f>IFERROR(__xludf.DUMMYFUNCTION("""COMPUTED_VALUE"""),"")</f>
        <v/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>
      <c r="A282" t="str">
        <f>IFERROR(__xludf.DUMMYFUNCTION("""COMPUTED_VALUE"""),"")</f>
        <v/>
      </c>
      <c r="B282" t="str">
        <f>IFERROR(__xludf.DUMMYFUNCTION("""COMPUTED_VALUE"""),"")</f>
        <v/>
      </c>
      <c r="C282" t="str">
        <f>IFERROR(__xludf.DUMMYFUNCTION("""COMPUTED_VALUE"""),"")</f>
        <v/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>
      <c r="A283" t="str">
        <f>IFERROR(__xludf.DUMMYFUNCTION("""COMPUTED_VALUE"""),"")</f>
        <v/>
      </c>
      <c r="B283" t="str">
        <f>IFERROR(__xludf.DUMMYFUNCTION("""COMPUTED_VALUE"""),"")</f>
        <v/>
      </c>
      <c r="C283" t="str">
        <f>IFERROR(__xludf.DUMMYFUNCTION("""COMPUTED_VALUE"""),"")</f>
        <v/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>
      <c r="A284" t="str">
        <f>IFERROR(__xludf.DUMMYFUNCTION("""COMPUTED_VALUE"""),"")</f>
        <v/>
      </c>
      <c r="B284" t="str">
        <f>IFERROR(__xludf.DUMMYFUNCTION("""COMPUTED_VALUE"""),"")</f>
        <v/>
      </c>
      <c r="C284" t="str">
        <f>IFERROR(__xludf.DUMMYFUNCTION("""COMPUTED_VALUE"""),"")</f>
        <v/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>
      <c r="A285" t="str">
        <f>IFERROR(__xludf.DUMMYFUNCTION("""COMPUTED_VALUE"""),"")</f>
        <v/>
      </c>
      <c r="B285" t="str">
        <f>IFERROR(__xludf.DUMMYFUNCTION("""COMPUTED_VALUE"""),"")</f>
        <v/>
      </c>
      <c r="C285" t="str">
        <f>IFERROR(__xludf.DUMMYFUNCTION("""COMPUTED_VALUE"""),"")</f>
        <v/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>
      <c r="A286" t="str">
        <f>IFERROR(__xludf.DUMMYFUNCTION("""COMPUTED_VALUE"""),"")</f>
        <v/>
      </c>
      <c r="B286" t="str">
        <f>IFERROR(__xludf.DUMMYFUNCTION("""COMPUTED_VALUE"""),"")</f>
        <v/>
      </c>
      <c r="C286" t="str">
        <f>IFERROR(__xludf.DUMMYFUNCTION("""COMPUTED_VALUE"""),"")</f>
        <v/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>
      <c r="A287" t="str">
        <f>IFERROR(__xludf.DUMMYFUNCTION("""COMPUTED_VALUE"""),"")</f>
        <v/>
      </c>
      <c r="B287" t="str">
        <f>IFERROR(__xludf.DUMMYFUNCTION("""COMPUTED_VALUE"""),"")</f>
        <v/>
      </c>
      <c r="C287" t="str">
        <f>IFERROR(__xludf.DUMMYFUNCTION("""COMPUTED_VALUE"""),"")</f>
        <v/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>
      <c r="A288" t="str">
        <f>IFERROR(__xludf.DUMMYFUNCTION("""COMPUTED_VALUE"""),"")</f>
        <v/>
      </c>
      <c r="B288" t="str">
        <f>IFERROR(__xludf.DUMMYFUNCTION("""COMPUTED_VALUE"""),"")</f>
        <v/>
      </c>
      <c r="C288" t="str">
        <f>IFERROR(__xludf.DUMMYFUNCTION("""COMPUTED_VALUE"""),"")</f>
        <v/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>
      <c r="A289" t="str">
        <f>IFERROR(__xludf.DUMMYFUNCTION("""COMPUTED_VALUE"""),"")</f>
        <v/>
      </c>
      <c r="B289" t="str">
        <f>IFERROR(__xludf.DUMMYFUNCTION("""COMPUTED_VALUE"""),"")</f>
        <v/>
      </c>
      <c r="C289" t="str">
        <f>IFERROR(__xludf.DUMMYFUNCTION("""COMPUTED_VALUE"""),"")</f>
        <v/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>
      <c r="A290" t="str">
        <f>IFERROR(__xludf.DUMMYFUNCTION("""COMPUTED_VALUE"""),"")</f>
        <v/>
      </c>
      <c r="B290" t="str">
        <f>IFERROR(__xludf.DUMMYFUNCTION("""COMPUTED_VALUE"""),"")</f>
        <v/>
      </c>
      <c r="C290" t="str">
        <f>IFERROR(__xludf.DUMMYFUNCTION("""COMPUTED_VALUE"""),"")</f>
        <v/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>
      <c r="A291" t="str">
        <f>IFERROR(__xludf.DUMMYFUNCTION("""COMPUTED_VALUE"""),"")</f>
        <v/>
      </c>
      <c r="B291" t="str">
        <f>IFERROR(__xludf.DUMMYFUNCTION("""COMPUTED_VALUE"""),"")</f>
        <v/>
      </c>
      <c r="C291" t="str">
        <f>IFERROR(__xludf.DUMMYFUNCTION("""COMPUTED_VALUE"""),"")</f>
        <v/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>
      <c r="A292" t="str">
        <f>IFERROR(__xludf.DUMMYFUNCTION("""COMPUTED_VALUE"""),"")</f>
        <v/>
      </c>
      <c r="B292" t="str">
        <f>IFERROR(__xludf.DUMMYFUNCTION("""COMPUTED_VALUE"""),"")</f>
        <v/>
      </c>
      <c r="C292" t="str">
        <f>IFERROR(__xludf.DUMMYFUNCTION("""COMPUTED_VALUE"""),"")</f>
        <v/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>
      <c r="A293" t="str">
        <f>IFERROR(__xludf.DUMMYFUNCTION("""COMPUTED_VALUE"""),"")</f>
        <v/>
      </c>
      <c r="B293" t="str">
        <f>IFERROR(__xludf.DUMMYFUNCTION("""COMPUTED_VALUE"""),"")</f>
        <v/>
      </c>
      <c r="C293" t="str">
        <f>IFERROR(__xludf.DUMMYFUNCTION("""COMPUTED_VALUE"""),"")</f>
        <v/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>
      <c r="A294" t="str">
        <f>IFERROR(__xludf.DUMMYFUNCTION("""COMPUTED_VALUE"""),"")</f>
        <v/>
      </c>
      <c r="B294" t="str">
        <f>IFERROR(__xludf.DUMMYFUNCTION("""COMPUTED_VALUE"""),"")</f>
        <v/>
      </c>
      <c r="C294" t="str">
        <f>IFERROR(__xludf.DUMMYFUNCTION("""COMPUTED_VALUE"""),"")</f>
        <v/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>
      <c r="A295" t="str">
        <f>IFERROR(__xludf.DUMMYFUNCTION("""COMPUTED_VALUE"""),"")</f>
        <v/>
      </c>
      <c r="B295" t="str">
        <f>IFERROR(__xludf.DUMMYFUNCTION("""COMPUTED_VALUE"""),"")</f>
        <v/>
      </c>
      <c r="C295" t="str">
        <f>IFERROR(__xludf.DUMMYFUNCTION("""COMPUTED_VALUE"""),"")</f>
        <v/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>
      <c r="A296" t="str">
        <f>IFERROR(__xludf.DUMMYFUNCTION("""COMPUTED_VALUE"""),"")</f>
        <v/>
      </c>
      <c r="B296" t="str">
        <f>IFERROR(__xludf.DUMMYFUNCTION("""COMPUTED_VALUE"""),"")</f>
        <v/>
      </c>
      <c r="C296" t="str">
        <f>IFERROR(__xludf.DUMMYFUNCTION("""COMPUTED_VALUE"""),"")</f>
        <v/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>
      <c r="A297" t="str">
        <f>IFERROR(__xludf.DUMMYFUNCTION("""COMPUTED_VALUE"""),"")</f>
        <v/>
      </c>
      <c r="B297" t="str">
        <f>IFERROR(__xludf.DUMMYFUNCTION("""COMPUTED_VALUE"""),"")</f>
        <v/>
      </c>
      <c r="C297" t="str">
        <f>IFERROR(__xludf.DUMMYFUNCTION("""COMPUTED_VALUE"""),"")</f>
        <v/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>
      <c r="A298" t="str">
        <f>IFERROR(__xludf.DUMMYFUNCTION("""COMPUTED_VALUE"""),"")</f>
        <v/>
      </c>
      <c r="B298" t="str">
        <f>IFERROR(__xludf.DUMMYFUNCTION("""COMPUTED_VALUE"""),"")</f>
        <v/>
      </c>
      <c r="C298" t="str">
        <f>IFERROR(__xludf.DUMMYFUNCTION("""COMPUTED_VALUE"""),"")</f>
        <v/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>
      <c r="A299" t="str">
        <f>IFERROR(__xludf.DUMMYFUNCTION("""COMPUTED_VALUE"""),"")</f>
        <v/>
      </c>
      <c r="B299" t="str">
        <f>IFERROR(__xludf.DUMMYFUNCTION("""COMPUTED_VALUE"""),"")</f>
        <v/>
      </c>
      <c r="C299" t="str">
        <f>IFERROR(__xludf.DUMMYFUNCTION("""COMPUTED_VALUE"""),"")</f>
        <v/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>
      <c r="A300" t="str">
        <f>IFERROR(__xludf.DUMMYFUNCTION("""COMPUTED_VALUE"""),"")</f>
        <v/>
      </c>
      <c r="B300" t="str">
        <f>IFERROR(__xludf.DUMMYFUNCTION("""COMPUTED_VALUE"""),"")</f>
        <v/>
      </c>
      <c r="C300" t="str">
        <f>IFERROR(__xludf.DUMMYFUNCTION("""COMPUTED_VALUE"""),"")</f>
        <v/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>
      <c r="A301" t="str">
        <f>IFERROR(__xludf.DUMMYFUNCTION("""COMPUTED_VALUE"""),"")</f>
        <v/>
      </c>
      <c r="B301" t="str">
        <f>IFERROR(__xludf.DUMMYFUNCTION("""COMPUTED_VALUE"""),"")</f>
        <v/>
      </c>
      <c r="C301" t="str">
        <f>IFERROR(__xludf.DUMMYFUNCTION("""COMPUTED_VALUE"""),"")</f>
        <v/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>
      <c r="A302" t="str">
        <f>IFERROR(__xludf.DUMMYFUNCTION("""COMPUTED_VALUE"""),"")</f>
        <v/>
      </c>
      <c r="B302" t="str">
        <f>IFERROR(__xludf.DUMMYFUNCTION("""COMPUTED_VALUE"""),"")</f>
        <v/>
      </c>
      <c r="C302" t="str">
        <f>IFERROR(__xludf.DUMMYFUNCTION("""COMPUTED_VALUE"""),"")</f>
        <v/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>
      <c r="A303" t="str">
        <f>IFERROR(__xludf.DUMMYFUNCTION("""COMPUTED_VALUE"""),"")</f>
        <v/>
      </c>
      <c r="B303" t="str">
        <f>IFERROR(__xludf.DUMMYFUNCTION("""COMPUTED_VALUE"""),"")</f>
        <v/>
      </c>
      <c r="C303" t="str">
        <f>IFERROR(__xludf.DUMMYFUNCTION("""COMPUTED_VALUE"""),"")</f>
        <v/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>
      <c r="A304" t="str">
        <f>IFERROR(__xludf.DUMMYFUNCTION("""COMPUTED_VALUE"""),"")</f>
        <v/>
      </c>
      <c r="B304" t="str">
        <f>IFERROR(__xludf.DUMMYFUNCTION("""COMPUTED_VALUE"""),"")</f>
        <v/>
      </c>
      <c r="C304" t="str">
        <f>IFERROR(__xludf.DUMMYFUNCTION("""COMPUTED_VALUE"""),"")</f>
        <v/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>
      <c r="A305" t="str">
        <f>IFERROR(__xludf.DUMMYFUNCTION("""COMPUTED_VALUE"""),"")</f>
        <v/>
      </c>
      <c r="B305" t="str">
        <f>IFERROR(__xludf.DUMMYFUNCTION("""COMPUTED_VALUE"""),"")</f>
        <v/>
      </c>
      <c r="C305" t="str">
        <f>IFERROR(__xludf.DUMMYFUNCTION("""COMPUTED_VALUE"""),"")</f>
        <v/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>
      <c r="A306" t="str">
        <f>IFERROR(__xludf.DUMMYFUNCTION("""COMPUTED_VALUE"""),"")</f>
        <v/>
      </c>
      <c r="B306" t="str">
        <f>IFERROR(__xludf.DUMMYFUNCTION("""COMPUTED_VALUE"""),"")</f>
        <v/>
      </c>
      <c r="C306" t="str">
        <f>IFERROR(__xludf.DUMMYFUNCTION("""COMPUTED_VALUE"""),"")</f>
        <v/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>
      <c r="A307" t="str">
        <f>IFERROR(__xludf.DUMMYFUNCTION("""COMPUTED_VALUE"""),"")</f>
        <v/>
      </c>
      <c r="B307" t="str">
        <f>IFERROR(__xludf.DUMMYFUNCTION("""COMPUTED_VALUE"""),"")</f>
        <v/>
      </c>
      <c r="C307" t="str">
        <f>IFERROR(__xludf.DUMMYFUNCTION("""COMPUTED_VALUE"""),"")</f>
        <v/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>
      <c r="A308" t="str">
        <f>IFERROR(__xludf.DUMMYFUNCTION("""COMPUTED_VALUE"""),"")</f>
        <v/>
      </c>
      <c r="B308" t="str">
        <f>IFERROR(__xludf.DUMMYFUNCTION("""COMPUTED_VALUE"""),"")</f>
        <v/>
      </c>
      <c r="C308" t="str">
        <f>IFERROR(__xludf.DUMMYFUNCTION("""COMPUTED_VALUE"""),"")</f>
        <v/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>
      <c r="A309" t="str">
        <f>IFERROR(__xludf.DUMMYFUNCTION("""COMPUTED_VALUE"""),"")</f>
        <v/>
      </c>
      <c r="B309" t="str">
        <f>IFERROR(__xludf.DUMMYFUNCTION("""COMPUTED_VALUE"""),"")</f>
        <v/>
      </c>
      <c r="C309" t="str">
        <f>IFERROR(__xludf.DUMMYFUNCTION("""COMPUTED_VALUE"""),"")</f>
        <v/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>
      <c r="A310" t="str">
        <f>IFERROR(__xludf.DUMMYFUNCTION("""COMPUTED_VALUE"""),"")</f>
        <v/>
      </c>
      <c r="B310" t="str">
        <f>IFERROR(__xludf.DUMMYFUNCTION("""COMPUTED_VALUE"""),"")</f>
        <v/>
      </c>
      <c r="C310" t="str">
        <f>IFERROR(__xludf.DUMMYFUNCTION("""COMPUTED_VALUE"""),"")</f>
        <v/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>
      <c r="A311" t="str">
        <f>IFERROR(__xludf.DUMMYFUNCTION("""COMPUTED_VALUE"""),"")</f>
        <v/>
      </c>
      <c r="B311" t="str">
        <f>IFERROR(__xludf.DUMMYFUNCTION("""COMPUTED_VALUE"""),"")</f>
        <v/>
      </c>
      <c r="C311" t="str">
        <f>IFERROR(__xludf.DUMMYFUNCTION("""COMPUTED_VALUE"""),"")</f>
        <v/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>
      <c r="A312" t="str">
        <f>IFERROR(__xludf.DUMMYFUNCTION("""COMPUTED_VALUE"""),"")</f>
        <v/>
      </c>
      <c r="B312" t="str">
        <f>IFERROR(__xludf.DUMMYFUNCTION("""COMPUTED_VALUE"""),"")</f>
        <v/>
      </c>
      <c r="C312" t="str">
        <f>IFERROR(__xludf.DUMMYFUNCTION("""COMPUTED_VALUE"""),"")</f>
        <v/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>
      <c r="A313" t="str">
        <f>IFERROR(__xludf.DUMMYFUNCTION("""COMPUTED_VALUE"""),"")</f>
        <v/>
      </c>
      <c r="B313" t="str">
        <f>IFERROR(__xludf.DUMMYFUNCTION("""COMPUTED_VALUE"""),"")</f>
        <v/>
      </c>
      <c r="C313" t="str">
        <f>IFERROR(__xludf.DUMMYFUNCTION("""COMPUTED_VALUE"""),"")</f>
        <v/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>
      <c r="A314" t="str">
        <f>IFERROR(__xludf.DUMMYFUNCTION("""COMPUTED_VALUE"""),"")</f>
        <v/>
      </c>
      <c r="B314" t="str">
        <f>IFERROR(__xludf.DUMMYFUNCTION("""COMPUTED_VALUE"""),"")</f>
        <v/>
      </c>
      <c r="C314" t="str">
        <f>IFERROR(__xludf.DUMMYFUNCTION("""COMPUTED_VALUE"""),"")</f>
        <v/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>
      <c r="A315" t="str">
        <f>IFERROR(__xludf.DUMMYFUNCTION("""COMPUTED_VALUE"""),"")</f>
        <v/>
      </c>
      <c r="B315" t="str">
        <f>IFERROR(__xludf.DUMMYFUNCTION("""COMPUTED_VALUE"""),"")</f>
        <v/>
      </c>
      <c r="C315" t="str">
        <f>IFERROR(__xludf.DUMMYFUNCTION("""COMPUTED_VALUE"""),"")</f>
        <v/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>
      <c r="A316" t="str">
        <f>IFERROR(__xludf.DUMMYFUNCTION("""COMPUTED_VALUE"""),"")</f>
        <v/>
      </c>
      <c r="B316" t="str">
        <f>IFERROR(__xludf.DUMMYFUNCTION("""COMPUTED_VALUE"""),"")</f>
        <v/>
      </c>
      <c r="C316" t="str">
        <f>IFERROR(__xludf.DUMMYFUNCTION("""COMPUTED_VALUE"""),"")</f>
        <v/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>
      <c r="A317" t="str">
        <f>IFERROR(__xludf.DUMMYFUNCTION("""COMPUTED_VALUE"""),"")</f>
        <v/>
      </c>
      <c r="B317" t="str">
        <f>IFERROR(__xludf.DUMMYFUNCTION("""COMPUTED_VALUE"""),"")</f>
        <v/>
      </c>
      <c r="C317" t="str">
        <f>IFERROR(__xludf.DUMMYFUNCTION("""COMPUTED_VALUE"""),"")</f>
        <v/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>
      <c r="A318" t="str">
        <f>IFERROR(__xludf.DUMMYFUNCTION("""COMPUTED_VALUE"""),"")</f>
        <v/>
      </c>
      <c r="B318" t="str">
        <f>IFERROR(__xludf.DUMMYFUNCTION("""COMPUTED_VALUE"""),"")</f>
        <v/>
      </c>
      <c r="C318" t="str">
        <f>IFERROR(__xludf.DUMMYFUNCTION("""COMPUTED_VALUE"""),"")</f>
        <v/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>
      <c r="A319" t="str">
        <f>IFERROR(__xludf.DUMMYFUNCTION("""COMPUTED_VALUE"""),"")</f>
        <v/>
      </c>
      <c r="B319" t="str">
        <f>IFERROR(__xludf.DUMMYFUNCTION("""COMPUTED_VALUE"""),"")</f>
        <v/>
      </c>
      <c r="C319" t="str">
        <f>IFERROR(__xludf.DUMMYFUNCTION("""COMPUTED_VALUE"""),"")</f>
        <v/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>
      <c r="A320" t="str">
        <f>IFERROR(__xludf.DUMMYFUNCTION("""COMPUTED_VALUE"""),"")</f>
        <v/>
      </c>
      <c r="B320" t="str">
        <f>IFERROR(__xludf.DUMMYFUNCTION("""COMPUTED_VALUE"""),"")</f>
        <v/>
      </c>
      <c r="C320" t="str">
        <f>IFERROR(__xludf.DUMMYFUNCTION("""COMPUTED_VALUE"""),"")</f>
        <v/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>
      <c r="A321" t="str">
        <f>IFERROR(__xludf.DUMMYFUNCTION("""COMPUTED_VALUE"""),"")</f>
        <v/>
      </c>
      <c r="B321" t="str">
        <f>IFERROR(__xludf.DUMMYFUNCTION("""COMPUTED_VALUE"""),"")</f>
        <v/>
      </c>
      <c r="C321" t="str">
        <f>IFERROR(__xludf.DUMMYFUNCTION("""COMPUTED_VALUE"""),"")</f>
        <v/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>
      <c r="A322" t="str">
        <f>IFERROR(__xludf.DUMMYFUNCTION("""COMPUTED_VALUE"""),"")</f>
        <v/>
      </c>
      <c r="B322" t="str">
        <f>IFERROR(__xludf.DUMMYFUNCTION("""COMPUTED_VALUE"""),"")</f>
        <v/>
      </c>
      <c r="C322" t="str">
        <f>IFERROR(__xludf.DUMMYFUNCTION("""COMPUTED_VALUE"""),"")</f>
        <v/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>
      <c r="A323" t="str">
        <f>IFERROR(__xludf.DUMMYFUNCTION("""COMPUTED_VALUE"""),"")</f>
        <v/>
      </c>
      <c r="B323" t="str">
        <f>IFERROR(__xludf.DUMMYFUNCTION("""COMPUTED_VALUE"""),"")</f>
        <v/>
      </c>
      <c r="C323" t="str">
        <f>IFERROR(__xludf.DUMMYFUNCTION("""COMPUTED_VALUE"""),"")</f>
        <v/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>
      <c r="A324" t="str">
        <f>IFERROR(__xludf.DUMMYFUNCTION("""COMPUTED_VALUE"""),"")</f>
        <v/>
      </c>
      <c r="B324" t="str">
        <f>IFERROR(__xludf.DUMMYFUNCTION("""COMPUTED_VALUE"""),"")</f>
        <v/>
      </c>
      <c r="C324" t="str">
        <f>IFERROR(__xludf.DUMMYFUNCTION("""COMPUTED_VALUE"""),"")</f>
        <v/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>
      <c r="A325" t="str">
        <f>IFERROR(__xludf.DUMMYFUNCTION("""COMPUTED_VALUE"""),"")</f>
        <v/>
      </c>
      <c r="B325" t="str">
        <f>IFERROR(__xludf.DUMMYFUNCTION("""COMPUTED_VALUE"""),"")</f>
        <v/>
      </c>
      <c r="C325" t="str">
        <f>IFERROR(__xludf.DUMMYFUNCTION("""COMPUTED_VALUE"""),"")</f>
        <v/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>
      <c r="A326" t="str">
        <f>IFERROR(__xludf.DUMMYFUNCTION("""COMPUTED_VALUE"""),"")</f>
        <v/>
      </c>
      <c r="B326" t="str">
        <f>IFERROR(__xludf.DUMMYFUNCTION("""COMPUTED_VALUE"""),"")</f>
        <v/>
      </c>
      <c r="C326" t="str">
        <f>IFERROR(__xludf.DUMMYFUNCTION("""COMPUTED_VALUE"""),"")</f>
        <v/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>
      <c r="A327" t="str">
        <f>IFERROR(__xludf.DUMMYFUNCTION("""COMPUTED_VALUE"""),"")</f>
        <v/>
      </c>
      <c r="B327" t="str">
        <f>IFERROR(__xludf.DUMMYFUNCTION("""COMPUTED_VALUE"""),"")</f>
        <v/>
      </c>
      <c r="C327" t="str">
        <f>IFERROR(__xludf.DUMMYFUNCTION("""COMPUTED_VALUE"""),"")</f>
        <v/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>
      <c r="A328" t="str">
        <f>IFERROR(__xludf.DUMMYFUNCTION("""COMPUTED_VALUE"""),"")</f>
        <v/>
      </c>
      <c r="B328" t="str">
        <f>IFERROR(__xludf.DUMMYFUNCTION("""COMPUTED_VALUE"""),"")</f>
        <v/>
      </c>
      <c r="C328" t="str">
        <f>IFERROR(__xludf.DUMMYFUNCTION("""COMPUTED_VALUE"""),"")</f>
        <v/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>
      <c r="A329" t="str">
        <f>IFERROR(__xludf.DUMMYFUNCTION("""COMPUTED_VALUE"""),"")</f>
        <v/>
      </c>
      <c r="B329" t="str">
        <f>IFERROR(__xludf.DUMMYFUNCTION("""COMPUTED_VALUE"""),"")</f>
        <v/>
      </c>
      <c r="C329" t="str">
        <f>IFERROR(__xludf.DUMMYFUNCTION("""COMPUTED_VALUE"""),"")</f>
        <v/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>
      <c r="A330" t="str">
        <f>IFERROR(__xludf.DUMMYFUNCTION("""COMPUTED_VALUE"""),"")</f>
        <v/>
      </c>
      <c r="B330" t="str">
        <f>IFERROR(__xludf.DUMMYFUNCTION("""COMPUTED_VALUE"""),"")</f>
        <v/>
      </c>
      <c r="C330" t="str">
        <f>IFERROR(__xludf.DUMMYFUNCTION("""COMPUTED_VALUE"""),"")</f>
        <v/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>
      <c r="A331" t="str">
        <f>IFERROR(__xludf.DUMMYFUNCTION("""COMPUTED_VALUE"""),"")</f>
        <v/>
      </c>
      <c r="B331" t="str">
        <f>IFERROR(__xludf.DUMMYFUNCTION("""COMPUTED_VALUE"""),"")</f>
        <v/>
      </c>
      <c r="C331" t="str">
        <f>IFERROR(__xludf.DUMMYFUNCTION("""COMPUTED_VALUE"""),"")</f>
        <v/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>
      <c r="A332" t="str">
        <f>IFERROR(__xludf.DUMMYFUNCTION("""COMPUTED_VALUE"""),"")</f>
        <v/>
      </c>
      <c r="B332" t="str">
        <f>IFERROR(__xludf.DUMMYFUNCTION("""COMPUTED_VALUE"""),"")</f>
        <v/>
      </c>
      <c r="C332" t="str">
        <f>IFERROR(__xludf.DUMMYFUNCTION("""COMPUTED_VALUE"""),"")</f>
        <v/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>
      <c r="A333" t="str">
        <f>IFERROR(__xludf.DUMMYFUNCTION("""COMPUTED_VALUE"""),"")</f>
        <v/>
      </c>
      <c r="B333" t="str">
        <f>IFERROR(__xludf.DUMMYFUNCTION("""COMPUTED_VALUE"""),"")</f>
        <v/>
      </c>
      <c r="C333" t="str">
        <f>IFERROR(__xludf.DUMMYFUNCTION("""COMPUTED_VALUE"""),"")</f>
        <v/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>
      <c r="A334" t="str">
        <f>IFERROR(__xludf.DUMMYFUNCTION("""COMPUTED_VALUE"""),"")</f>
        <v/>
      </c>
      <c r="B334" t="str">
        <f>IFERROR(__xludf.DUMMYFUNCTION("""COMPUTED_VALUE"""),"")</f>
        <v/>
      </c>
      <c r="C334" t="str">
        <f>IFERROR(__xludf.DUMMYFUNCTION("""COMPUTED_VALUE"""),"")</f>
        <v/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>
      <c r="A335" t="str">
        <f>IFERROR(__xludf.DUMMYFUNCTION("""COMPUTED_VALUE"""),"")</f>
        <v/>
      </c>
      <c r="B335" t="str">
        <f>IFERROR(__xludf.DUMMYFUNCTION("""COMPUTED_VALUE"""),"")</f>
        <v/>
      </c>
      <c r="C335" t="str">
        <f>IFERROR(__xludf.DUMMYFUNCTION("""COMPUTED_VALUE"""),"")</f>
        <v/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>
      <c r="A336" t="str">
        <f>IFERROR(__xludf.DUMMYFUNCTION("""COMPUTED_VALUE"""),"")</f>
        <v/>
      </c>
      <c r="B336" t="str">
        <f>IFERROR(__xludf.DUMMYFUNCTION("""COMPUTED_VALUE"""),"")</f>
        <v/>
      </c>
      <c r="C336" t="str">
        <f>IFERROR(__xludf.DUMMYFUNCTION("""COMPUTED_VALUE"""),"")</f>
        <v/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>
      <c r="A337" t="str">
        <f>IFERROR(__xludf.DUMMYFUNCTION("""COMPUTED_VALUE"""),"")</f>
        <v/>
      </c>
      <c r="B337" t="str">
        <f>IFERROR(__xludf.DUMMYFUNCTION("""COMPUTED_VALUE"""),"")</f>
        <v/>
      </c>
      <c r="C337" t="str">
        <f>IFERROR(__xludf.DUMMYFUNCTION("""COMPUTED_VALUE"""),"")</f>
        <v/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>
      <c r="A338" t="str">
        <f>IFERROR(__xludf.DUMMYFUNCTION("""COMPUTED_VALUE"""),"")</f>
        <v/>
      </c>
      <c r="B338" t="str">
        <f>IFERROR(__xludf.DUMMYFUNCTION("""COMPUTED_VALUE"""),"")</f>
        <v/>
      </c>
      <c r="C338" t="str">
        <f>IFERROR(__xludf.DUMMYFUNCTION("""COMPUTED_VALUE"""),"")</f>
        <v/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>
      <c r="A339" t="str">
        <f>IFERROR(__xludf.DUMMYFUNCTION("""COMPUTED_VALUE"""),"")</f>
        <v/>
      </c>
      <c r="B339" t="str">
        <f>IFERROR(__xludf.DUMMYFUNCTION("""COMPUTED_VALUE"""),"")</f>
        <v/>
      </c>
      <c r="C339" t="str">
        <f>IFERROR(__xludf.DUMMYFUNCTION("""COMPUTED_VALUE"""),"")</f>
        <v/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>
      <c r="A340" t="str">
        <f>IFERROR(__xludf.DUMMYFUNCTION("""COMPUTED_VALUE"""),"")</f>
        <v/>
      </c>
      <c r="B340" t="str">
        <f>IFERROR(__xludf.DUMMYFUNCTION("""COMPUTED_VALUE"""),"")</f>
        <v/>
      </c>
      <c r="C340" t="str">
        <f>IFERROR(__xludf.DUMMYFUNCTION("""COMPUTED_VALUE"""),"")</f>
        <v/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>
      <c r="A341" t="str">
        <f>IFERROR(__xludf.DUMMYFUNCTION("""COMPUTED_VALUE"""),"")</f>
        <v/>
      </c>
      <c r="B341" t="str">
        <f>IFERROR(__xludf.DUMMYFUNCTION("""COMPUTED_VALUE"""),"")</f>
        <v/>
      </c>
      <c r="C341" t="str">
        <f>IFERROR(__xludf.DUMMYFUNCTION("""COMPUTED_VALUE"""),"")</f>
        <v/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>
      <c r="A342" t="str">
        <f>IFERROR(__xludf.DUMMYFUNCTION("""COMPUTED_VALUE"""),"")</f>
        <v/>
      </c>
      <c r="B342" t="str">
        <f>IFERROR(__xludf.DUMMYFUNCTION("""COMPUTED_VALUE"""),"")</f>
        <v/>
      </c>
      <c r="C342" t="str">
        <f>IFERROR(__xludf.DUMMYFUNCTION("""COMPUTED_VALUE"""),"")</f>
        <v/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>
      <c r="A343" t="str">
        <f>IFERROR(__xludf.DUMMYFUNCTION("""COMPUTED_VALUE"""),"")</f>
        <v/>
      </c>
      <c r="B343" t="str">
        <f>IFERROR(__xludf.DUMMYFUNCTION("""COMPUTED_VALUE"""),"")</f>
        <v/>
      </c>
      <c r="C343" t="str">
        <f>IFERROR(__xludf.DUMMYFUNCTION("""COMPUTED_VALUE"""),"")</f>
        <v/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>
      <c r="A344" t="str">
        <f>IFERROR(__xludf.DUMMYFUNCTION("""COMPUTED_VALUE"""),"")</f>
        <v/>
      </c>
      <c r="B344" t="str">
        <f>IFERROR(__xludf.DUMMYFUNCTION("""COMPUTED_VALUE"""),"")</f>
        <v/>
      </c>
      <c r="C344" t="str">
        <f>IFERROR(__xludf.DUMMYFUNCTION("""COMPUTED_VALUE"""),"")</f>
        <v/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>
      <c r="A345" t="str">
        <f>IFERROR(__xludf.DUMMYFUNCTION("""COMPUTED_VALUE"""),"")</f>
        <v/>
      </c>
      <c r="B345" t="str">
        <f>IFERROR(__xludf.DUMMYFUNCTION("""COMPUTED_VALUE"""),"")</f>
        <v/>
      </c>
      <c r="C345" t="str">
        <f>IFERROR(__xludf.DUMMYFUNCTION("""COMPUTED_VALUE"""),"")</f>
        <v/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>
      <c r="A346" t="str">
        <f>IFERROR(__xludf.DUMMYFUNCTION("""COMPUTED_VALUE"""),"")</f>
        <v/>
      </c>
      <c r="B346" t="str">
        <f>IFERROR(__xludf.DUMMYFUNCTION("""COMPUTED_VALUE"""),"")</f>
        <v/>
      </c>
      <c r="C346" t="str">
        <f>IFERROR(__xludf.DUMMYFUNCTION("""COMPUTED_VALUE"""),"")</f>
        <v/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>
      <c r="A347" t="str">
        <f>IFERROR(__xludf.DUMMYFUNCTION("""COMPUTED_VALUE"""),"")</f>
        <v/>
      </c>
      <c r="B347" t="str">
        <f>IFERROR(__xludf.DUMMYFUNCTION("""COMPUTED_VALUE"""),"")</f>
        <v/>
      </c>
      <c r="C347" t="str">
        <f>IFERROR(__xludf.DUMMYFUNCTION("""COMPUTED_VALUE"""),"")</f>
        <v/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>
      <c r="A348" t="str">
        <f>IFERROR(__xludf.DUMMYFUNCTION("""COMPUTED_VALUE"""),"")</f>
        <v/>
      </c>
      <c r="B348" t="str">
        <f>IFERROR(__xludf.DUMMYFUNCTION("""COMPUTED_VALUE"""),"")</f>
        <v/>
      </c>
      <c r="C348" t="str">
        <f>IFERROR(__xludf.DUMMYFUNCTION("""COMPUTED_VALUE"""),"")</f>
        <v/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>
      <c r="A349" t="str">
        <f>IFERROR(__xludf.DUMMYFUNCTION("""COMPUTED_VALUE"""),"")</f>
        <v/>
      </c>
      <c r="B349" t="str">
        <f>IFERROR(__xludf.DUMMYFUNCTION("""COMPUTED_VALUE"""),"")</f>
        <v/>
      </c>
      <c r="C349" t="str">
        <f>IFERROR(__xludf.DUMMYFUNCTION("""COMPUTED_VALUE"""),"")</f>
        <v/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>
      <c r="A350" t="str">
        <f>IFERROR(__xludf.DUMMYFUNCTION("""COMPUTED_VALUE"""),"")</f>
        <v/>
      </c>
      <c r="B350" t="str">
        <f>IFERROR(__xludf.DUMMYFUNCTION("""COMPUTED_VALUE"""),"")</f>
        <v/>
      </c>
      <c r="C350" t="str">
        <f>IFERROR(__xludf.DUMMYFUNCTION("""COMPUTED_VALUE"""),"")</f>
        <v/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>
      <c r="A351" t="str">
        <f>IFERROR(__xludf.DUMMYFUNCTION("""COMPUTED_VALUE"""),"")</f>
        <v/>
      </c>
      <c r="B351" t="str">
        <f>IFERROR(__xludf.DUMMYFUNCTION("""COMPUTED_VALUE"""),"")</f>
        <v/>
      </c>
      <c r="C351" t="str">
        <f>IFERROR(__xludf.DUMMYFUNCTION("""COMPUTED_VALUE"""),"")</f>
        <v/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>
      <c r="A352" t="str">
        <f>IFERROR(__xludf.DUMMYFUNCTION("""COMPUTED_VALUE"""),"")</f>
        <v/>
      </c>
      <c r="B352" t="str">
        <f>IFERROR(__xludf.DUMMYFUNCTION("""COMPUTED_VALUE"""),"")</f>
        <v/>
      </c>
      <c r="C352" t="str">
        <f>IFERROR(__xludf.DUMMYFUNCTION("""COMPUTED_VALUE"""),"")</f>
        <v/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>
      <c r="A353" t="str">
        <f>IFERROR(__xludf.DUMMYFUNCTION("""COMPUTED_VALUE"""),"")</f>
        <v/>
      </c>
      <c r="B353" t="str">
        <f>IFERROR(__xludf.DUMMYFUNCTION("""COMPUTED_VALUE"""),"")</f>
        <v/>
      </c>
      <c r="C353" t="str">
        <f>IFERROR(__xludf.DUMMYFUNCTION("""COMPUTED_VALUE"""),"")</f>
        <v/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>
      <c r="A354" t="str">
        <f>IFERROR(__xludf.DUMMYFUNCTION("""COMPUTED_VALUE"""),"")</f>
        <v/>
      </c>
      <c r="B354" t="str">
        <f>IFERROR(__xludf.DUMMYFUNCTION("""COMPUTED_VALUE"""),"")</f>
        <v/>
      </c>
      <c r="C354" t="str">
        <f>IFERROR(__xludf.DUMMYFUNCTION("""COMPUTED_VALUE"""),"")</f>
        <v/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>
      <c r="A355" t="str">
        <f>IFERROR(__xludf.DUMMYFUNCTION("""COMPUTED_VALUE"""),"")</f>
        <v/>
      </c>
      <c r="B355" t="str">
        <f>IFERROR(__xludf.DUMMYFUNCTION("""COMPUTED_VALUE"""),"")</f>
        <v/>
      </c>
      <c r="C355" t="str">
        <f>IFERROR(__xludf.DUMMYFUNCTION("""COMPUTED_VALUE"""),"")</f>
        <v/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>
      <c r="A356" t="str">
        <f>IFERROR(__xludf.DUMMYFUNCTION("""COMPUTED_VALUE"""),"")</f>
        <v/>
      </c>
      <c r="B356" t="str">
        <f>IFERROR(__xludf.DUMMYFUNCTION("""COMPUTED_VALUE"""),"")</f>
        <v/>
      </c>
      <c r="C356" t="str">
        <f>IFERROR(__xludf.DUMMYFUNCTION("""COMPUTED_VALUE"""),"")</f>
        <v/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>
      <c r="A357" t="str">
        <f>IFERROR(__xludf.DUMMYFUNCTION("""COMPUTED_VALUE"""),"")</f>
        <v/>
      </c>
      <c r="B357" t="str">
        <f>IFERROR(__xludf.DUMMYFUNCTION("""COMPUTED_VALUE"""),"")</f>
        <v/>
      </c>
      <c r="C357" t="str">
        <f>IFERROR(__xludf.DUMMYFUNCTION("""COMPUTED_VALUE"""),"")</f>
        <v/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>
      <c r="A358" t="str">
        <f>IFERROR(__xludf.DUMMYFUNCTION("""COMPUTED_VALUE"""),"")</f>
        <v/>
      </c>
      <c r="B358" t="str">
        <f>IFERROR(__xludf.DUMMYFUNCTION("""COMPUTED_VALUE"""),"")</f>
        <v/>
      </c>
      <c r="C358" t="str">
        <f>IFERROR(__xludf.DUMMYFUNCTION("""COMPUTED_VALUE"""),"")</f>
        <v/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>
      <c r="A359" t="str">
        <f>IFERROR(__xludf.DUMMYFUNCTION("""COMPUTED_VALUE"""),"")</f>
        <v/>
      </c>
      <c r="B359" t="str">
        <f>IFERROR(__xludf.DUMMYFUNCTION("""COMPUTED_VALUE"""),"")</f>
        <v/>
      </c>
      <c r="C359" t="str">
        <f>IFERROR(__xludf.DUMMYFUNCTION("""COMPUTED_VALUE"""),"")</f>
        <v/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>
      <c r="A360" t="str">
        <f>IFERROR(__xludf.DUMMYFUNCTION("""COMPUTED_VALUE"""),"")</f>
        <v/>
      </c>
      <c r="B360" t="str">
        <f>IFERROR(__xludf.DUMMYFUNCTION("""COMPUTED_VALUE"""),"")</f>
        <v/>
      </c>
      <c r="C360" t="str">
        <f>IFERROR(__xludf.DUMMYFUNCTION("""COMPUTED_VALUE"""),"")</f>
        <v/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>
      <c r="A361" t="str">
        <f>IFERROR(__xludf.DUMMYFUNCTION("""COMPUTED_VALUE"""),"")</f>
        <v/>
      </c>
      <c r="B361" t="str">
        <f>IFERROR(__xludf.DUMMYFUNCTION("""COMPUTED_VALUE"""),"")</f>
        <v/>
      </c>
      <c r="C361" t="str">
        <f>IFERROR(__xludf.DUMMYFUNCTION("""COMPUTED_VALUE"""),"")</f>
        <v/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>
      <c r="A362" t="str">
        <f>IFERROR(__xludf.DUMMYFUNCTION("""COMPUTED_VALUE"""),"")</f>
        <v/>
      </c>
      <c r="B362" t="str">
        <f>IFERROR(__xludf.DUMMYFUNCTION("""COMPUTED_VALUE"""),"")</f>
        <v/>
      </c>
      <c r="C362" t="str">
        <f>IFERROR(__xludf.DUMMYFUNCTION("""COMPUTED_VALUE"""),"")</f>
        <v/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>
      <c r="A363" t="str">
        <f>IFERROR(__xludf.DUMMYFUNCTION("""COMPUTED_VALUE"""),"")</f>
        <v/>
      </c>
      <c r="B363" t="str">
        <f>IFERROR(__xludf.DUMMYFUNCTION("""COMPUTED_VALUE"""),"")</f>
        <v/>
      </c>
      <c r="C363" t="str">
        <f>IFERROR(__xludf.DUMMYFUNCTION("""COMPUTED_VALUE"""),"")</f>
        <v/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>
      <c r="A364" t="str">
        <f>IFERROR(__xludf.DUMMYFUNCTION("""COMPUTED_VALUE"""),"")</f>
        <v/>
      </c>
      <c r="B364" t="str">
        <f>IFERROR(__xludf.DUMMYFUNCTION("""COMPUTED_VALUE"""),"")</f>
        <v/>
      </c>
      <c r="C364" t="str">
        <f>IFERROR(__xludf.DUMMYFUNCTION("""COMPUTED_VALUE"""),"")</f>
        <v/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>
      <c r="A365" t="str">
        <f>IFERROR(__xludf.DUMMYFUNCTION("""COMPUTED_VALUE"""),"")</f>
        <v/>
      </c>
      <c r="B365" t="str">
        <f>IFERROR(__xludf.DUMMYFUNCTION("""COMPUTED_VALUE"""),"")</f>
        <v/>
      </c>
      <c r="C365" t="str">
        <f>IFERROR(__xludf.DUMMYFUNCTION("""COMPUTED_VALUE"""),"")</f>
        <v/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>
      <c r="A366" t="str">
        <f>IFERROR(__xludf.DUMMYFUNCTION("""COMPUTED_VALUE"""),"")</f>
        <v/>
      </c>
      <c r="B366" t="str">
        <f>IFERROR(__xludf.DUMMYFUNCTION("""COMPUTED_VALUE"""),"")</f>
        <v/>
      </c>
      <c r="C366" t="str">
        <f>IFERROR(__xludf.DUMMYFUNCTION("""COMPUTED_VALUE"""),"")</f>
        <v/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>
      <c r="A367" t="str">
        <f>IFERROR(__xludf.DUMMYFUNCTION("""COMPUTED_VALUE"""),"")</f>
        <v/>
      </c>
      <c r="B367" t="str">
        <f>IFERROR(__xludf.DUMMYFUNCTION("""COMPUTED_VALUE"""),"")</f>
        <v/>
      </c>
      <c r="C367" t="str">
        <f>IFERROR(__xludf.DUMMYFUNCTION("""COMPUTED_VALUE"""),"")</f>
        <v/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>
      <c r="A368" t="str">
        <f>IFERROR(__xludf.DUMMYFUNCTION("""COMPUTED_VALUE"""),"")</f>
        <v/>
      </c>
      <c r="B368" t="str">
        <f>IFERROR(__xludf.DUMMYFUNCTION("""COMPUTED_VALUE"""),"")</f>
        <v/>
      </c>
      <c r="C368" t="str">
        <f>IFERROR(__xludf.DUMMYFUNCTION("""COMPUTED_VALUE"""),"")</f>
        <v/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>
      <c r="A369" t="str">
        <f>IFERROR(__xludf.DUMMYFUNCTION("""COMPUTED_VALUE"""),"")</f>
        <v/>
      </c>
      <c r="B369" t="str">
        <f>IFERROR(__xludf.DUMMYFUNCTION("""COMPUTED_VALUE"""),"")</f>
        <v/>
      </c>
      <c r="C369" t="str">
        <f>IFERROR(__xludf.DUMMYFUNCTION("""COMPUTED_VALUE"""),"")</f>
        <v/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>
      <c r="A370" t="str">
        <f>IFERROR(__xludf.DUMMYFUNCTION("""COMPUTED_VALUE"""),"")</f>
        <v/>
      </c>
      <c r="B370" t="str">
        <f>IFERROR(__xludf.DUMMYFUNCTION("""COMPUTED_VALUE"""),"")</f>
        <v/>
      </c>
      <c r="C370" t="str">
        <f>IFERROR(__xludf.DUMMYFUNCTION("""COMPUTED_VALUE"""),"")</f>
        <v/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>
      <c r="A371" t="str">
        <f>IFERROR(__xludf.DUMMYFUNCTION("""COMPUTED_VALUE"""),"")</f>
        <v/>
      </c>
      <c r="B371" t="str">
        <f>IFERROR(__xludf.DUMMYFUNCTION("""COMPUTED_VALUE"""),"")</f>
        <v/>
      </c>
      <c r="C371" t="str">
        <f>IFERROR(__xludf.DUMMYFUNCTION("""COMPUTED_VALUE"""),"")</f>
        <v/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>
      <c r="A372" t="str">
        <f>IFERROR(__xludf.DUMMYFUNCTION("""COMPUTED_VALUE"""),"")</f>
        <v/>
      </c>
      <c r="B372" t="str">
        <f>IFERROR(__xludf.DUMMYFUNCTION("""COMPUTED_VALUE"""),"")</f>
        <v/>
      </c>
      <c r="C372" t="str">
        <f>IFERROR(__xludf.DUMMYFUNCTION("""COMPUTED_VALUE"""),"")</f>
        <v/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>
      <c r="A373" t="str">
        <f>IFERROR(__xludf.DUMMYFUNCTION("""COMPUTED_VALUE"""),"")</f>
        <v/>
      </c>
      <c r="B373" t="str">
        <f>IFERROR(__xludf.DUMMYFUNCTION("""COMPUTED_VALUE"""),"")</f>
        <v/>
      </c>
      <c r="C373" t="str">
        <f>IFERROR(__xludf.DUMMYFUNCTION("""COMPUTED_VALUE"""),"")</f>
        <v/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>
      <c r="A374" t="str">
        <f>IFERROR(__xludf.DUMMYFUNCTION("""COMPUTED_VALUE"""),"")</f>
        <v/>
      </c>
      <c r="B374" t="str">
        <f>IFERROR(__xludf.DUMMYFUNCTION("""COMPUTED_VALUE"""),"")</f>
        <v/>
      </c>
      <c r="C374" t="str">
        <f>IFERROR(__xludf.DUMMYFUNCTION("""COMPUTED_VALUE"""),"")</f>
        <v/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>
      <c r="A375" t="str">
        <f>IFERROR(__xludf.DUMMYFUNCTION("""COMPUTED_VALUE"""),"")</f>
        <v/>
      </c>
      <c r="B375" t="str">
        <f>IFERROR(__xludf.DUMMYFUNCTION("""COMPUTED_VALUE"""),"")</f>
        <v/>
      </c>
      <c r="C375" t="str">
        <f>IFERROR(__xludf.DUMMYFUNCTION("""COMPUTED_VALUE"""),"")</f>
        <v/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>
      <c r="A376" t="str">
        <f>IFERROR(__xludf.DUMMYFUNCTION("""COMPUTED_VALUE"""),"")</f>
        <v/>
      </c>
      <c r="B376" t="str">
        <f>IFERROR(__xludf.DUMMYFUNCTION("""COMPUTED_VALUE"""),"")</f>
        <v/>
      </c>
      <c r="C376" t="str">
        <f>IFERROR(__xludf.DUMMYFUNCTION("""COMPUTED_VALUE"""),"")</f>
        <v/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>
      <c r="A377" t="str">
        <f>IFERROR(__xludf.DUMMYFUNCTION("""COMPUTED_VALUE"""),"")</f>
        <v/>
      </c>
      <c r="B377" t="str">
        <f>IFERROR(__xludf.DUMMYFUNCTION("""COMPUTED_VALUE"""),"")</f>
        <v/>
      </c>
      <c r="C377" t="str">
        <f>IFERROR(__xludf.DUMMYFUNCTION("""COMPUTED_VALUE"""),"")</f>
        <v/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>
      <c r="A378" t="str">
        <f>IFERROR(__xludf.DUMMYFUNCTION("""COMPUTED_VALUE"""),"")</f>
        <v/>
      </c>
      <c r="B378" t="str">
        <f>IFERROR(__xludf.DUMMYFUNCTION("""COMPUTED_VALUE"""),"")</f>
        <v/>
      </c>
      <c r="C378" t="str">
        <f>IFERROR(__xludf.DUMMYFUNCTION("""COMPUTED_VALUE"""),"")</f>
        <v/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>
      <c r="A379" t="str">
        <f>IFERROR(__xludf.DUMMYFUNCTION("""COMPUTED_VALUE"""),"")</f>
        <v/>
      </c>
      <c r="B379" t="str">
        <f>IFERROR(__xludf.DUMMYFUNCTION("""COMPUTED_VALUE"""),"")</f>
        <v/>
      </c>
      <c r="C379" t="str">
        <f>IFERROR(__xludf.DUMMYFUNCTION("""COMPUTED_VALUE"""),"")</f>
        <v/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>
      <c r="A380" t="str">
        <f>IFERROR(__xludf.DUMMYFUNCTION("""COMPUTED_VALUE"""),"")</f>
        <v/>
      </c>
      <c r="B380" t="str">
        <f>IFERROR(__xludf.DUMMYFUNCTION("""COMPUTED_VALUE"""),"")</f>
        <v/>
      </c>
      <c r="C380" t="str">
        <f>IFERROR(__xludf.DUMMYFUNCTION("""COMPUTED_VALUE"""),"")</f>
        <v/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>
      <c r="A381" t="str">
        <f>IFERROR(__xludf.DUMMYFUNCTION("""COMPUTED_VALUE"""),"")</f>
        <v/>
      </c>
      <c r="B381" t="str">
        <f>IFERROR(__xludf.DUMMYFUNCTION("""COMPUTED_VALUE"""),"")</f>
        <v/>
      </c>
      <c r="C381" t="str">
        <f>IFERROR(__xludf.DUMMYFUNCTION("""COMPUTED_VALUE"""),"")</f>
        <v/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>
      <c r="A382" t="str">
        <f>IFERROR(__xludf.DUMMYFUNCTION("""COMPUTED_VALUE"""),"")</f>
        <v/>
      </c>
      <c r="B382" t="str">
        <f>IFERROR(__xludf.DUMMYFUNCTION("""COMPUTED_VALUE"""),"")</f>
        <v/>
      </c>
      <c r="C382" t="str">
        <f>IFERROR(__xludf.DUMMYFUNCTION("""COMPUTED_VALUE"""),"")</f>
        <v/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>
      <c r="A383" t="str">
        <f>IFERROR(__xludf.DUMMYFUNCTION("""COMPUTED_VALUE"""),"")</f>
        <v/>
      </c>
      <c r="B383" t="str">
        <f>IFERROR(__xludf.DUMMYFUNCTION("""COMPUTED_VALUE"""),"")</f>
        <v/>
      </c>
      <c r="C383" t="str">
        <f>IFERROR(__xludf.DUMMYFUNCTION("""COMPUTED_VALUE"""),"")</f>
        <v/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>
      <c r="A384" t="str">
        <f>IFERROR(__xludf.DUMMYFUNCTION("""COMPUTED_VALUE"""),"")</f>
        <v/>
      </c>
      <c r="B384" t="str">
        <f>IFERROR(__xludf.DUMMYFUNCTION("""COMPUTED_VALUE"""),"")</f>
        <v/>
      </c>
      <c r="C384" t="str">
        <f>IFERROR(__xludf.DUMMYFUNCTION("""COMPUTED_VALUE"""),"")</f>
        <v/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>
      <c r="A385" t="str">
        <f>IFERROR(__xludf.DUMMYFUNCTION("""COMPUTED_VALUE"""),"")</f>
        <v/>
      </c>
      <c r="B385" t="str">
        <f>IFERROR(__xludf.DUMMYFUNCTION("""COMPUTED_VALUE"""),"")</f>
        <v/>
      </c>
      <c r="C385" t="str">
        <f>IFERROR(__xludf.DUMMYFUNCTION("""COMPUTED_VALUE"""),"")</f>
        <v/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>
      <c r="A386" t="str">
        <f>IFERROR(__xludf.DUMMYFUNCTION("""COMPUTED_VALUE"""),"")</f>
        <v/>
      </c>
      <c r="B386" t="str">
        <f>IFERROR(__xludf.DUMMYFUNCTION("""COMPUTED_VALUE"""),"")</f>
        <v/>
      </c>
      <c r="C386" t="str">
        <f>IFERROR(__xludf.DUMMYFUNCTION("""COMPUTED_VALUE"""),"")</f>
        <v/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>
      <c r="A387" t="str">
        <f>IFERROR(__xludf.DUMMYFUNCTION("""COMPUTED_VALUE"""),"")</f>
        <v/>
      </c>
      <c r="B387" t="str">
        <f>IFERROR(__xludf.DUMMYFUNCTION("""COMPUTED_VALUE"""),"")</f>
        <v/>
      </c>
      <c r="C387" t="str">
        <f>IFERROR(__xludf.DUMMYFUNCTION("""COMPUTED_VALUE"""),"")</f>
        <v/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>
      <c r="A388" t="str">
        <f>IFERROR(__xludf.DUMMYFUNCTION("""COMPUTED_VALUE"""),"")</f>
        <v/>
      </c>
      <c r="B388" t="str">
        <f>IFERROR(__xludf.DUMMYFUNCTION("""COMPUTED_VALUE"""),"")</f>
        <v/>
      </c>
      <c r="C388" t="str">
        <f>IFERROR(__xludf.DUMMYFUNCTION("""COMPUTED_VALUE"""),"")</f>
        <v/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>
      <c r="A389" t="str">
        <f>IFERROR(__xludf.DUMMYFUNCTION("""COMPUTED_VALUE"""),"")</f>
        <v/>
      </c>
      <c r="B389" t="str">
        <f>IFERROR(__xludf.DUMMYFUNCTION("""COMPUTED_VALUE"""),"")</f>
        <v/>
      </c>
      <c r="C389" t="str">
        <f>IFERROR(__xludf.DUMMYFUNCTION("""COMPUTED_VALUE"""),"")</f>
        <v/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>
      <c r="A390" t="str">
        <f>IFERROR(__xludf.DUMMYFUNCTION("""COMPUTED_VALUE"""),"")</f>
        <v/>
      </c>
      <c r="B390" t="str">
        <f>IFERROR(__xludf.DUMMYFUNCTION("""COMPUTED_VALUE"""),"")</f>
        <v/>
      </c>
      <c r="C390" t="str">
        <f>IFERROR(__xludf.DUMMYFUNCTION("""COMPUTED_VALUE"""),"")</f>
        <v/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>
      <c r="A391" t="str">
        <f>IFERROR(__xludf.DUMMYFUNCTION("""COMPUTED_VALUE"""),"")</f>
        <v/>
      </c>
      <c r="B391" t="str">
        <f>IFERROR(__xludf.DUMMYFUNCTION("""COMPUTED_VALUE"""),"")</f>
        <v/>
      </c>
      <c r="C391" t="str">
        <f>IFERROR(__xludf.DUMMYFUNCTION("""COMPUTED_VALUE"""),"")</f>
        <v/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>
      <c r="A392" t="str">
        <f>IFERROR(__xludf.DUMMYFUNCTION("""COMPUTED_VALUE"""),"")</f>
        <v/>
      </c>
      <c r="B392" t="str">
        <f>IFERROR(__xludf.DUMMYFUNCTION("""COMPUTED_VALUE"""),"")</f>
        <v/>
      </c>
      <c r="C392" t="str">
        <f>IFERROR(__xludf.DUMMYFUNCTION("""COMPUTED_VALUE"""),"")</f>
        <v/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>
      <c r="A393" t="str">
        <f>IFERROR(__xludf.DUMMYFUNCTION("""COMPUTED_VALUE"""),"")</f>
        <v/>
      </c>
      <c r="B393" t="str">
        <f>IFERROR(__xludf.DUMMYFUNCTION("""COMPUTED_VALUE"""),"")</f>
        <v/>
      </c>
      <c r="C393" t="str">
        <f>IFERROR(__xludf.DUMMYFUNCTION("""COMPUTED_VALUE"""),"")</f>
        <v/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>
      <c r="A394" t="str">
        <f>IFERROR(__xludf.DUMMYFUNCTION("""COMPUTED_VALUE"""),"")</f>
        <v/>
      </c>
      <c r="B394" t="str">
        <f>IFERROR(__xludf.DUMMYFUNCTION("""COMPUTED_VALUE"""),"")</f>
        <v/>
      </c>
      <c r="C394" t="str">
        <f>IFERROR(__xludf.DUMMYFUNCTION("""COMPUTED_VALUE"""),"")</f>
        <v/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>
      <c r="A395" t="str">
        <f>IFERROR(__xludf.DUMMYFUNCTION("""COMPUTED_VALUE"""),"")</f>
        <v/>
      </c>
      <c r="B395" t="str">
        <f>IFERROR(__xludf.DUMMYFUNCTION("""COMPUTED_VALUE"""),"")</f>
        <v/>
      </c>
      <c r="C395" t="str">
        <f>IFERROR(__xludf.DUMMYFUNCTION("""COMPUTED_VALUE"""),"")</f>
        <v/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>
      <c r="A396" t="str">
        <f>IFERROR(__xludf.DUMMYFUNCTION("""COMPUTED_VALUE"""),"")</f>
        <v/>
      </c>
      <c r="B396" t="str">
        <f>IFERROR(__xludf.DUMMYFUNCTION("""COMPUTED_VALUE"""),"")</f>
        <v/>
      </c>
      <c r="C396" t="str">
        <f>IFERROR(__xludf.DUMMYFUNCTION("""COMPUTED_VALUE"""),"")</f>
        <v/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>
      <c r="A397" t="str">
        <f>IFERROR(__xludf.DUMMYFUNCTION("""COMPUTED_VALUE"""),"")</f>
        <v/>
      </c>
      <c r="B397" t="str">
        <f>IFERROR(__xludf.DUMMYFUNCTION("""COMPUTED_VALUE"""),"")</f>
        <v/>
      </c>
      <c r="C397" t="str">
        <f>IFERROR(__xludf.DUMMYFUNCTION("""COMPUTED_VALUE"""),"")</f>
        <v/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>
      <c r="A398" t="str">
        <f>IFERROR(__xludf.DUMMYFUNCTION("""COMPUTED_VALUE"""),"")</f>
        <v/>
      </c>
      <c r="B398" t="str">
        <f>IFERROR(__xludf.DUMMYFUNCTION("""COMPUTED_VALUE"""),"")</f>
        <v/>
      </c>
      <c r="C398" t="str">
        <f>IFERROR(__xludf.DUMMYFUNCTION("""COMPUTED_VALUE"""),"")</f>
        <v/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>
      <c r="A399" t="str">
        <f>IFERROR(__xludf.DUMMYFUNCTION("""COMPUTED_VALUE"""),"")</f>
        <v/>
      </c>
      <c r="B399" t="str">
        <f>IFERROR(__xludf.DUMMYFUNCTION("""COMPUTED_VALUE"""),"")</f>
        <v/>
      </c>
      <c r="C399" t="str">
        <f>IFERROR(__xludf.DUMMYFUNCTION("""COMPUTED_VALUE"""),"")</f>
        <v/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>
      <c r="A400" t="str">
        <f>IFERROR(__xludf.DUMMYFUNCTION("""COMPUTED_VALUE"""),"")</f>
        <v/>
      </c>
      <c r="B400" t="str">
        <f>IFERROR(__xludf.DUMMYFUNCTION("""COMPUTED_VALUE"""),"")</f>
        <v/>
      </c>
      <c r="C400" t="str">
        <f>IFERROR(__xludf.DUMMYFUNCTION("""COMPUTED_VALUE"""),"")</f>
        <v/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>
      <c r="A401" t="str">
        <f>IFERROR(__xludf.DUMMYFUNCTION("""COMPUTED_VALUE"""),"")</f>
        <v/>
      </c>
      <c r="B401" t="str">
        <f>IFERROR(__xludf.DUMMYFUNCTION("""COMPUTED_VALUE"""),"")</f>
        <v/>
      </c>
      <c r="C401" t="str">
        <f>IFERROR(__xludf.DUMMYFUNCTION("""COMPUTED_VALUE"""),"")</f>
        <v/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>
      <c r="A402" t="str">
        <f>IFERROR(__xludf.DUMMYFUNCTION("""COMPUTED_VALUE"""),"")</f>
        <v/>
      </c>
      <c r="B402" t="str">
        <f>IFERROR(__xludf.DUMMYFUNCTION("""COMPUTED_VALUE"""),"")</f>
        <v/>
      </c>
      <c r="C402" t="str">
        <f>IFERROR(__xludf.DUMMYFUNCTION("""COMPUTED_VALUE"""),"")</f>
        <v/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>
      <c r="A403" t="str">
        <f>IFERROR(__xludf.DUMMYFUNCTION("""COMPUTED_VALUE"""),"")</f>
        <v/>
      </c>
      <c r="B403" t="str">
        <f>IFERROR(__xludf.DUMMYFUNCTION("""COMPUTED_VALUE"""),"")</f>
        <v/>
      </c>
      <c r="C403" t="str">
        <f>IFERROR(__xludf.DUMMYFUNCTION("""COMPUTED_VALUE"""),"")</f>
        <v/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>
      <c r="A404" t="str">
        <f>IFERROR(__xludf.DUMMYFUNCTION("""COMPUTED_VALUE"""),"")</f>
        <v/>
      </c>
      <c r="B404" t="str">
        <f>IFERROR(__xludf.DUMMYFUNCTION("""COMPUTED_VALUE"""),"")</f>
        <v/>
      </c>
      <c r="C404" t="str">
        <f>IFERROR(__xludf.DUMMYFUNCTION("""COMPUTED_VALUE"""),"")</f>
        <v/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>
      <c r="A405" t="str">
        <f>IFERROR(__xludf.DUMMYFUNCTION("""COMPUTED_VALUE"""),"")</f>
        <v/>
      </c>
      <c r="B405" t="str">
        <f>IFERROR(__xludf.DUMMYFUNCTION("""COMPUTED_VALUE"""),"")</f>
        <v/>
      </c>
      <c r="C405" t="str">
        <f>IFERROR(__xludf.DUMMYFUNCTION("""COMPUTED_VALUE"""),"")</f>
        <v/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>
      <c r="A406" t="str">
        <f>IFERROR(__xludf.DUMMYFUNCTION("""COMPUTED_VALUE"""),"")</f>
        <v/>
      </c>
      <c r="B406" t="str">
        <f>IFERROR(__xludf.DUMMYFUNCTION("""COMPUTED_VALUE"""),"")</f>
        <v/>
      </c>
      <c r="C406" t="str">
        <f>IFERROR(__xludf.DUMMYFUNCTION("""COMPUTED_VALUE"""),"")</f>
        <v/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>
      <c r="A407" t="str">
        <f>IFERROR(__xludf.DUMMYFUNCTION("""COMPUTED_VALUE"""),"")</f>
        <v/>
      </c>
      <c r="B407" t="str">
        <f>IFERROR(__xludf.DUMMYFUNCTION("""COMPUTED_VALUE"""),"")</f>
        <v/>
      </c>
      <c r="C407" t="str">
        <f>IFERROR(__xludf.DUMMYFUNCTION("""COMPUTED_VALUE"""),"")</f>
        <v/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>
      <c r="A408" t="str">
        <f>IFERROR(__xludf.DUMMYFUNCTION("""COMPUTED_VALUE"""),"")</f>
        <v/>
      </c>
      <c r="B408" t="str">
        <f>IFERROR(__xludf.DUMMYFUNCTION("""COMPUTED_VALUE"""),"")</f>
        <v/>
      </c>
      <c r="C408" t="str">
        <f>IFERROR(__xludf.DUMMYFUNCTION("""COMPUTED_VALUE"""),"")</f>
        <v/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>
      <c r="A409" t="str">
        <f>IFERROR(__xludf.DUMMYFUNCTION("""COMPUTED_VALUE"""),"")</f>
        <v/>
      </c>
      <c r="B409" t="str">
        <f>IFERROR(__xludf.DUMMYFUNCTION("""COMPUTED_VALUE"""),"")</f>
        <v/>
      </c>
      <c r="C409" t="str">
        <f>IFERROR(__xludf.DUMMYFUNCTION("""COMPUTED_VALUE"""),"")</f>
        <v/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>
      <c r="A410" t="str">
        <f>IFERROR(__xludf.DUMMYFUNCTION("""COMPUTED_VALUE"""),"")</f>
        <v/>
      </c>
      <c r="B410" t="str">
        <f>IFERROR(__xludf.DUMMYFUNCTION("""COMPUTED_VALUE"""),"")</f>
        <v/>
      </c>
      <c r="C410" t="str">
        <f>IFERROR(__xludf.DUMMYFUNCTION("""COMPUTED_VALUE"""),"")</f>
        <v/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>
      <c r="A411" t="str">
        <f>IFERROR(__xludf.DUMMYFUNCTION("""COMPUTED_VALUE"""),"")</f>
        <v/>
      </c>
      <c r="B411" t="str">
        <f>IFERROR(__xludf.DUMMYFUNCTION("""COMPUTED_VALUE"""),"")</f>
        <v/>
      </c>
      <c r="C411" t="str">
        <f>IFERROR(__xludf.DUMMYFUNCTION("""COMPUTED_VALUE"""),"")</f>
        <v/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>
      <c r="A412" t="str">
        <f>IFERROR(__xludf.DUMMYFUNCTION("""COMPUTED_VALUE"""),"")</f>
        <v/>
      </c>
      <c r="B412" t="str">
        <f>IFERROR(__xludf.DUMMYFUNCTION("""COMPUTED_VALUE"""),"")</f>
        <v/>
      </c>
      <c r="C412" t="str">
        <f>IFERROR(__xludf.DUMMYFUNCTION("""COMPUTED_VALUE"""),"")</f>
        <v/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>
      <c r="A413" t="str">
        <f>IFERROR(__xludf.DUMMYFUNCTION("""COMPUTED_VALUE"""),"")</f>
        <v/>
      </c>
      <c r="B413" t="str">
        <f>IFERROR(__xludf.DUMMYFUNCTION("""COMPUTED_VALUE"""),"")</f>
        <v/>
      </c>
      <c r="C413" t="str">
        <f>IFERROR(__xludf.DUMMYFUNCTION("""COMPUTED_VALUE"""),"")</f>
        <v/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>
      <c r="A414" t="str">
        <f>IFERROR(__xludf.DUMMYFUNCTION("""COMPUTED_VALUE"""),"")</f>
        <v/>
      </c>
      <c r="B414" t="str">
        <f>IFERROR(__xludf.DUMMYFUNCTION("""COMPUTED_VALUE"""),"")</f>
        <v/>
      </c>
      <c r="C414" t="str">
        <f>IFERROR(__xludf.DUMMYFUNCTION("""COMPUTED_VALUE"""),"")</f>
        <v/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>
      <c r="A415" t="str">
        <f>IFERROR(__xludf.DUMMYFUNCTION("""COMPUTED_VALUE"""),"")</f>
        <v/>
      </c>
      <c r="B415" t="str">
        <f>IFERROR(__xludf.DUMMYFUNCTION("""COMPUTED_VALUE"""),"")</f>
        <v/>
      </c>
      <c r="C415" t="str">
        <f>IFERROR(__xludf.DUMMYFUNCTION("""COMPUTED_VALUE"""),"")</f>
        <v/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>
      <c r="A416" t="str">
        <f>IFERROR(__xludf.DUMMYFUNCTION("""COMPUTED_VALUE"""),"")</f>
        <v/>
      </c>
      <c r="B416" t="str">
        <f>IFERROR(__xludf.DUMMYFUNCTION("""COMPUTED_VALUE"""),"")</f>
        <v/>
      </c>
      <c r="C416" t="str">
        <f>IFERROR(__xludf.DUMMYFUNCTION("""COMPUTED_VALUE"""),"")</f>
        <v/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>
      <c r="A417" t="str">
        <f>IFERROR(__xludf.DUMMYFUNCTION("""COMPUTED_VALUE"""),"")</f>
        <v/>
      </c>
      <c r="B417" t="str">
        <f>IFERROR(__xludf.DUMMYFUNCTION("""COMPUTED_VALUE"""),"")</f>
        <v/>
      </c>
      <c r="C417" t="str">
        <f>IFERROR(__xludf.DUMMYFUNCTION("""COMPUTED_VALUE"""),"")</f>
        <v/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>
      <c r="A418" t="str">
        <f>IFERROR(__xludf.DUMMYFUNCTION("""COMPUTED_VALUE"""),"")</f>
        <v/>
      </c>
      <c r="B418" t="str">
        <f>IFERROR(__xludf.DUMMYFUNCTION("""COMPUTED_VALUE"""),"")</f>
        <v/>
      </c>
      <c r="C418" t="str">
        <f>IFERROR(__xludf.DUMMYFUNCTION("""COMPUTED_VALUE"""),"")</f>
        <v/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>
      <c r="A419" t="str">
        <f>IFERROR(__xludf.DUMMYFUNCTION("""COMPUTED_VALUE"""),"")</f>
        <v/>
      </c>
      <c r="B419" t="str">
        <f>IFERROR(__xludf.DUMMYFUNCTION("""COMPUTED_VALUE"""),"")</f>
        <v/>
      </c>
      <c r="C419" t="str">
        <f>IFERROR(__xludf.DUMMYFUNCTION("""COMPUTED_VALUE"""),"")</f>
        <v/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>
      <c r="A420" t="str">
        <f>IFERROR(__xludf.DUMMYFUNCTION("""COMPUTED_VALUE"""),"")</f>
        <v/>
      </c>
      <c r="B420" t="str">
        <f>IFERROR(__xludf.DUMMYFUNCTION("""COMPUTED_VALUE"""),"")</f>
        <v/>
      </c>
      <c r="C420" t="str">
        <f>IFERROR(__xludf.DUMMYFUNCTION("""COMPUTED_VALUE"""),"")</f>
        <v/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>
      <c r="A421" t="str">
        <f>IFERROR(__xludf.DUMMYFUNCTION("""COMPUTED_VALUE"""),"")</f>
        <v/>
      </c>
      <c r="B421" t="str">
        <f>IFERROR(__xludf.DUMMYFUNCTION("""COMPUTED_VALUE"""),"")</f>
        <v/>
      </c>
      <c r="C421" t="str">
        <f>IFERROR(__xludf.DUMMYFUNCTION("""COMPUTED_VALUE"""),"")</f>
        <v/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>
      <c r="A422" t="str">
        <f>IFERROR(__xludf.DUMMYFUNCTION("""COMPUTED_VALUE"""),"")</f>
        <v/>
      </c>
      <c r="B422" t="str">
        <f>IFERROR(__xludf.DUMMYFUNCTION("""COMPUTED_VALUE"""),"")</f>
        <v/>
      </c>
      <c r="C422" t="str">
        <f>IFERROR(__xludf.DUMMYFUNCTION("""COMPUTED_VALUE"""),"")</f>
        <v/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>
      <c r="A423" t="str">
        <f>IFERROR(__xludf.DUMMYFUNCTION("""COMPUTED_VALUE"""),"")</f>
        <v/>
      </c>
      <c r="B423" t="str">
        <f>IFERROR(__xludf.DUMMYFUNCTION("""COMPUTED_VALUE"""),"")</f>
        <v/>
      </c>
      <c r="C423" t="str">
        <f>IFERROR(__xludf.DUMMYFUNCTION("""COMPUTED_VALUE"""),"")</f>
        <v/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>
      <c r="A424" t="str">
        <f>IFERROR(__xludf.DUMMYFUNCTION("""COMPUTED_VALUE"""),"")</f>
        <v/>
      </c>
      <c r="B424" t="str">
        <f>IFERROR(__xludf.DUMMYFUNCTION("""COMPUTED_VALUE"""),"")</f>
        <v/>
      </c>
      <c r="C424" t="str">
        <f>IFERROR(__xludf.DUMMYFUNCTION("""COMPUTED_VALUE"""),"")</f>
        <v/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>
      <c r="A425" t="str">
        <f>IFERROR(__xludf.DUMMYFUNCTION("""COMPUTED_VALUE"""),"")</f>
        <v/>
      </c>
      <c r="B425" t="str">
        <f>IFERROR(__xludf.DUMMYFUNCTION("""COMPUTED_VALUE"""),"")</f>
        <v/>
      </c>
      <c r="C425" t="str">
        <f>IFERROR(__xludf.DUMMYFUNCTION("""COMPUTED_VALUE"""),"")</f>
        <v/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>
      <c r="A426" t="str">
        <f>IFERROR(__xludf.DUMMYFUNCTION("""COMPUTED_VALUE"""),"")</f>
        <v/>
      </c>
      <c r="B426" t="str">
        <f>IFERROR(__xludf.DUMMYFUNCTION("""COMPUTED_VALUE"""),"")</f>
        <v/>
      </c>
      <c r="C426" t="str">
        <f>IFERROR(__xludf.DUMMYFUNCTION("""COMPUTED_VALUE"""),"")</f>
        <v/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>
      <c r="A427" t="str">
        <f>IFERROR(__xludf.DUMMYFUNCTION("""COMPUTED_VALUE"""),"")</f>
        <v/>
      </c>
      <c r="B427" t="str">
        <f>IFERROR(__xludf.DUMMYFUNCTION("""COMPUTED_VALUE"""),"")</f>
        <v/>
      </c>
      <c r="C427" t="str">
        <f>IFERROR(__xludf.DUMMYFUNCTION("""COMPUTED_VALUE"""),"")</f>
        <v/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>
      <c r="A428" t="str">
        <f>IFERROR(__xludf.DUMMYFUNCTION("""COMPUTED_VALUE"""),"")</f>
        <v/>
      </c>
      <c r="B428" t="str">
        <f>IFERROR(__xludf.DUMMYFUNCTION("""COMPUTED_VALUE"""),"")</f>
        <v/>
      </c>
      <c r="C428" t="str">
        <f>IFERROR(__xludf.DUMMYFUNCTION("""COMPUTED_VALUE"""),"")</f>
        <v/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>
      <c r="A429" t="str">
        <f>IFERROR(__xludf.DUMMYFUNCTION("""COMPUTED_VALUE"""),"")</f>
        <v/>
      </c>
      <c r="B429" t="str">
        <f>IFERROR(__xludf.DUMMYFUNCTION("""COMPUTED_VALUE"""),"")</f>
        <v/>
      </c>
      <c r="C429" t="str">
        <f>IFERROR(__xludf.DUMMYFUNCTION("""COMPUTED_VALUE"""),"")</f>
        <v/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>
      <c r="A430" t="str">
        <f>IFERROR(__xludf.DUMMYFUNCTION("""COMPUTED_VALUE"""),"")</f>
        <v/>
      </c>
      <c r="B430" t="str">
        <f>IFERROR(__xludf.DUMMYFUNCTION("""COMPUTED_VALUE"""),"")</f>
        <v/>
      </c>
      <c r="C430" t="str">
        <f>IFERROR(__xludf.DUMMYFUNCTION("""COMPUTED_VALUE"""),"")</f>
        <v/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>
      <c r="A871" t="str">
        <f>IFERROR(__xludf.DUMMYFUNCTION("""COMPUTED_VALUE"""),"")</f>
        <v/>
      </c>
      <c r="B871" t="str">
        <f>IFERROR(__xludf.DUMMYFUNCTION("""COMPUTED_VALUE"""),"")</f>
        <v/>
      </c>
      <c r="C871" t="str">
        <f>IFERROR(__xludf.DUMMYFUNCTION("""COMPUTED_VALUE"""),"")</f>
        <v/>
      </c>
      <c r="D871" t="str">
        <f>IFERROR(__xludf.DUMMYFUNCTION("""COMPUTED_VALUE"""),"")</f>
        <v/>
      </c>
      <c r="E871" t="str">
        <f>IFERROR(__xludf.DUMMYFUNCTION("""COMPUTED_VALUE"""),"")</f>
        <v/>
      </c>
      <c r="F871" t="str">
        <f>IFERROR(__xludf.DUMMYFUNCTION("""COMPUTED_VALUE"""),"")</f>
        <v/>
      </c>
      <c r="G871" t="str">
        <f>IFERROR(__xludf.DUMMYFUNCTION("""COMPUTED_VALUE"""),"")</f>
        <v/>
      </c>
      <c r="H871" t="str">
        <f>IFERROR(__xludf.DUMMYFUNCTION("""COMPUTED_VALUE"""),"")</f>
        <v/>
      </c>
      <c r="I871" t="str">
        <f>IFERROR(__xludf.DUMMYFUNCTION("""COMPUTED_VALUE"""),"")</f>
        <v/>
      </c>
      <c r="J871" t="str">
        <f>IFERROR(__xludf.DUMMYFUNCTION("""COMPUTED_VALUE"""),"")</f>
        <v/>
      </c>
      <c r="K871" t="str">
        <f>IFERROR(__xludf.DUMMYFUNCTION("""COMPUTED_VALUE"""),"")</f>
        <v/>
      </c>
      <c r="L871" t="str">
        <f>IFERROR(__xludf.DUMMYFUNCTION("""COMPUTED_VALUE"""),"")</f>
        <v/>
      </c>
    </row>
    <row r="872">
      <c r="A872" t="str">
        <f>IFERROR(__xludf.DUMMYFUNCTION("""COMPUTED_VALUE"""),"")</f>
        <v/>
      </c>
      <c r="B872" t="str">
        <f>IFERROR(__xludf.DUMMYFUNCTION("""COMPUTED_VALUE"""),"")</f>
        <v/>
      </c>
      <c r="C872" t="str">
        <f>IFERROR(__xludf.DUMMYFUNCTION("""COMPUTED_VALUE"""),"")</f>
        <v/>
      </c>
      <c r="D872" t="str">
        <f>IFERROR(__xludf.DUMMYFUNCTION("""COMPUTED_VALUE"""),"")</f>
        <v/>
      </c>
      <c r="E872" t="str">
        <f>IFERROR(__xludf.DUMMYFUNCTION("""COMPUTED_VALUE"""),"")</f>
        <v/>
      </c>
      <c r="F872" t="str">
        <f>IFERROR(__xludf.DUMMYFUNCTION("""COMPUTED_VALUE"""),"")</f>
        <v/>
      </c>
      <c r="G872" t="str">
        <f>IFERROR(__xludf.DUMMYFUNCTION("""COMPUTED_VALUE"""),"")</f>
        <v/>
      </c>
      <c r="H872" t="str">
        <f>IFERROR(__xludf.DUMMYFUNCTION("""COMPUTED_VALUE"""),"")</f>
        <v/>
      </c>
      <c r="I872" t="str">
        <f>IFERROR(__xludf.DUMMYFUNCTION("""COMPUTED_VALUE"""),"")</f>
        <v/>
      </c>
      <c r="J872" t="str">
        <f>IFERROR(__xludf.DUMMYFUNCTION("""COMPUTED_VALUE"""),"")</f>
        <v/>
      </c>
      <c r="K872" t="str">
        <f>IFERROR(__xludf.DUMMYFUNCTION("""COMPUTED_VALUE"""),"")</f>
        <v/>
      </c>
      <c r="L872" t="str">
        <f>IFERROR(__xludf.DUMMYFUNCTION("""COMPUTED_VALUE"""),"")</f>
        <v/>
      </c>
    </row>
    <row r="873">
      <c r="A873" t="str">
        <f>IFERROR(__xludf.DUMMYFUNCTION("""COMPUTED_VALUE"""),"")</f>
        <v/>
      </c>
      <c r="B873" t="str">
        <f>IFERROR(__xludf.DUMMYFUNCTION("""COMPUTED_VALUE"""),"")</f>
        <v/>
      </c>
      <c r="C873" t="str">
        <f>IFERROR(__xludf.DUMMYFUNCTION("""COMPUTED_VALUE"""),"")</f>
        <v/>
      </c>
      <c r="D873" t="str">
        <f>IFERROR(__xludf.DUMMYFUNCTION("""COMPUTED_VALUE"""),"")</f>
        <v/>
      </c>
      <c r="E873" t="str">
        <f>IFERROR(__xludf.DUMMYFUNCTION("""COMPUTED_VALUE"""),"")</f>
        <v/>
      </c>
      <c r="F873" t="str">
        <f>IFERROR(__xludf.DUMMYFUNCTION("""COMPUTED_VALUE"""),"")</f>
        <v/>
      </c>
      <c r="G873" t="str">
        <f>IFERROR(__xludf.DUMMYFUNCTION("""COMPUTED_VALUE"""),"")</f>
        <v/>
      </c>
      <c r="H873" t="str">
        <f>IFERROR(__xludf.DUMMYFUNCTION("""COMPUTED_VALUE"""),"")</f>
        <v/>
      </c>
      <c r="I873" t="str">
        <f>IFERROR(__xludf.DUMMYFUNCTION("""COMPUTED_VALUE"""),"")</f>
        <v/>
      </c>
      <c r="J873" t="str">
        <f>IFERROR(__xludf.DUMMYFUNCTION("""COMPUTED_VALUE"""),"")</f>
        <v/>
      </c>
      <c r="K873" t="str">
        <f>IFERROR(__xludf.DUMMYFUNCTION("""COMPUTED_VALUE"""),"")</f>
        <v/>
      </c>
      <c r="L873" t="str">
        <f>IFERROR(__xludf.DUMMYFUNCTION("""COMPUTED_VALUE"""),"")</f>
        <v/>
      </c>
    </row>
    <row r="874">
      <c r="A874" t="str">
        <f>IFERROR(__xludf.DUMMYFUNCTION("""COMPUTED_VALUE"""),"")</f>
        <v/>
      </c>
      <c r="B874" t="str">
        <f>IFERROR(__xludf.DUMMYFUNCTION("""COMPUTED_VALUE"""),"")</f>
        <v/>
      </c>
      <c r="C874" t="str">
        <f>IFERROR(__xludf.DUMMYFUNCTION("""COMPUTED_VALUE"""),"")</f>
        <v/>
      </c>
      <c r="D874" t="str">
        <f>IFERROR(__xludf.DUMMYFUNCTION("""COMPUTED_VALUE"""),"")</f>
        <v/>
      </c>
      <c r="E874" t="str">
        <f>IFERROR(__xludf.DUMMYFUNCTION("""COMPUTED_VALUE"""),"")</f>
        <v/>
      </c>
      <c r="F874" t="str">
        <f>IFERROR(__xludf.DUMMYFUNCTION("""COMPUTED_VALUE"""),"")</f>
        <v/>
      </c>
      <c r="G874" t="str">
        <f>IFERROR(__xludf.DUMMYFUNCTION("""COMPUTED_VALUE"""),"")</f>
        <v/>
      </c>
      <c r="H874" t="str">
        <f>IFERROR(__xludf.DUMMYFUNCTION("""COMPUTED_VALUE"""),"")</f>
        <v/>
      </c>
      <c r="I874" t="str">
        <f>IFERROR(__xludf.DUMMYFUNCTION("""COMPUTED_VALUE"""),"")</f>
        <v/>
      </c>
      <c r="J874" t="str">
        <f>IFERROR(__xludf.DUMMYFUNCTION("""COMPUTED_VALUE"""),"")</f>
        <v/>
      </c>
      <c r="K874" t="str">
        <f>IFERROR(__xludf.DUMMYFUNCTION("""COMPUTED_VALUE"""),"")</f>
        <v/>
      </c>
      <c r="L874" t="str">
        <f>IFERROR(__xludf.DUMMYFUNCTION("""COMPUTED_VALUE"""),"")</f>
        <v/>
      </c>
    </row>
    <row r="875">
      <c r="A875" t="str">
        <f>IFERROR(__xludf.DUMMYFUNCTION("""COMPUTED_VALUE"""),"")</f>
        <v/>
      </c>
      <c r="B875" t="str">
        <f>IFERROR(__xludf.DUMMYFUNCTION("""COMPUTED_VALUE"""),"")</f>
        <v/>
      </c>
      <c r="C875" t="str">
        <f>IFERROR(__xludf.DUMMYFUNCTION("""COMPUTED_VALUE"""),"")</f>
        <v/>
      </c>
      <c r="D875" t="str">
        <f>IFERROR(__xludf.DUMMYFUNCTION("""COMPUTED_VALUE"""),"")</f>
        <v/>
      </c>
      <c r="E875" t="str">
        <f>IFERROR(__xludf.DUMMYFUNCTION("""COMPUTED_VALUE"""),"")</f>
        <v/>
      </c>
      <c r="F875" t="str">
        <f>IFERROR(__xludf.DUMMYFUNCTION("""COMPUTED_VALUE"""),"")</f>
        <v/>
      </c>
      <c r="G875" t="str">
        <f>IFERROR(__xludf.DUMMYFUNCTION("""COMPUTED_VALUE"""),"")</f>
        <v/>
      </c>
      <c r="H875" t="str">
        <f>IFERROR(__xludf.DUMMYFUNCTION("""COMPUTED_VALUE"""),"")</f>
        <v/>
      </c>
      <c r="I875" t="str">
        <f>IFERROR(__xludf.DUMMYFUNCTION("""COMPUTED_VALUE"""),"")</f>
        <v/>
      </c>
      <c r="J875" t="str">
        <f>IFERROR(__xludf.DUMMYFUNCTION("""COMPUTED_VALUE"""),"")</f>
        <v/>
      </c>
      <c r="K875" t="str">
        <f>IFERROR(__xludf.DUMMYFUNCTION("""COMPUTED_VALUE"""),"")</f>
        <v/>
      </c>
      <c r="L875" t="str">
        <f>IFERROR(__xludf.DUMMYFUNCTION("""COMPUTED_VALUE"""),"")</f>
        <v/>
      </c>
    </row>
    <row r="876">
      <c r="A876" t="str">
        <f>IFERROR(__xludf.DUMMYFUNCTION("""COMPUTED_VALUE"""),"")</f>
        <v/>
      </c>
      <c r="B876" t="str">
        <f>IFERROR(__xludf.DUMMYFUNCTION("""COMPUTED_VALUE"""),"")</f>
        <v/>
      </c>
      <c r="C876" t="str">
        <f>IFERROR(__xludf.DUMMYFUNCTION("""COMPUTED_VALUE"""),"")</f>
        <v/>
      </c>
      <c r="D876" t="str">
        <f>IFERROR(__xludf.DUMMYFUNCTION("""COMPUTED_VALUE"""),"")</f>
        <v/>
      </c>
      <c r="E876" t="str">
        <f>IFERROR(__xludf.DUMMYFUNCTION("""COMPUTED_VALUE"""),"")</f>
        <v/>
      </c>
      <c r="F876" t="str">
        <f>IFERROR(__xludf.DUMMYFUNCTION("""COMPUTED_VALUE"""),"")</f>
        <v/>
      </c>
      <c r="G876" t="str">
        <f>IFERROR(__xludf.DUMMYFUNCTION("""COMPUTED_VALUE"""),"")</f>
        <v/>
      </c>
      <c r="H876" t="str">
        <f>IFERROR(__xludf.DUMMYFUNCTION("""COMPUTED_VALUE"""),"")</f>
        <v/>
      </c>
      <c r="I876" t="str">
        <f>IFERROR(__xludf.DUMMYFUNCTION("""COMPUTED_VALUE"""),"")</f>
        <v/>
      </c>
      <c r="J876" t="str">
        <f>IFERROR(__xludf.DUMMYFUNCTION("""COMPUTED_VALUE"""),"")</f>
        <v/>
      </c>
      <c r="K876" t="str">
        <f>IFERROR(__xludf.DUMMYFUNCTION("""COMPUTED_VALUE"""),"")</f>
        <v/>
      </c>
      <c r="L876" t="str">
        <f>IFERROR(__xludf.DUMMYFUNCTION("""COMPUTED_VALUE"""),"")</f>
        <v/>
      </c>
    </row>
    <row r="877">
      <c r="A877" t="str">
        <f>IFERROR(__xludf.DUMMYFUNCTION("""COMPUTED_VALUE"""),"")</f>
        <v/>
      </c>
      <c r="B877" t="str">
        <f>IFERROR(__xludf.DUMMYFUNCTION("""COMPUTED_VALUE"""),"")</f>
        <v/>
      </c>
      <c r="C877" t="str">
        <f>IFERROR(__xludf.DUMMYFUNCTION("""COMPUTED_VALUE"""),"")</f>
        <v/>
      </c>
      <c r="D877" t="str">
        <f>IFERROR(__xludf.DUMMYFUNCTION("""COMPUTED_VALUE"""),"")</f>
        <v/>
      </c>
      <c r="E877" t="str">
        <f>IFERROR(__xludf.DUMMYFUNCTION("""COMPUTED_VALUE"""),"")</f>
        <v/>
      </c>
      <c r="F877" t="str">
        <f>IFERROR(__xludf.DUMMYFUNCTION("""COMPUTED_VALUE"""),"")</f>
        <v/>
      </c>
      <c r="G877" t="str">
        <f>IFERROR(__xludf.DUMMYFUNCTION("""COMPUTED_VALUE"""),"")</f>
        <v/>
      </c>
      <c r="H877" t="str">
        <f>IFERROR(__xludf.DUMMYFUNCTION("""COMPUTED_VALUE"""),"")</f>
        <v/>
      </c>
      <c r="I877" t="str">
        <f>IFERROR(__xludf.DUMMYFUNCTION("""COMPUTED_VALUE"""),"")</f>
        <v/>
      </c>
      <c r="J877" t="str">
        <f>IFERROR(__xludf.DUMMYFUNCTION("""COMPUTED_VALUE"""),"")</f>
        <v/>
      </c>
      <c r="K877" t="str">
        <f>IFERROR(__xludf.DUMMYFUNCTION("""COMPUTED_VALUE"""),"")</f>
        <v/>
      </c>
      <c r="L877" t="str">
        <f>IFERROR(__xludf.DUMMYFUNCTION("""COMPUTED_VALUE"""),"")</f>
        <v/>
      </c>
    </row>
    <row r="878">
      <c r="A878" t="str">
        <f>IFERROR(__xludf.DUMMYFUNCTION("""COMPUTED_VALUE"""),"")</f>
        <v/>
      </c>
      <c r="B878" t="str">
        <f>IFERROR(__xludf.DUMMYFUNCTION("""COMPUTED_VALUE"""),"")</f>
        <v/>
      </c>
      <c r="C878" t="str">
        <f>IFERROR(__xludf.DUMMYFUNCTION("""COMPUTED_VALUE"""),"")</f>
        <v/>
      </c>
      <c r="D878" t="str">
        <f>IFERROR(__xludf.DUMMYFUNCTION("""COMPUTED_VALUE"""),"")</f>
        <v/>
      </c>
      <c r="E878" t="str">
        <f>IFERROR(__xludf.DUMMYFUNCTION("""COMPUTED_VALUE"""),"")</f>
        <v/>
      </c>
      <c r="F878" t="str">
        <f>IFERROR(__xludf.DUMMYFUNCTION("""COMPUTED_VALUE"""),"")</f>
        <v/>
      </c>
      <c r="G878" t="str">
        <f>IFERROR(__xludf.DUMMYFUNCTION("""COMPUTED_VALUE"""),"")</f>
        <v/>
      </c>
      <c r="H878" t="str">
        <f>IFERROR(__xludf.DUMMYFUNCTION("""COMPUTED_VALUE"""),"")</f>
        <v/>
      </c>
      <c r="I878" t="str">
        <f>IFERROR(__xludf.DUMMYFUNCTION("""COMPUTED_VALUE"""),"")</f>
        <v/>
      </c>
      <c r="J878" t="str">
        <f>IFERROR(__xludf.DUMMYFUNCTION("""COMPUTED_VALUE"""),"")</f>
        <v/>
      </c>
      <c r="K878" t="str">
        <f>IFERROR(__xludf.DUMMYFUNCTION("""COMPUTED_VALUE"""),"")</f>
        <v/>
      </c>
      <c r="L878" t="str">
        <f>IFERROR(__xludf.DUMMYFUNCTION("""COMPUTED_VALUE"""),"")</f>
        <v/>
      </c>
    </row>
    <row r="879">
      <c r="A879" t="str">
        <f>IFERROR(__xludf.DUMMYFUNCTION("""COMPUTED_VALUE"""),"")</f>
        <v/>
      </c>
      <c r="B879" t="str">
        <f>IFERROR(__xludf.DUMMYFUNCTION("""COMPUTED_VALUE"""),"")</f>
        <v/>
      </c>
      <c r="C879" t="str">
        <f>IFERROR(__xludf.DUMMYFUNCTION("""COMPUTED_VALUE"""),"")</f>
        <v/>
      </c>
      <c r="D879" t="str">
        <f>IFERROR(__xludf.DUMMYFUNCTION("""COMPUTED_VALUE"""),"")</f>
        <v/>
      </c>
      <c r="E879" t="str">
        <f>IFERROR(__xludf.DUMMYFUNCTION("""COMPUTED_VALUE"""),"")</f>
        <v/>
      </c>
      <c r="F879" t="str">
        <f>IFERROR(__xludf.DUMMYFUNCTION("""COMPUTED_VALUE"""),"")</f>
        <v/>
      </c>
      <c r="G879" t="str">
        <f>IFERROR(__xludf.DUMMYFUNCTION("""COMPUTED_VALUE"""),"")</f>
        <v/>
      </c>
      <c r="H879" t="str">
        <f>IFERROR(__xludf.DUMMYFUNCTION("""COMPUTED_VALUE"""),"")</f>
        <v/>
      </c>
      <c r="I879" t="str">
        <f>IFERROR(__xludf.DUMMYFUNCTION("""COMPUTED_VALUE"""),"")</f>
        <v/>
      </c>
      <c r="J879" t="str">
        <f>IFERROR(__xludf.DUMMYFUNCTION("""COMPUTED_VALUE"""),"")</f>
        <v/>
      </c>
      <c r="K879" t="str">
        <f>IFERROR(__xludf.DUMMYFUNCTION("""COMPUTED_VALUE"""),"")</f>
        <v/>
      </c>
      <c r="L879" t="str">
        <f>IFERROR(__xludf.DUMMYFUNCTION("""COMPUTED_VALUE"""),"")</f>
        <v/>
      </c>
    </row>
    <row r="880">
      <c r="A880" t="str">
        <f>IFERROR(__xludf.DUMMYFUNCTION("""COMPUTED_VALUE"""),"")</f>
        <v/>
      </c>
      <c r="B880" t="str">
        <f>IFERROR(__xludf.DUMMYFUNCTION("""COMPUTED_VALUE"""),"")</f>
        <v/>
      </c>
      <c r="C880" t="str">
        <f>IFERROR(__xludf.DUMMYFUNCTION("""COMPUTED_VALUE"""),"")</f>
        <v/>
      </c>
      <c r="D880" t="str">
        <f>IFERROR(__xludf.DUMMYFUNCTION("""COMPUTED_VALUE"""),"")</f>
        <v/>
      </c>
      <c r="E880" t="str">
        <f>IFERROR(__xludf.DUMMYFUNCTION("""COMPUTED_VALUE"""),"")</f>
        <v/>
      </c>
      <c r="F880" t="str">
        <f>IFERROR(__xludf.DUMMYFUNCTION("""COMPUTED_VALUE"""),"")</f>
        <v/>
      </c>
      <c r="G880" t="str">
        <f>IFERROR(__xludf.DUMMYFUNCTION("""COMPUTED_VALUE"""),"")</f>
        <v/>
      </c>
      <c r="H880" t="str">
        <f>IFERROR(__xludf.DUMMYFUNCTION("""COMPUTED_VALUE"""),"")</f>
        <v/>
      </c>
      <c r="I880" t="str">
        <f>IFERROR(__xludf.DUMMYFUNCTION("""COMPUTED_VALUE"""),"")</f>
        <v/>
      </c>
      <c r="J880" t="str">
        <f>IFERROR(__xludf.DUMMYFUNCTION("""COMPUTED_VALUE"""),"")</f>
        <v/>
      </c>
      <c r="K880" t="str">
        <f>IFERROR(__xludf.DUMMYFUNCTION("""COMPUTED_VALUE"""),"")</f>
        <v/>
      </c>
      <c r="L880" t="str">
        <f>IFERROR(__xludf.DUMMYFUNCTION("""COMPUTED_VALUE"""),"")</f>
        <v/>
      </c>
    </row>
    <row r="881">
      <c r="A881" t="str">
        <f>IFERROR(__xludf.DUMMYFUNCTION("""COMPUTED_VALUE"""),"")</f>
        <v/>
      </c>
      <c r="B881" t="str">
        <f>IFERROR(__xludf.DUMMYFUNCTION("""COMPUTED_VALUE"""),"")</f>
        <v/>
      </c>
      <c r="C881" t="str">
        <f>IFERROR(__xludf.DUMMYFUNCTION("""COMPUTED_VALUE"""),"")</f>
        <v/>
      </c>
      <c r="D881" t="str">
        <f>IFERROR(__xludf.DUMMYFUNCTION("""COMPUTED_VALUE"""),"")</f>
        <v/>
      </c>
      <c r="E881" t="str">
        <f>IFERROR(__xludf.DUMMYFUNCTION("""COMPUTED_VALUE"""),"")</f>
        <v/>
      </c>
      <c r="F881" t="str">
        <f>IFERROR(__xludf.DUMMYFUNCTION("""COMPUTED_VALUE"""),"")</f>
        <v/>
      </c>
      <c r="G881" t="str">
        <f>IFERROR(__xludf.DUMMYFUNCTION("""COMPUTED_VALUE"""),"")</f>
        <v/>
      </c>
      <c r="H881" t="str">
        <f>IFERROR(__xludf.DUMMYFUNCTION("""COMPUTED_VALUE"""),"")</f>
        <v/>
      </c>
      <c r="I881" t="str">
        <f>IFERROR(__xludf.DUMMYFUNCTION("""COMPUTED_VALUE"""),"")</f>
        <v/>
      </c>
      <c r="J881" t="str">
        <f>IFERROR(__xludf.DUMMYFUNCTION("""COMPUTED_VALUE"""),"")</f>
        <v/>
      </c>
      <c r="K881" t="str">
        <f>IFERROR(__xludf.DUMMYFUNCTION("""COMPUTED_VALUE"""),"")</f>
        <v/>
      </c>
      <c r="L881" t="str">
        <f>IFERROR(__xludf.DUMMYFUNCTION("""COMPUTED_VALUE"""),"")</f>
        <v/>
      </c>
    </row>
    <row r="882">
      <c r="A882" t="str">
        <f>IFERROR(__xludf.DUMMYFUNCTION("""COMPUTED_VALUE"""),"")</f>
        <v/>
      </c>
      <c r="B882" t="str">
        <f>IFERROR(__xludf.DUMMYFUNCTION("""COMPUTED_VALUE"""),"")</f>
        <v/>
      </c>
      <c r="C882" t="str">
        <f>IFERROR(__xludf.DUMMYFUNCTION("""COMPUTED_VALUE"""),"")</f>
        <v/>
      </c>
      <c r="D882" t="str">
        <f>IFERROR(__xludf.DUMMYFUNCTION("""COMPUTED_VALUE"""),"")</f>
        <v/>
      </c>
      <c r="E882" t="str">
        <f>IFERROR(__xludf.DUMMYFUNCTION("""COMPUTED_VALUE"""),"")</f>
        <v/>
      </c>
      <c r="F882" t="str">
        <f>IFERROR(__xludf.DUMMYFUNCTION("""COMPUTED_VALUE"""),"")</f>
        <v/>
      </c>
      <c r="G882" t="str">
        <f>IFERROR(__xludf.DUMMYFUNCTION("""COMPUTED_VALUE"""),"")</f>
        <v/>
      </c>
      <c r="H882" t="str">
        <f>IFERROR(__xludf.DUMMYFUNCTION("""COMPUTED_VALUE"""),"")</f>
        <v/>
      </c>
      <c r="I882" t="str">
        <f>IFERROR(__xludf.DUMMYFUNCTION("""COMPUTED_VALUE"""),"")</f>
        <v/>
      </c>
      <c r="J882" t="str">
        <f>IFERROR(__xludf.DUMMYFUNCTION("""COMPUTED_VALUE"""),"")</f>
        <v/>
      </c>
      <c r="K882" t="str">
        <f>IFERROR(__xludf.DUMMYFUNCTION("""COMPUTED_VALUE"""),"")</f>
        <v/>
      </c>
      <c r="L882" t="str">
        <f>IFERROR(__xludf.DUMMYFUNCTION("""COMPUTED_VALUE"""),"")</f>
        <v/>
      </c>
    </row>
    <row r="883">
      <c r="A883" t="str">
        <f>IFERROR(__xludf.DUMMYFUNCTION("""COMPUTED_VALUE"""),"")</f>
        <v/>
      </c>
      <c r="B883" t="str">
        <f>IFERROR(__xludf.DUMMYFUNCTION("""COMPUTED_VALUE"""),"")</f>
        <v/>
      </c>
      <c r="C883" t="str">
        <f>IFERROR(__xludf.DUMMYFUNCTION("""COMPUTED_VALUE"""),"")</f>
        <v/>
      </c>
      <c r="D883" t="str">
        <f>IFERROR(__xludf.DUMMYFUNCTION("""COMPUTED_VALUE"""),"")</f>
        <v/>
      </c>
      <c r="E883" t="str">
        <f>IFERROR(__xludf.DUMMYFUNCTION("""COMPUTED_VALUE"""),"")</f>
        <v/>
      </c>
      <c r="F883" t="str">
        <f>IFERROR(__xludf.DUMMYFUNCTION("""COMPUTED_VALUE"""),"")</f>
        <v/>
      </c>
      <c r="G883" t="str">
        <f>IFERROR(__xludf.DUMMYFUNCTION("""COMPUTED_VALUE"""),"")</f>
        <v/>
      </c>
      <c r="H883" t="str">
        <f>IFERROR(__xludf.DUMMYFUNCTION("""COMPUTED_VALUE"""),"")</f>
        <v/>
      </c>
      <c r="I883" t="str">
        <f>IFERROR(__xludf.DUMMYFUNCTION("""COMPUTED_VALUE"""),"")</f>
        <v/>
      </c>
      <c r="J883" t="str">
        <f>IFERROR(__xludf.DUMMYFUNCTION("""COMPUTED_VALUE"""),"")</f>
        <v/>
      </c>
      <c r="K883" t="str">
        <f>IFERROR(__xludf.DUMMYFUNCTION("""COMPUTED_VALUE"""),"")</f>
        <v/>
      </c>
      <c r="L883" t="str">
        <f>IFERROR(__xludf.DUMMYFUNCTION("""COMPUTED_VALUE"""),"")</f>
        <v/>
      </c>
    </row>
    <row r="884">
      <c r="A884" t="str">
        <f>IFERROR(__xludf.DUMMYFUNCTION("""COMPUTED_VALUE"""),"")</f>
        <v/>
      </c>
      <c r="B884" t="str">
        <f>IFERROR(__xludf.DUMMYFUNCTION("""COMPUTED_VALUE"""),"")</f>
        <v/>
      </c>
      <c r="C884" t="str">
        <f>IFERROR(__xludf.DUMMYFUNCTION("""COMPUTED_VALUE"""),"")</f>
        <v/>
      </c>
      <c r="D884" t="str">
        <f>IFERROR(__xludf.DUMMYFUNCTION("""COMPUTED_VALUE"""),"")</f>
        <v/>
      </c>
      <c r="E884" t="str">
        <f>IFERROR(__xludf.DUMMYFUNCTION("""COMPUTED_VALUE"""),"")</f>
        <v/>
      </c>
      <c r="F884" t="str">
        <f>IFERROR(__xludf.DUMMYFUNCTION("""COMPUTED_VALUE"""),"")</f>
        <v/>
      </c>
      <c r="G884" t="str">
        <f>IFERROR(__xludf.DUMMYFUNCTION("""COMPUTED_VALUE"""),"")</f>
        <v/>
      </c>
      <c r="H884" t="str">
        <f>IFERROR(__xludf.DUMMYFUNCTION("""COMPUTED_VALUE"""),"")</f>
        <v/>
      </c>
      <c r="I884" t="str">
        <f>IFERROR(__xludf.DUMMYFUNCTION("""COMPUTED_VALUE"""),"")</f>
        <v/>
      </c>
      <c r="J884" t="str">
        <f>IFERROR(__xludf.DUMMYFUNCTION("""COMPUTED_VALUE"""),"")</f>
        <v/>
      </c>
      <c r="K884" t="str">
        <f>IFERROR(__xludf.DUMMYFUNCTION("""COMPUTED_VALUE"""),"")</f>
        <v/>
      </c>
      <c r="L884" t="str">
        <f>IFERROR(__xludf.DUMMYFUNCTION("""COMPUTED_VALUE"""),"")</f>
        <v/>
      </c>
    </row>
    <row r="885">
      <c r="A885" t="str">
        <f>IFERROR(__xludf.DUMMYFUNCTION("""COMPUTED_VALUE"""),"")</f>
        <v/>
      </c>
      <c r="B885" t="str">
        <f>IFERROR(__xludf.DUMMYFUNCTION("""COMPUTED_VALUE"""),"")</f>
        <v/>
      </c>
      <c r="C885" t="str">
        <f>IFERROR(__xludf.DUMMYFUNCTION("""COMPUTED_VALUE"""),"")</f>
        <v/>
      </c>
      <c r="D885" t="str">
        <f>IFERROR(__xludf.DUMMYFUNCTION("""COMPUTED_VALUE"""),"")</f>
        <v/>
      </c>
      <c r="E885" t="str">
        <f>IFERROR(__xludf.DUMMYFUNCTION("""COMPUTED_VALUE"""),"")</f>
        <v/>
      </c>
      <c r="F885" t="str">
        <f>IFERROR(__xludf.DUMMYFUNCTION("""COMPUTED_VALUE"""),"")</f>
        <v/>
      </c>
      <c r="G885" t="str">
        <f>IFERROR(__xludf.DUMMYFUNCTION("""COMPUTED_VALUE"""),"")</f>
        <v/>
      </c>
      <c r="H885" t="str">
        <f>IFERROR(__xludf.DUMMYFUNCTION("""COMPUTED_VALUE"""),"")</f>
        <v/>
      </c>
      <c r="I885" t="str">
        <f>IFERROR(__xludf.DUMMYFUNCTION("""COMPUTED_VALUE"""),"")</f>
        <v/>
      </c>
      <c r="J885" t="str">
        <f>IFERROR(__xludf.DUMMYFUNCTION("""COMPUTED_VALUE"""),"")</f>
        <v/>
      </c>
      <c r="K885" t="str">
        <f>IFERROR(__xludf.DUMMYFUNCTION("""COMPUTED_VALUE"""),"")</f>
        <v/>
      </c>
      <c r="L885" t="str">
        <f>IFERROR(__xludf.DUMMYFUNCTION("""COMPUTED_VALUE"""),"")</f>
        <v/>
      </c>
    </row>
    <row r="886">
      <c r="A886" t="str">
        <f>IFERROR(__xludf.DUMMYFUNCTION("""COMPUTED_VALUE"""),"")</f>
        <v/>
      </c>
      <c r="B886" t="str">
        <f>IFERROR(__xludf.DUMMYFUNCTION("""COMPUTED_VALUE"""),"")</f>
        <v/>
      </c>
      <c r="C886" t="str">
        <f>IFERROR(__xludf.DUMMYFUNCTION("""COMPUTED_VALUE"""),"")</f>
        <v/>
      </c>
      <c r="D886" t="str">
        <f>IFERROR(__xludf.DUMMYFUNCTION("""COMPUTED_VALUE"""),"")</f>
        <v/>
      </c>
      <c r="E886" t="str">
        <f>IFERROR(__xludf.DUMMYFUNCTION("""COMPUTED_VALUE"""),"")</f>
        <v/>
      </c>
      <c r="F886" t="str">
        <f>IFERROR(__xludf.DUMMYFUNCTION("""COMPUTED_VALUE"""),"")</f>
        <v/>
      </c>
      <c r="G886" t="str">
        <f>IFERROR(__xludf.DUMMYFUNCTION("""COMPUTED_VALUE"""),"")</f>
        <v/>
      </c>
      <c r="H886" t="str">
        <f>IFERROR(__xludf.DUMMYFUNCTION("""COMPUTED_VALUE"""),"")</f>
        <v/>
      </c>
      <c r="I886" t="str">
        <f>IFERROR(__xludf.DUMMYFUNCTION("""COMPUTED_VALUE"""),"")</f>
        <v/>
      </c>
      <c r="J886" t="str">
        <f>IFERROR(__xludf.DUMMYFUNCTION("""COMPUTED_VALUE"""),"")</f>
        <v/>
      </c>
      <c r="K886" t="str">
        <f>IFERROR(__xludf.DUMMYFUNCTION("""COMPUTED_VALUE"""),"")</f>
        <v/>
      </c>
      <c r="L886" t="str">
        <f>IFERROR(__xludf.DUMMYFUNCTION("""COMPUTED_VALUE"""),"")</f>
        <v/>
      </c>
    </row>
    <row r="887">
      <c r="A887" t="str">
        <f>IFERROR(__xludf.DUMMYFUNCTION("""COMPUTED_VALUE"""),"")</f>
        <v/>
      </c>
      <c r="B887" t="str">
        <f>IFERROR(__xludf.DUMMYFUNCTION("""COMPUTED_VALUE"""),"")</f>
        <v/>
      </c>
      <c r="C887" t="str">
        <f>IFERROR(__xludf.DUMMYFUNCTION("""COMPUTED_VALUE"""),"")</f>
        <v/>
      </c>
      <c r="D887" t="str">
        <f>IFERROR(__xludf.DUMMYFUNCTION("""COMPUTED_VALUE"""),"")</f>
        <v/>
      </c>
      <c r="E887" t="str">
        <f>IFERROR(__xludf.DUMMYFUNCTION("""COMPUTED_VALUE"""),"")</f>
        <v/>
      </c>
      <c r="F887" t="str">
        <f>IFERROR(__xludf.DUMMYFUNCTION("""COMPUTED_VALUE"""),"")</f>
        <v/>
      </c>
      <c r="G887" t="str">
        <f>IFERROR(__xludf.DUMMYFUNCTION("""COMPUTED_VALUE"""),"")</f>
        <v/>
      </c>
      <c r="H887" t="str">
        <f>IFERROR(__xludf.DUMMYFUNCTION("""COMPUTED_VALUE"""),"")</f>
        <v/>
      </c>
      <c r="I887" t="str">
        <f>IFERROR(__xludf.DUMMYFUNCTION("""COMPUTED_VALUE"""),"")</f>
        <v/>
      </c>
      <c r="J887" t="str">
        <f>IFERROR(__xludf.DUMMYFUNCTION("""COMPUTED_VALUE"""),"")</f>
        <v/>
      </c>
      <c r="K887" t="str">
        <f>IFERROR(__xludf.DUMMYFUNCTION("""COMPUTED_VALUE"""),"")</f>
        <v/>
      </c>
      <c r="L887" t="str">
        <f>IFERROR(__xludf.DUMMYFUNCTION("""COMPUTED_VALUE"""),"")</f>
        <v/>
      </c>
    </row>
    <row r="888">
      <c r="A888" t="str">
        <f>IFERROR(__xludf.DUMMYFUNCTION("""COMPUTED_VALUE"""),"")</f>
        <v/>
      </c>
      <c r="B888" t="str">
        <f>IFERROR(__xludf.DUMMYFUNCTION("""COMPUTED_VALUE"""),"")</f>
        <v/>
      </c>
      <c r="C888" t="str">
        <f>IFERROR(__xludf.DUMMYFUNCTION("""COMPUTED_VALUE"""),"")</f>
        <v/>
      </c>
      <c r="D888" t="str">
        <f>IFERROR(__xludf.DUMMYFUNCTION("""COMPUTED_VALUE"""),"")</f>
        <v/>
      </c>
      <c r="E888" t="str">
        <f>IFERROR(__xludf.DUMMYFUNCTION("""COMPUTED_VALUE"""),"")</f>
        <v/>
      </c>
      <c r="F888" t="str">
        <f>IFERROR(__xludf.DUMMYFUNCTION("""COMPUTED_VALUE"""),"")</f>
        <v/>
      </c>
      <c r="G888" t="str">
        <f>IFERROR(__xludf.DUMMYFUNCTION("""COMPUTED_VALUE"""),"")</f>
        <v/>
      </c>
      <c r="H888" t="str">
        <f>IFERROR(__xludf.DUMMYFUNCTION("""COMPUTED_VALUE"""),"")</f>
        <v/>
      </c>
      <c r="I888" t="str">
        <f>IFERROR(__xludf.DUMMYFUNCTION("""COMPUTED_VALUE"""),"")</f>
        <v/>
      </c>
      <c r="J888" t="str">
        <f>IFERROR(__xludf.DUMMYFUNCTION("""COMPUTED_VALUE"""),"")</f>
        <v/>
      </c>
      <c r="K888" t="str">
        <f>IFERROR(__xludf.DUMMYFUNCTION("""COMPUTED_VALUE"""),"")</f>
        <v/>
      </c>
      <c r="L888" t="str">
        <f>IFERROR(__xludf.DUMMYFUNCTION("""COMPUTED_VALUE"""),"")</f>
        <v/>
      </c>
    </row>
    <row r="889">
      <c r="A889" t="str">
        <f>IFERROR(__xludf.DUMMYFUNCTION("""COMPUTED_VALUE"""),"")</f>
        <v/>
      </c>
      <c r="B889" t="str">
        <f>IFERROR(__xludf.DUMMYFUNCTION("""COMPUTED_VALUE"""),"")</f>
        <v/>
      </c>
      <c r="C889" t="str">
        <f>IFERROR(__xludf.DUMMYFUNCTION("""COMPUTED_VALUE"""),"")</f>
        <v/>
      </c>
      <c r="D889" t="str">
        <f>IFERROR(__xludf.DUMMYFUNCTION("""COMPUTED_VALUE"""),"")</f>
        <v/>
      </c>
      <c r="E889" t="str">
        <f>IFERROR(__xludf.DUMMYFUNCTION("""COMPUTED_VALUE"""),"")</f>
        <v/>
      </c>
      <c r="F889" t="str">
        <f>IFERROR(__xludf.DUMMYFUNCTION("""COMPUTED_VALUE"""),"")</f>
        <v/>
      </c>
      <c r="G889" t="str">
        <f>IFERROR(__xludf.DUMMYFUNCTION("""COMPUTED_VALUE"""),"")</f>
        <v/>
      </c>
      <c r="H889" t="str">
        <f>IFERROR(__xludf.DUMMYFUNCTION("""COMPUTED_VALUE"""),"")</f>
        <v/>
      </c>
      <c r="I889" t="str">
        <f>IFERROR(__xludf.DUMMYFUNCTION("""COMPUTED_VALUE"""),"")</f>
        <v/>
      </c>
      <c r="J889" t="str">
        <f>IFERROR(__xludf.DUMMYFUNCTION("""COMPUTED_VALUE"""),"")</f>
        <v/>
      </c>
      <c r="K889" t="str">
        <f>IFERROR(__xludf.DUMMYFUNCTION("""COMPUTED_VALUE"""),"")</f>
        <v/>
      </c>
      <c r="L889" t="str">
        <f>IFERROR(__xludf.DUMMYFUNCTION("""COMPUTED_VALUE"""),"")</f>
        <v/>
      </c>
    </row>
    <row r="890">
      <c r="A890" t="str">
        <f>IFERROR(__xludf.DUMMYFUNCTION("""COMPUTED_VALUE"""),"")</f>
        <v/>
      </c>
      <c r="B890" t="str">
        <f>IFERROR(__xludf.DUMMYFUNCTION("""COMPUTED_VALUE"""),"")</f>
        <v/>
      </c>
      <c r="C890" t="str">
        <f>IFERROR(__xludf.DUMMYFUNCTION("""COMPUTED_VALUE"""),"")</f>
        <v/>
      </c>
      <c r="D890" t="str">
        <f>IFERROR(__xludf.DUMMYFUNCTION("""COMPUTED_VALUE"""),"")</f>
        <v/>
      </c>
      <c r="E890" t="str">
        <f>IFERROR(__xludf.DUMMYFUNCTION("""COMPUTED_VALUE"""),"")</f>
        <v/>
      </c>
      <c r="F890" t="str">
        <f>IFERROR(__xludf.DUMMYFUNCTION("""COMPUTED_VALUE"""),"")</f>
        <v/>
      </c>
      <c r="G890" t="str">
        <f>IFERROR(__xludf.DUMMYFUNCTION("""COMPUTED_VALUE"""),"")</f>
        <v/>
      </c>
      <c r="H890" t="str">
        <f>IFERROR(__xludf.DUMMYFUNCTION("""COMPUTED_VALUE"""),"")</f>
        <v/>
      </c>
      <c r="I890" t="str">
        <f>IFERROR(__xludf.DUMMYFUNCTION("""COMPUTED_VALUE"""),"")</f>
        <v/>
      </c>
      <c r="J890" t="str">
        <f>IFERROR(__xludf.DUMMYFUNCTION("""COMPUTED_VALUE"""),"")</f>
        <v/>
      </c>
      <c r="K890" t="str">
        <f>IFERROR(__xludf.DUMMYFUNCTION("""COMPUTED_VALUE"""),"")</f>
        <v/>
      </c>
      <c r="L890" t="str">
        <f>IFERROR(__xludf.DUMMYFUNCTION("""COMPUTED_VALUE"""),"")</f>
        <v/>
      </c>
    </row>
    <row r="891">
      <c r="A891" t="str">
        <f>IFERROR(__xludf.DUMMYFUNCTION("""COMPUTED_VALUE"""),"")</f>
        <v/>
      </c>
      <c r="B891" t="str">
        <f>IFERROR(__xludf.DUMMYFUNCTION("""COMPUTED_VALUE"""),"")</f>
        <v/>
      </c>
      <c r="C891" t="str">
        <f>IFERROR(__xludf.DUMMYFUNCTION("""COMPUTED_VALUE"""),"")</f>
        <v/>
      </c>
      <c r="D891" t="str">
        <f>IFERROR(__xludf.DUMMYFUNCTION("""COMPUTED_VALUE"""),"")</f>
        <v/>
      </c>
      <c r="E891" t="str">
        <f>IFERROR(__xludf.DUMMYFUNCTION("""COMPUTED_VALUE"""),"")</f>
        <v/>
      </c>
      <c r="F891" t="str">
        <f>IFERROR(__xludf.DUMMYFUNCTION("""COMPUTED_VALUE"""),"")</f>
        <v/>
      </c>
      <c r="G891" t="str">
        <f>IFERROR(__xludf.DUMMYFUNCTION("""COMPUTED_VALUE"""),"")</f>
        <v/>
      </c>
      <c r="H891" t="str">
        <f>IFERROR(__xludf.DUMMYFUNCTION("""COMPUTED_VALUE"""),"")</f>
        <v/>
      </c>
      <c r="I891" t="str">
        <f>IFERROR(__xludf.DUMMYFUNCTION("""COMPUTED_VALUE"""),"")</f>
        <v/>
      </c>
      <c r="J891" t="str">
        <f>IFERROR(__xludf.DUMMYFUNCTION("""COMPUTED_VALUE"""),"")</f>
        <v/>
      </c>
      <c r="K891" t="str">
        <f>IFERROR(__xludf.DUMMYFUNCTION("""COMPUTED_VALUE"""),"")</f>
        <v/>
      </c>
      <c r="L891" t="str">
        <f>IFERROR(__xludf.DUMMYFUNCTION("""COMPUTED_VALUE"""),"")</f>
        <v/>
      </c>
    </row>
    <row r="892">
      <c r="A892" t="str">
        <f>IFERROR(__xludf.DUMMYFUNCTION("""COMPUTED_VALUE"""),"")</f>
        <v/>
      </c>
      <c r="B892" t="str">
        <f>IFERROR(__xludf.DUMMYFUNCTION("""COMPUTED_VALUE"""),"")</f>
        <v/>
      </c>
      <c r="C892" t="str">
        <f>IFERROR(__xludf.DUMMYFUNCTION("""COMPUTED_VALUE"""),"")</f>
        <v/>
      </c>
      <c r="D892" t="str">
        <f>IFERROR(__xludf.DUMMYFUNCTION("""COMPUTED_VALUE"""),"")</f>
        <v/>
      </c>
      <c r="E892" t="str">
        <f>IFERROR(__xludf.DUMMYFUNCTION("""COMPUTED_VALUE"""),"")</f>
        <v/>
      </c>
      <c r="F892" t="str">
        <f>IFERROR(__xludf.DUMMYFUNCTION("""COMPUTED_VALUE"""),"")</f>
        <v/>
      </c>
      <c r="G892" t="str">
        <f>IFERROR(__xludf.DUMMYFUNCTION("""COMPUTED_VALUE"""),"")</f>
        <v/>
      </c>
      <c r="H892" t="str">
        <f>IFERROR(__xludf.DUMMYFUNCTION("""COMPUTED_VALUE"""),"")</f>
        <v/>
      </c>
      <c r="I892" t="str">
        <f>IFERROR(__xludf.DUMMYFUNCTION("""COMPUTED_VALUE"""),"")</f>
        <v/>
      </c>
      <c r="J892" t="str">
        <f>IFERROR(__xludf.DUMMYFUNCTION("""COMPUTED_VALUE"""),"")</f>
        <v/>
      </c>
      <c r="K892" t="str">
        <f>IFERROR(__xludf.DUMMYFUNCTION("""COMPUTED_VALUE"""),"")</f>
        <v/>
      </c>
      <c r="L892" t="str">
        <f>IFERROR(__xludf.DUMMYFUNCTION("""COMPUTED_VALUE"""),"")</f>
        <v/>
      </c>
    </row>
    <row r="893">
      <c r="A893" t="str">
        <f>IFERROR(__xludf.DUMMYFUNCTION("""COMPUTED_VALUE"""),"")</f>
        <v/>
      </c>
      <c r="B893" t="str">
        <f>IFERROR(__xludf.DUMMYFUNCTION("""COMPUTED_VALUE"""),"")</f>
        <v/>
      </c>
      <c r="C893" t="str">
        <f>IFERROR(__xludf.DUMMYFUNCTION("""COMPUTED_VALUE"""),"")</f>
        <v/>
      </c>
      <c r="D893" t="str">
        <f>IFERROR(__xludf.DUMMYFUNCTION("""COMPUTED_VALUE"""),"")</f>
        <v/>
      </c>
      <c r="E893" t="str">
        <f>IFERROR(__xludf.DUMMYFUNCTION("""COMPUTED_VALUE"""),"")</f>
        <v/>
      </c>
      <c r="F893" t="str">
        <f>IFERROR(__xludf.DUMMYFUNCTION("""COMPUTED_VALUE"""),"")</f>
        <v/>
      </c>
      <c r="G893" t="str">
        <f>IFERROR(__xludf.DUMMYFUNCTION("""COMPUTED_VALUE"""),"")</f>
        <v/>
      </c>
      <c r="H893" t="str">
        <f>IFERROR(__xludf.DUMMYFUNCTION("""COMPUTED_VALUE"""),"")</f>
        <v/>
      </c>
      <c r="I893" t="str">
        <f>IFERROR(__xludf.DUMMYFUNCTION("""COMPUTED_VALUE"""),"")</f>
        <v/>
      </c>
      <c r="J893" t="str">
        <f>IFERROR(__xludf.DUMMYFUNCTION("""COMPUTED_VALUE"""),"")</f>
        <v/>
      </c>
      <c r="K893" t="str">
        <f>IFERROR(__xludf.DUMMYFUNCTION("""COMPUTED_VALUE"""),"")</f>
        <v/>
      </c>
      <c r="L893" t="str">
        <f>IFERROR(__xludf.DUMMYFUNCTION("""COMPUTED_VALUE"""),"")</f>
        <v/>
      </c>
    </row>
    <row r="894">
      <c r="A894" t="str">
        <f>IFERROR(__xludf.DUMMYFUNCTION("""COMPUTED_VALUE"""),"")</f>
        <v/>
      </c>
      <c r="B894" t="str">
        <f>IFERROR(__xludf.DUMMYFUNCTION("""COMPUTED_VALUE"""),"")</f>
        <v/>
      </c>
      <c r="C894" t="str">
        <f>IFERROR(__xludf.DUMMYFUNCTION("""COMPUTED_VALUE"""),"")</f>
        <v/>
      </c>
      <c r="D894" t="str">
        <f>IFERROR(__xludf.DUMMYFUNCTION("""COMPUTED_VALUE"""),"")</f>
        <v/>
      </c>
      <c r="E894" t="str">
        <f>IFERROR(__xludf.DUMMYFUNCTION("""COMPUTED_VALUE"""),"")</f>
        <v/>
      </c>
      <c r="F894" t="str">
        <f>IFERROR(__xludf.DUMMYFUNCTION("""COMPUTED_VALUE"""),"")</f>
        <v/>
      </c>
      <c r="G894" t="str">
        <f>IFERROR(__xludf.DUMMYFUNCTION("""COMPUTED_VALUE"""),"")</f>
        <v/>
      </c>
      <c r="H894" t="str">
        <f>IFERROR(__xludf.DUMMYFUNCTION("""COMPUTED_VALUE"""),"")</f>
        <v/>
      </c>
      <c r="I894" t="str">
        <f>IFERROR(__xludf.DUMMYFUNCTION("""COMPUTED_VALUE"""),"")</f>
        <v/>
      </c>
      <c r="J894" t="str">
        <f>IFERROR(__xludf.DUMMYFUNCTION("""COMPUTED_VALUE"""),"")</f>
        <v/>
      </c>
      <c r="K894" t="str">
        <f>IFERROR(__xludf.DUMMYFUNCTION("""COMPUTED_VALUE"""),"")</f>
        <v/>
      </c>
      <c r="L894" t="str">
        <f>IFERROR(__xludf.DUMMYFUNCTION("""COMPUTED_VALUE"""),"")</f>
        <v/>
      </c>
    </row>
    <row r="895">
      <c r="A895" t="str">
        <f>IFERROR(__xludf.DUMMYFUNCTION("""COMPUTED_VALUE"""),"")</f>
        <v/>
      </c>
      <c r="B895" t="str">
        <f>IFERROR(__xludf.DUMMYFUNCTION("""COMPUTED_VALUE"""),"")</f>
        <v/>
      </c>
      <c r="C895" t="str">
        <f>IFERROR(__xludf.DUMMYFUNCTION("""COMPUTED_VALUE"""),"")</f>
        <v/>
      </c>
      <c r="D895" t="str">
        <f>IFERROR(__xludf.DUMMYFUNCTION("""COMPUTED_VALUE"""),"")</f>
        <v/>
      </c>
      <c r="E895" t="str">
        <f>IFERROR(__xludf.DUMMYFUNCTION("""COMPUTED_VALUE"""),"")</f>
        <v/>
      </c>
      <c r="F895" t="str">
        <f>IFERROR(__xludf.DUMMYFUNCTION("""COMPUTED_VALUE"""),"")</f>
        <v/>
      </c>
      <c r="G895" t="str">
        <f>IFERROR(__xludf.DUMMYFUNCTION("""COMPUTED_VALUE"""),"")</f>
        <v/>
      </c>
      <c r="H895" t="str">
        <f>IFERROR(__xludf.DUMMYFUNCTION("""COMPUTED_VALUE"""),"")</f>
        <v/>
      </c>
      <c r="I895" t="str">
        <f>IFERROR(__xludf.DUMMYFUNCTION("""COMPUTED_VALUE"""),"")</f>
        <v/>
      </c>
      <c r="J895" t="str">
        <f>IFERROR(__xludf.DUMMYFUNCTION("""COMPUTED_VALUE"""),"")</f>
        <v/>
      </c>
      <c r="K895" t="str">
        <f>IFERROR(__xludf.DUMMYFUNCTION("""COMPUTED_VALUE"""),"")</f>
        <v/>
      </c>
      <c r="L895" t="str">
        <f>IFERROR(__xludf.DUMMYFUNCTION("""COMPUTED_VALUE"""),"")</f>
        <v/>
      </c>
    </row>
    <row r="896">
      <c r="A896" t="str">
        <f>IFERROR(__xludf.DUMMYFUNCTION("""COMPUTED_VALUE"""),"")</f>
        <v/>
      </c>
      <c r="B896" t="str">
        <f>IFERROR(__xludf.DUMMYFUNCTION("""COMPUTED_VALUE"""),"")</f>
        <v/>
      </c>
      <c r="C896" t="str">
        <f>IFERROR(__xludf.DUMMYFUNCTION("""COMPUTED_VALUE"""),"")</f>
        <v/>
      </c>
      <c r="D896" t="str">
        <f>IFERROR(__xludf.DUMMYFUNCTION("""COMPUTED_VALUE"""),"")</f>
        <v/>
      </c>
      <c r="E896" t="str">
        <f>IFERROR(__xludf.DUMMYFUNCTION("""COMPUTED_VALUE"""),"")</f>
        <v/>
      </c>
      <c r="F896" t="str">
        <f>IFERROR(__xludf.DUMMYFUNCTION("""COMPUTED_VALUE"""),"")</f>
        <v/>
      </c>
      <c r="G896" t="str">
        <f>IFERROR(__xludf.DUMMYFUNCTION("""COMPUTED_VALUE"""),"")</f>
        <v/>
      </c>
      <c r="H896" t="str">
        <f>IFERROR(__xludf.DUMMYFUNCTION("""COMPUTED_VALUE"""),"")</f>
        <v/>
      </c>
      <c r="I896" t="str">
        <f>IFERROR(__xludf.DUMMYFUNCTION("""COMPUTED_VALUE"""),"")</f>
        <v/>
      </c>
      <c r="J896" t="str">
        <f>IFERROR(__xludf.DUMMYFUNCTION("""COMPUTED_VALUE"""),"")</f>
        <v/>
      </c>
      <c r="K896" t="str">
        <f>IFERROR(__xludf.DUMMYFUNCTION("""COMPUTED_VALUE"""),"")</f>
        <v/>
      </c>
      <c r="L896" t="str">
        <f>IFERROR(__xludf.DUMMYFUNCTION("""COMPUTED_VALUE"""),"")</f>
        <v/>
      </c>
    </row>
    <row r="897">
      <c r="A897" t="str">
        <f>IFERROR(__xludf.DUMMYFUNCTION("""COMPUTED_VALUE"""),"")</f>
        <v/>
      </c>
      <c r="B897" t="str">
        <f>IFERROR(__xludf.DUMMYFUNCTION("""COMPUTED_VALUE"""),"")</f>
        <v/>
      </c>
      <c r="C897" t="str">
        <f>IFERROR(__xludf.DUMMYFUNCTION("""COMPUTED_VALUE"""),"")</f>
        <v/>
      </c>
      <c r="D897" t="str">
        <f>IFERROR(__xludf.DUMMYFUNCTION("""COMPUTED_VALUE"""),"")</f>
        <v/>
      </c>
      <c r="E897" t="str">
        <f>IFERROR(__xludf.DUMMYFUNCTION("""COMPUTED_VALUE"""),"")</f>
        <v/>
      </c>
      <c r="F897" t="str">
        <f>IFERROR(__xludf.DUMMYFUNCTION("""COMPUTED_VALUE"""),"")</f>
        <v/>
      </c>
      <c r="G897" t="str">
        <f>IFERROR(__xludf.DUMMYFUNCTION("""COMPUTED_VALUE"""),"")</f>
        <v/>
      </c>
      <c r="H897" t="str">
        <f>IFERROR(__xludf.DUMMYFUNCTION("""COMPUTED_VALUE"""),"")</f>
        <v/>
      </c>
      <c r="I897" t="str">
        <f>IFERROR(__xludf.DUMMYFUNCTION("""COMPUTED_VALUE"""),"")</f>
        <v/>
      </c>
      <c r="J897" t="str">
        <f>IFERROR(__xludf.DUMMYFUNCTION("""COMPUTED_VALUE"""),"")</f>
        <v/>
      </c>
      <c r="K897" t="str">
        <f>IFERROR(__xludf.DUMMYFUNCTION("""COMPUTED_VALUE"""),"")</f>
        <v/>
      </c>
      <c r="L897" t="str">
        <f>IFERROR(__xludf.DUMMYFUNCTION("""COMPUTED_VALUE"""),"")</f>
        <v/>
      </c>
    </row>
    <row r="898">
      <c r="A898" t="str">
        <f>IFERROR(__xludf.DUMMYFUNCTION("""COMPUTED_VALUE"""),"")</f>
        <v/>
      </c>
      <c r="B898" t="str">
        <f>IFERROR(__xludf.DUMMYFUNCTION("""COMPUTED_VALUE"""),"")</f>
        <v/>
      </c>
      <c r="C898" t="str">
        <f>IFERROR(__xludf.DUMMYFUNCTION("""COMPUTED_VALUE"""),"")</f>
        <v/>
      </c>
      <c r="D898" t="str">
        <f>IFERROR(__xludf.DUMMYFUNCTION("""COMPUTED_VALUE"""),"")</f>
        <v/>
      </c>
      <c r="E898" t="str">
        <f>IFERROR(__xludf.DUMMYFUNCTION("""COMPUTED_VALUE"""),"")</f>
        <v/>
      </c>
      <c r="F898" t="str">
        <f>IFERROR(__xludf.DUMMYFUNCTION("""COMPUTED_VALUE"""),"")</f>
        <v/>
      </c>
      <c r="G898" t="str">
        <f>IFERROR(__xludf.DUMMYFUNCTION("""COMPUTED_VALUE"""),"")</f>
        <v/>
      </c>
      <c r="H898" t="str">
        <f>IFERROR(__xludf.DUMMYFUNCTION("""COMPUTED_VALUE"""),"")</f>
        <v/>
      </c>
      <c r="I898" t="str">
        <f>IFERROR(__xludf.DUMMYFUNCTION("""COMPUTED_VALUE"""),"")</f>
        <v/>
      </c>
      <c r="J898" t="str">
        <f>IFERROR(__xludf.DUMMYFUNCTION("""COMPUTED_VALUE"""),"")</f>
        <v/>
      </c>
      <c r="K898" t="str">
        <f>IFERROR(__xludf.DUMMYFUNCTION("""COMPUTED_VALUE"""),"")</f>
        <v/>
      </c>
      <c r="L898" t="str">
        <f>IFERROR(__xludf.DUMMYFUNCTION("""COMPUTED_VALUE"""),"")</f>
        <v/>
      </c>
    </row>
    <row r="899">
      <c r="A899" t="str">
        <f>IFERROR(__xludf.DUMMYFUNCTION("""COMPUTED_VALUE"""),"")</f>
        <v/>
      </c>
      <c r="B899" t="str">
        <f>IFERROR(__xludf.DUMMYFUNCTION("""COMPUTED_VALUE"""),"")</f>
        <v/>
      </c>
      <c r="C899" t="str">
        <f>IFERROR(__xludf.DUMMYFUNCTION("""COMPUTED_VALUE"""),"")</f>
        <v/>
      </c>
      <c r="D899" t="str">
        <f>IFERROR(__xludf.DUMMYFUNCTION("""COMPUTED_VALUE"""),"")</f>
        <v/>
      </c>
      <c r="E899" t="str">
        <f>IFERROR(__xludf.DUMMYFUNCTION("""COMPUTED_VALUE"""),"")</f>
        <v/>
      </c>
      <c r="F899" t="str">
        <f>IFERROR(__xludf.DUMMYFUNCTION("""COMPUTED_VALUE"""),"")</f>
        <v/>
      </c>
      <c r="G899" t="str">
        <f>IFERROR(__xludf.DUMMYFUNCTION("""COMPUTED_VALUE"""),"")</f>
        <v/>
      </c>
      <c r="H899" t="str">
        <f>IFERROR(__xludf.DUMMYFUNCTION("""COMPUTED_VALUE"""),"")</f>
        <v/>
      </c>
      <c r="I899" t="str">
        <f>IFERROR(__xludf.DUMMYFUNCTION("""COMPUTED_VALUE"""),"")</f>
        <v/>
      </c>
      <c r="J899" t="str">
        <f>IFERROR(__xludf.DUMMYFUNCTION("""COMPUTED_VALUE"""),"")</f>
        <v/>
      </c>
      <c r="K899" t="str">
        <f>IFERROR(__xludf.DUMMYFUNCTION("""COMPUTED_VALUE"""),"")</f>
        <v/>
      </c>
      <c r="L899" t="str">
        <f>IFERROR(__xludf.DUMMYFUNCTION("""COMPUTED_VALUE"""),"")</f>
        <v/>
      </c>
    </row>
    <row r="900">
      <c r="A900" t="str">
        <f>IFERROR(__xludf.DUMMYFUNCTION("""COMPUTED_VALUE"""),"")</f>
        <v/>
      </c>
      <c r="B900" t="str">
        <f>IFERROR(__xludf.DUMMYFUNCTION("""COMPUTED_VALUE"""),"")</f>
        <v/>
      </c>
      <c r="C900" t="str">
        <f>IFERROR(__xludf.DUMMYFUNCTION("""COMPUTED_VALUE"""),"")</f>
        <v/>
      </c>
      <c r="D900" t="str">
        <f>IFERROR(__xludf.DUMMYFUNCTION("""COMPUTED_VALUE"""),"")</f>
        <v/>
      </c>
      <c r="E900" t="str">
        <f>IFERROR(__xludf.DUMMYFUNCTION("""COMPUTED_VALUE"""),"")</f>
        <v/>
      </c>
      <c r="F900" t="str">
        <f>IFERROR(__xludf.DUMMYFUNCTION("""COMPUTED_VALUE"""),"")</f>
        <v/>
      </c>
      <c r="G900" t="str">
        <f>IFERROR(__xludf.DUMMYFUNCTION("""COMPUTED_VALUE"""),"")</f>
        <v/>
      </c>
      <c r="H900" t="str">
        <f>IFERROR(__xludf.DUMMYFUNCTION("""COMPUTED_VALUE"""),"")</f>
        <v/>
      </c>
      <c r="I900" t="str">
        <f>IFERROR(__xludf.DUMMYFUNCTION("""COMPUTED_VALUE"""),"")</f>
        <v/>
      </c>
      <c r="J900" t="str">
        <f>IFERROR(__xludf.DUMMYFUNCTION("""COMPUTED_VALUE"""),"")</f>
        <v/>
      </c>
      <c r="K900" t="str">
        <f>IFERROR(__xludf.DUMMYFUNCTION("""COMPUTED_VALUE"""),"")</f>
        <v/>
      </c>
      <c r="L900" t="str">
        <f>IFERROR(__xludf.DUMMYFUNCTION("""COMPUTED_VALUE"""),"")</f>
        <v/>
      </c>
    </row>
    <row r="901">
      <c r="A901" t="str">
        <f>IFERROR(__xludf.DUMMYFUNCTION("""COMPUTED_VALUE"""),"")</f>
        <v/>
      </c>
      <c r="B901" t="str">
        <f>IFERROR(__xludf.DUMMYFUNCTION("""COMPUTED_VALUE"""),"")</f>
        <v/>
      </c>
      <c r="C901" t="str">
        <f>IFERROR(__xludf.DUMMYFUNCTION("""COMPUTED_VALUE"""),"")</f>
        <v/>
      </c>
      <c r="D901" t="str">
        <f>IFERROR(__xludf.DUMMYFUNCTION("""COMPUTED_VALUE"""),"")</f>
        <v/>
      </c>
      <c r="E901" t="str">
        <f>IFERROR(__xludf.DUMMYFUNCTION("""COMPUTED_VALUE"""),"")</f>
        <v/>
      </c>
      <c r="F901" t="str">
        <f>IFERROR(__xludf.DUMMYFUNCTION("""COMPUTED_VALUE"""),"")</f>
        <v/>
      </c>
      <c r="G901" t="str">
        <f>IFERROR(__xludf.DUMMYFUNCTION("""COMPUTED_VALUE"""),"")</f>
        <v/>
      </c>
      <c r="H901" t="str">
        <f>IFERROR(__xludf.DUMMYFUNCTION("""COMPUTED_VALUE"""),"")</f>
        <v/>
      </c>
      <c r="I901" t="str">
        <f>IFERROR(__xludf.DUMMYFUNCTION("""COMPUTED_VALUE"""),"")</f>
        <v/>
      </c>
      <c r="J901" t="str">
        <f>IFERROR(__xludf.DUMMYFUNCTION("""COMPUTED_VALUE"""),"")</f>
        <v/>
      </c>
      <c r="K901" t="str">
        <f>IFERROR(__xludf.DUMMYFUNCTION("""COMPUTED_VALUE"""),"")</f>
        <v/>
      </c>
      <c r="L901" t="str">
        <f>IFERROR(__xludf.DUMMYFUNCTION("""COMPUTED_VALUE"""),"")</f>
        <v/>
      </c>
    </row>
    <row r="902">
      <c r="A902" t="str">
        <f>IFERROR(__xludf.DUMMYFUNCTION("""COMPUTED_VALUE"""),"")</f>
        <v/>
      </c>
      <c r="B902" t="str">
        <f>IFERROR(__xludf.DUMMYFUNCTION("""COMPUTED_VALUE"""),"")</f>
        <v/>
      </c>
      <c r="C902" t="str">
        <f>IFERROR(__xludf.DUMMYFUNCTION("""COMPUTED_VALUE"""),"")</f>
        <v/>
      </c>
      <c r="D902" t="str">
        <f>IFERROR(__xludf.DUMMYFUNCTION("""COMPUTED_VALUE"""),"")</f>
        <v/>
      </c>
      <c r="E902" t="str">
        <f>IFERROR(__xludf.DUMMYFUNCTION("""COMPUTED_VALUE"""),"")</f>
        <v/>
      </c>
      <c r="F902" t="str">
        <f>IFERROR(__xludf.DUMMYFUNCTION("""COMPUTED_VALUE"""),"")</f>
        <v/>
      </c>
      <c r="G902" t="str">
        <f>IFERROR(__xludf.DUMMYFUNCTION("""COMPUTED_VALUE"""),"")</f>
        <v/>
      </c>
      <c r="H902" t="str">
        <f>IFERROR(__xludf.DUMMYFUNCTION("""COMPUTED_VALUE"""),"")</f>
        <v/>
      </c>
      <c r="I902" t="str">
        <f>IFERROR(__xludf.DUMMYFUNCTION("""COMPUTED_VALUE"""),"")</f>
        <v/>
      </c>
      <c r="J902" t="str">
        <f>IFERROR(__xludf.DUMMYFUNCTION("""COMPUTED_VALUE"""),"")</f>
        <v/>
      </c>
      <c r="K902" t="str">
        <f>IFERROR(__xludf.DUMMYFUNCTION("""COMPUTED_VALUE"""),"")</f>
        <v/>
      </c>
      <c r="L902" t="str">
        <f>IFERROR(__xludf.DUMMYFUNCTION("""COMPUTED_VALUE"""),"")</f>
        <v/>
      </c>
    </row>
    <row r="903">
      <c r="A903" t="str">
        <f>IFERROR(__xludf.DUMMYFUNCTION("""COMPUTED_VALUE"""),"")</f>
        <v/>
      </c>
      <c r="B903" t="str">
        <f>IFERROR(__xludf.DUMMYFUNCTION("""COMPUTED_VALUE"""),"")</f>
        <v/>
      </c>
      <c r="C903" t="str">
        <f>IFERROR(__xludf.DUMMYFUNCTION("""COMPUTED_VALUE"""),"")</f>
        <v/>
      </c>
      <c r="D903" t="str">
        <f>IFERROR(__xludf.DUMMYFUNCTION("""COMPUTED_VALUE"""),"")</f>
        <v/>
      </c>
      <c r="E903" t="str">
        <f>IFERROR(__xludf.DUMMYFUNCTION("""COMPUTED_VALUE"""),"")</f>
        <v/>
      </c>
      <c r="F903" t="str">
        <f>IFERROR(__xludf.DUMMYFUNCTION("""COMPUTED_VALUE"""),"")</f>
        <v/>
      </c>
      <c r="G903" t="str">
        <f>IFERROR(__xludf.DUMMYFUNCTION("""COMPUTED_VALUE"""),"")</f>
        <v/>
      </c>
      <c r="H903" t="str">
        <f>IFERROR(__xludf.DUMMYFUNCTION("""COMPUTED_VALUE"""),"")</f>
        <v/>
      </c>
      <c r="I903" t="str">
        <f>IFERROR(__xludf.DUMMYFUNCTION("""COMPUTED_VALUE"""),"")</f>
        <v/>
      </c>
      <c r="J903" t="str">
        <f>IFERROR(__xludf.DUMMYFUNCTION("""COMPUTED_VALUE"""),"")</f>
        <v/>
      </c>
      <c r="K903" t="str">
        <f>IFERROR(__xludf.DUMMYFUNCTION("""COMPUTED_VALUE"""),"")</f>
        <v/>
      </c>
      <c r="L903" t="str">
        <f>IFERROR(__xludf.DUMMYFUNCTION("""COMPUTED_VALUE"""),"")</f>
        <v/>
      </c>
    </row>
    <row r="904">
      <c r="A904" t="str">
        <f>IFERROR(__xludf.DUMMYFUNCTION("""COMPUTED_VALUE"""),"")</f>
        <v/>
      </c>
      <c r="B904" t="str">
        <f>IFERROR(__xludf.DUMMYFUNCTION("""COMPUTED_VALUE"""),"")</f>
        <v/>
      </c>
      <c r="C904" t="str">
        <f>IFERROR(__xludf.DUMMYFUNCTION("""COMPUTED_VALUE"""),"")</f>
        <v/>
      </c>
      <c r="D904" t="str">
        <f>IFERROR(__xludf.DUMMYFUNCTION("""COMPUTED_VALUE"""),"")</f>
        <v/>
      </c>
      <c r="E904" t="str">
        <f>IFERROR(__xludf.DUMMYFUNCTION("""COMPUTED_VALUE"""),"")</f>
        <v/>
      </c>
      <c r="F904" t="str">
        <f>IFERROR(__xludf.DUMMYFUNCTION("""COMPUTED_VALUE"""),"")</f>
        <v/>
      </c>
      <c r="G904" t="str">
        <f>IFERROR(__xludf.DUMMYFUNCTION("""COMPUTED_VALUE"""),"")</f>
        <v/>
      </c>
      <c r="H904" t="str">
        <f>IFERROR(__xludf.DUMMYFUNCTION("""COMPUTED_VALUE"""),"")</f>
        <v/>
      </c>
      <c r="I904" t="str">
        <f>IFERROR(__xludf.DUMMYFUNCTION("""COMPUTED_VALUE"""),"")</f>
        <v/>
      </c>
      <c r="J904" t="str">
        <f>IFERROR(__xludf.DUMMYFUNCTION("""COMPUTED_VALUE"""),"")</f>
        <v/>
      </c>
      <c r="K904" t="str">
        <f>IFERROR(__xludf.DUMMYFUNCTION("""COMPUTED_VALUE"""),"")</f>
        <v/>
      </c>
      <c r="L904" t="str">
        <f>IFERROR(__xludf.DUMMYFUNCTION("""COMPUTED_VALUE"""),"")</f>
        <v/>
      </c>
    </row>
    <row r="905">
      <c r="A905" t="str">
        <f>IFERROR(__xludf.DUMMYFUNCTION("""COMPUTED_VALUE"""),"")</f>
        <v/>
      </c>
      <c r="B905" t="str">
        <f>IFERROR(__xludf.DUMMYFUNCTION("""COMPUTED_VALUE"""),"")</f>
        <v/>
      </c>
      <c r="C905" t="str">
        <f>IFERROR(__xludf.DUMMYFUNCTION("""COMPUTED_VALUE"""),"")</f>
        <v/>
      </c>
      <c r="D905" t="str">
        <f>IFERROR(__xludf.DUMMYFUNCTION("""COMPUTED_VALUE"""),"")</f>
        <v/>
      </c>
      <c r="E905" t="str">
        <f>IFERROR(__xludf.DUMMYFUNCTION("""COMPUTED_VALUE"""),"")</f>
        <v/>
      </c>
      <c r="F905" t="str">
        <f>IFERROR(__xludf.DUMMYFUNCTION("""COMPUTED_VALUE"""),"")</f>
        <v/>
      </c>
      <c r="G905" t="str">
        <f>IFERROR(__xludf.DUMMYFUNCTION("""COMPUTED_VALUE"""),"")</f>
        <v/>
      </c>
      <c r="H905" t="str">
        <f>IFERROR(__xludf.DUMMYFUNCTION("""COMPUTED_VALUE"""),"")</f>
        <v/>
      </c>
      <c r="I905" t="str">
        <f>IFERROR(__xludf.DUMMYFUNCTION("""COMPUTED_VALUE"""),"")</f>
        <v/>
      </c>
      <c r="J905" t="str">
        <f>IFERROR(__xludf.DUMMYFUNCTION("""COMPUTED_VALUE"""),"")</f>
        <v/>
      </c>
      <c r="K905" t="str">
        <f>IFERROR(__xludf.DUMMYFUNCTION("""COMPUTED_VALUE"""),"")</f>
        <v/>
      </c>
      <c r="L905" t="str">
        <f>IFERROR(__xludf.DUMMYFUNCTION("""COMPUTED_VALUE"""),"")</f>
        <v/>
      </c>
    </row>
    <row r="906">
      <c r="A906" t="str">
        <f>IFERROR(__xludf.DUMMYFUNCTION("""COMPUTED_VALUE"""),"")</f>
        <v/>
      </c>
      <c r="B906" t="str">
        <f>IFERROR(__xludf.DUMMYFUNCTION("""COMPUTED_VALUE"""),"")</f>
        <v/>
      </c>
      <c r="C906" t="str">
        <f>IFERROR(__xludf.DUMMYFUNCTION("""COMPUTED_VALUE"""),"")</f>
        <v/>
      </c>
      <c r="D906" t="str">
        <f>IFERROR(__xludf.DUMMYFUNCTION("""COMPUTED_VALUE"""),"")</f>
        <v/>
      </c>
      <c r="E906" t="str">
        <f>IFERROR(__xludf.DUMMYFUNCTION("""COMPUTED_VALUE"""),"")</f>
        <v/>
      </c>
      <c r="F906" t="str">
        <f>IFERROR(__xludf.DUMMYFUNCTION("""COMPUTED_VALUE"""),"")</f>
        <v/>
      </c>
      <c r="G906" t="str">
        <f>IFERROR(__xludf.DUMMYFUNCTION("""COMPUTED_VALUE"""),"")</f>
        <v/>
      </c>
      <c r="H906" t="str">
        <f>IFERROR(__xludf.DUMMYFUNCTION("""COMPUTED_VALUE"""),"")</f>
        <v/>
      </c>
      <c r="I906" t="str">
        <f>IFERROR(__xludf.DUMMYFUNCTION("""COMPUTED_VALUE"""),"")</f>
        <v/>
      </c>
      <c r="J906" t="str">
        <f>IFERROR(__xludf.DUMMYFUNCTION("""COMPUTED_VALUE"""),"")</f>
        <v/>
      </c>
      <c r="K906" t="str">
        <f>IFERROR(__xludf.DUMMYFUNCTION("""COMPUTED_VALUE"""),"")</f>
        <v/>
      </c>
      <c r="L906" t="str">
        <f>IFERROR(__xludf.DUMMYFUNCTION("""COMPUTED_VALUE"""),"")</f>
        <v/>
      </c>
    </row>
    <row r="907">
      <c r="A907" t="str">
        <f>IFERROR(__xludf.DUMMYFUNCTION("""COMPUTED_VALUE"""),"")</f>
        <v/>
      </c>
      <c r="B907" t="str">
        <f>IFERROR(__xludf.DUMMYFUNCTION("""COMPUTED_VALUE"""),"")</f>
        <v/>
      </c>
      <c r="C907" t="str">
        <f>IFERROR(__xludf.DUMMYFUNCTION("""COMPUTED_VALUE"""),"")</f>
        <v/>
      </c>
      <c r="D907" t="str">
        <f>IFERROR(__xludf.DUMMYFUNCTION("""COMPUTED_VALUE"""),"")</f>
        <v/>
      </c>
      <c r="E907" t="str">
        <f>IFERROR(__xludf.DUMMYFUNCTION("""COMPUTED_VALUE"""),"")</f>
        <v/>
      </c>
      <c r="F907" t="str">
        <f>IFERROR(__xludf.DUMMYFUNCTION("""COMPUTED_VALUE"""),"")</f>
        <v/>
      </c>
      <c r="G907" t="str">
        <f>IFERROR(__xludf.DUMMYFUNCTION("""COMPUTED_VALUE"""),"")</f>
        <v/>
      </c>
      <c r="H907" t="str">
        <f>IFERROR(__xludf.DUMMYFUNCTION("""COMPUTED_VALUE"""),"")</f>
        <v/>
      </c>
      <c r="I907" t="str">
        <f>IFERROR(__xludf.DUMMYFUNCTION("""COMPUTED_VALUE"""),"")</f>
        <v/>
      </c>
      <c r="J907" t="str">
        <f>IFERROR(__xludf.DUMMYFUNCTION("""COMPUTED_VALUE"""),"")</f>
        <v/>
      </c>
      <c r="K907" t="str">
        <f>IFERROR(__xludf.DUMMYFUNCTION("""COMPUTED_VALUE"""),"")</f>
        <v/>
      </c>
      <c r="L907" t="str">
        <f>IFERROR(__xludf.DUMMYFUNCTION("""COMPUTED_VALUE"""),"")</f>
        <v/>
      </c>
    </row>
    <row r="908">
      <c r="A908" t="str">
        <f>IFERROR(__xludf.DUMMYFUNCTION("""COMPUTED_VALUE"""),"")</f>
        <v/>
      </c>
      <c r="B908" t="str">
        <f>IFERROR(__xludf.DUMMYFUNCTION("""COMPUTED_VALUE"""),"")</f>
        <v/>
      </c>
      <c r="C908" t="str">
        <f>IFERROR(__xludf.DUMMYFUNCTION("""COMPUTED_VALUE"""),"")</f>
        <v/>
      </c>
      <c r="D908" t="str">
        <f>IFERROR(__xludf.DUMMYFUNCTION("""COMPUTED_VALUE"""),"")</f>
        <v/>
      </c>
      <c r="E908" t="str">
        <f>IFERROR(__xludf.DUMMYFUNCTION("""COMPUTED_VALUE"""),"")</f>
        <v/>
      </c>
      <c r="F908" t="str">
        <f>IFERROR(__xludf.DUMMYFUNCTION("""COMPUTED_VALUE"""),"")</f>
        <v/>
      </c>
      <c r="G908" t="str">
        <f>IFERROR(__xludf.DUMMYFUNCTION("""COMPUTED_VALUE"""),"")</f>
        <v/>
      </c>
      <c r="H908" t="str">
        <f>IFERROR(__xludf.DUMMYFUNCTION("""COMPUTED_VALUE"""),"")</f>
        <v/>
      </c>
      <c r="I908" t="str">
        <f>IFERROR(__xludf.DUMMYFUNCTION("""COMPUTED_VALUE"""),"")</f>
        <v/>
      </c>
      <c r="J908" t="str">
        <f>IFERROR(__xludf.DUMMYFUNCTION("""COMPUTED_VALUE"""),"")</f>
        <v/>
      </c>
      <c r="K908" t="str">
        <f>IFERROR(__xludf.DUMMYFUNCTION("""COMPUTED_VALUE"""),"")</f>
        <v/>
      </c>
      <c r="L908" t="str">
        <f>IFERROR(__xludf.DUMMYFUNCTION("""COMPUTED_VALUE"""),"")</f>
        <v/>
      </c>
    </row>
    <row r="909">
      <c r="A909" t="str">
        <f>IFERROR(__xludf.DUMMYFUNCTION("""COMPUTED_VALUE"""),"")</f>
        <v/>
      </c>
      <c r="B909" t="str">
        <f>IFERROR(__xludf.DUMMYFUNCTION("""COMPUTED_VALUE"""),"")</f>
        <v/>
      </c>
      <c r="C909" t="str">
        <f>IFERROR(__xludf.DUMMYFUNCTION("""COMPUTED_VALUE"""),"")</f>
        <v/>
      </c>
      <c r="D909" t="str">
        <f>IFERROR(__xludf.DUMMYFUNCTION("""COMPUTED_VALUE"""),"")</f>
        <v/>
      </c>
      <c r="E909" t="str">
        <f>IFERROR(__xludf.DUMMYFUNCTION("""COMPUTED_VALUE"""),"")</f>
        <v/>
      </c>
      <c r="F909" t="str">
        <f>IFERROR(__xludf.DUMMYFUNCTION("""COMPUTED_VALUE"""),"")</f>
        <v/>
      </c>
      <c r="G909" t="str">
        <f>IFERROR(__xludf.DUMMYFUNCTION("""COMPUTED_VALUE"""),"")</f>
        <v/>
      </c>
      <c r="H909" t="str">
        <f>IFERROR(__xludf.DUMMYFUNCTION("""COMPUTED_VALUE"""),"")</f>
        <v/>
      </c>
      <c r="I909" t="str">
        <f>IFERROR(__xludf.DUMMYFUNCTION("""COMPUTED_VALUE"""),"")</f>
        <v/>
      </c>
      <c r="J909" t="str">
        <f>IFERROR(__xludf.DUMMYFUNCTION("""COMPUTED_VALUE"""),"")</f>
        <v/>
      </c>
      <c r="K909" t="str">
        <f>IFERROR(__xludf.DUMMYFUNCTION("""COMPUTED_VALUE"""),"")</f>
        <v/>
      </c>
      <c r="L909" t="str">
        <f>IFERROR(__xludf.DUMMYFUNCTION("""COMPUTED_VALUE"""),"")</f>
        <v/>
      </c>
    </row>
    <row r="910">
      <c r="A910" t="str">
        <f>IFERROR(__xludf.DUMMYFUNCTION("""COMPUTED_VALUE"""),"")</f>
        <v/>
      </c>
      <c r="B910" t="str">
        <f>IFERROR(__xludf.DUMMYFUNCTION("""COMPUTED_VALUE"""),"")</f>
        <v/>
      </c>
      <c r="C910" t="str">
        <f>IFERROR(__xludf.DUMMYFUNCTION("""COMPUTED_VALUE"""),"")</f>
        <v/>
      </c>
      <c r="D910" t="str">
        <f>IFERROR(__xludf.DUMMYFUNCTION("""COMPUTED_VALUE"""),"")</f>
        <v/>
      </c>
      <c r="E910" t="str">
        <f>IFERROR(__xludf.DUMMYFUNCTION("""COMPUTED_VALUE"""),"")</f>
        <v/>
      </c>
      <c r="F910" t="str">
        <f>IFERROR(__xludf.DUMMYFUNCTION("""COMPUTED_VALUE"""),"")</f>
        <v/>
      </c>
      <c r="G910" t="str">
        <f>IFERROR(__xludf.DUMMYFUNCTION("""COMPUTED_VALUE"""),"")</f>
        <v/>
      </c>
      <c r="H910" t="str">
        <f>IFERROR(__xludf.DUMMYFUNCTION("""COMPUTED_VALUE"""),"")</f>
        <v/>
      </c>
      <c r="I910" t="str">
        <f>IFERROR(__xludf.DUMMYFUNCTION("""COMPUTED_VALUE"""),"")</f>
        <v/>
      </c>
      <c r="J910" t="str">
        <f>IFERROR(__xludf.DUMMYFUNCTION("""COMPUTED_VALUE"""),"")</f>
        <v/>
      </c>
      <c r="K910" t="str">
        <f>IFERROR(__xludf.DUMMYFUNCTION("""COMPUTED_VALUE"""),"")</f>
        <v/>
      </c>
      <c r="L910" t="str">
        <f>IFERROR(__xludf.DUMMYFUNCTION("""COMPUTED_VALUE"""),"")</f>
        <v/>
      </c>
    </row>
    <row r="911">
      <c r="A911" t="str">
        <f>IFERROR(__xludf.DUMMYFUNCTION("""COMPUTED_VALUE"""),"")</f>
        <v/>
      </c>
      <c r="B911" t="str">
        <f>IFERROR(__xludf.DUMMYFUNCTION("""COMPUTED_VALUE"""),"")</f>
        <v/>
      </c>
      <c r="C911" t="str">
        <f>IFERROR(__xludf.DUMMYFUNCTION("""COMPUTED_VALUE"""),"")</f>
        <v/>
      </c>
      <c r="D911" t="str">
        <f>IFERROR(__xludf.DUMMYFUNCTION("""COMPUTED_VALUE"""),"")</f>
        <v/>
      </c>
      <c r="E911" t="str">
        <f>IFERROR(__xludf.DUMMYFUNCTION("""COMPUTED_VALUE"""),"")</f>
        <v/>
      </c>
      <c r="F911" t="str">
        <f>IFERROR(__xludf.DUMMYFUNCTION("""COMPUTED_VALUE"""),"")</f>
        <v/>
      </c>
      <c r="G911" t="str">
        <f>IFERROR(__xludf.DUMMYFUNCTION("""COMPUTED_VALUE"""),"")</f>
        <v/>
      </c>
      <c r="H911" t="str">
        <f>IFERROR(__xludf.DUMMYFUNCTION("""COMPUTED_VALUE"""),"")</f>
        <v/>
      </c>
      <c r="I911" t="str">
        <f>IFERROR(__xludf.DUMMYFUNCTION("""COMPUTED_VALUE"""),"")</f>
        <v/>
      </c>
      <c r="J911" t="str">
        <f>IFERROR(__xludf.DUMMYFUNCTION("""COMPUTED_VALUE"""),"")</f>
        <v/>
      </c>
      <c r="K911" t="str">
        <f>IFERROR(__xludf.DUMMYFUNCTION("""COMPUTED_VALUE"""),"")</f>
        <v/>
      </c>
      <c r="L911" t="str">
        <f>IFERROR(__xludf.DUMMYFUNCTION("""COMPUTED_VALUE"""),"")</f>
        <v/>
      </c>
    </row>
    <row r="912">
      <c r="A912" t="str">
        <f>IFERROR(__xludf.DUMMYFUNCTION("""COMPUTED_VALUE"""),"")</f>
        <v/>
      </c>
      <c r="B912" t="str">
        <f>IFERROR(__xludf.DUMMYFUNCTION("""COMPUTED_VALUE"""),"")</f>
        <v/>
      </c>
      <c r="C912" t="str">
        <f>IFERROR(__xludf.DUMMYFUNCTION("""COMPUTED_VALUE"""),"")</f>
        <v/>
      </c>
      <c r="D912" t="str">
        <f>IFERROR(__xludf.DUMMYFUNCTION("""COMPUTED_VALUE"""),"")</f>
        <v/>
      </c>
      <c r="E912" t="str">
        <f>IFERROR(__xludf.DUMMYFUNCTION("""COMPUTED_VALUE"""),"")</f>
        <v/>
      </c>
      <c r="F912" t="str">
        <f>IFERROR(__xludf.DUMMYFUNCTION("""COMPUTED_VALUE"""),"")</f>
        <v/>
      </c>
      <c r="G912" t="str">
        <f>IFERROR(__xludf.DUMMYFUNCTION("""COMPUTED_VALUE"""),"")</f>
        <v/>
      </c>
      <c r="H912" t="str">
        <f>IFERROR(__xludf.DUMMYFUNCTION("""COMPUTED_VALUE"""),"")</f>
        <v/>
      </c>
      <c r="I912" t="str">
        <f>IFERROR(__xludf.DUMMYFUNCTION("""COMPUTED_VALUE"""),"")</f>
        <v/>
      </c>
      <c r="J912" t="str">
        <f>IFERROR(__xludf.DUMMYFUNCTION("""COMPUTED_VALUE"""),"")</f>
        <v/>
      </c>
      <c r="K912" t="str">
        <f>IFERROR(__xludf.DUMMYFUNCTION("""COMPUTED_VALUE"""),"")</f>
        <v/>
      </c>
      <c r="L912" t="str">
        <f>IFERROR(__xludf.DUMMYFUNCTION("""COMPUTED_VALUE"""),"")</f>
        <v/>
      </c>
    </row>
    <row r="913">
      <c r="A913" t="str">
        <f>IFERROR(__xludf.DUMMYFUNCTION("""COMPUTED_VALUE"""),"")</f>
        <v/>
      </c>
      <c r="B913" t="str">
        <f>IFERROR(__xludf.DUMMYFUNCTION("""COMPUTED_VALUE"""),"")</f>
        <v/>
      </c>
      <c r="C913" t="str">
        <f>IFERROR(__xludf.DUMMYFUNCTION("""COMPUTED_VALUE"""),"")</f>
        <v/>
      </c>
      <c r="D913" t="str">
        <f>IFERROR(__xludf.DUMMYFUNCTION("""COMPUTED_VALUE"""),"")</f>
        <v/>
      </c>
      <c r="E913" t="str">
        <f>IFERROR(__xludf.DUMMYFUNCTION("""COMPUTED_VALUE"""),"")</f>
        <v/>
      </c>
      <c r="F913" t="str">
        <f>IFERROR(__xludf.DUMMYFUNCTION("""COMPUTED_VALUE"""),"")</f>
        <v/>
      </c>
      <c r="G913" t="str">
        <f>IFERROR(__xludf.DUMMYFUNCTION("""COMPUTED_VALUE"""),"")</f>
        <v/>
      </c>
      <c r="H913" t="str">
        <f>IFERROR(__xludf.DUMMYFUNCTION("""COMPUTED_VALUE"""),"")</f>
        <v/>
      </c>
      <c r="I913" t="str">
        <f>IFERROR(__xludf.DUMMYFUNCTION("""COMPUTED_VALUE"""),"")</f>
        <v/>
      </c>
      <c r="J913" t="str">
        <f>IFERROR(__xludf.DUMMYFUNCTION("""COMPUTED_VALUE"""),"")</f>
        <v/>
      </c>
      <c r="K913" t="str">
        <f>IFERROR(__xludf.DUMMYFUNCTION("""COMPUTED_VALUE"""),"")</f>
        <v/>
      </c>
      <c r="L913" t="str">
        <f>IFERROR(__xludf.DUMMYFUNCTION("""COMPUTED_VALUE"""),"")</f>
        <v/>
      </c>
    </row>
    <row r="914">
      <c r="A914" t="str">
        <f>IFERROR(__xludf.DUMMYFUNCTION("""COMPUTED_VALUE"""),"")</f>
        <v/>
      </c>
      <c r="B914" t="str">
        <f>IFERROR(__xludf.DUMMYFUNCTION("""COMPUTED_VALUE"""),"")</f>
        <v/>
      </c>
      <c r="C914" t="str">
        <f>IFERROR(__xludf.DUMMYFUNCTION("""COMPUTED_VALUE"""),"")</f>
        <v/>
      </c>
      <c r="D914" t="str">
        <f>IFERROR(__xludf.DUMMYFUNCTION("""COMPUTED_VALUE"""),"")</f>
        <v/>
      </c>
      <c r="E914" t="str">
        <f>IFERROR(__xludf.DUMMYFUNCTION("""COMPUTED_VALUE"""),"")</f>
        <v/>
      </c>
      <c r="F914" t="str">
        <f>IFERROR(__xludf.DUMMYFUNCTION("""COMPUTED_VALUE"""),"")</f>
        <v/>
      </c>
      <c r="G914" t="str">
        <f>IFERROR(__xludf.DUMMYFUNCTION("""COMPUTED_VALUE"""),"")</f>
        <v/>
      </c>
      <c r="H914" t="str">
        <f>IFERROR(__xludf.DUMMYFUNCTION("""COMPUTED_VALUE"""),"")</f>
        <v/>
      </c>
      <c r="I914" t="str">
        <f>IFERROR(__xludf.DUMMYFUNCTION("""COMPUTED_VALUE"""),"")</f>
        <v/>
      </c>
      <c r="J914" t="str">
        <f>IFERROR(__xludf.DUMMYFUNCTION("""COMPUTED_VALUE"""),"")</f>
        <v/>
      </c>
      <c r="K914" t="str">
        <f>IFERROR(__xludf.DUMMYFUNCTION("""COMPUTED_VALUE"""),"")</f>
        <v/>
      </c>
      <c r="L914" t="str">
        <f>IFERROR(__xludf.DUMMYFUNCTION("""COMPUTED_VALUE"""),"")</f>
        <v/>
      </c>
    </row>
    <row r="915">
      <c r="A915" t="str">
        <f>IFERROR(__xludf.DUMMYFUNCTION("""COMPUTED_VALUE"""),"")</f>
        <v/>
      </c>
      <c r="B915" t="str">
        <f>IFERROR(__xludf.DUMMYFUNCTION("""COMPUTED_VALUE"""),"")</f>
        <v/>
      </c>
      <c r="C915" t="str">
        <f>IFERROR(__xludf.DUMMYFUNCTION("""COMPUTED_VALUE"""),"")</f>
        <v/>
      </c>
      <c r="D915" t="str">
        <f>IFERROR(__xludf.DUMMYFUNCTION("""COMPUTED_VALUE"""),"")</f>
        <v/>
      </c>
      <c r="E915" t="str">
        <f>IFERROR(__xludf.DUMMYFUNCTION("""COMPUTED_VALUE"""),"")</f>
        <v/>
      </c>
      <c r="F915" t="str">
        <f>IFERROR(__xludf.DUMMYFUNCTION("""COMPUTED_VALUE"""),"")</f>
        <v/>
      </c>
      <c r="G915" t="str">
        <f>IFERROR(__xludf.DUMMYFUNCTION("""COMPUTED_VALUE"""),"")</f>
        <v/>
      </c>
      <c r="H915" t="str">
        <f>IFERROR(__xludf.DUMMYFUNCTION("""COMPUTED_VALUE"""),"")</f>
        <v/>
      </c>
      <c r="I915" t="str">
        <f>IFERROR(__xludf.DUMMYFUNCTION("""COMPUTED_VALUE"""),"")</f>
        <v/>
      </c>
      <c r="J915" t="str">
        <f>IFERROR(__xludf.DUMMYFUNCTION("""COMPUTED_VALUE"""),"")</f>
        <v/>
      </c>
      <c r="K915" t="str">
        <f>IFERROR(__xludf.DUMMYFUNCTION("""COMPUTED_VALUE"""),"")</f>
        <v/>
      </c>
      <c r="L915" t="str">
        <f>IFERROR(__xludf.DUMMYFUNCTION("""COMPUTED_VALUE"""),"")</f>
        <v/>
      </c>
    </row>
    <row r="916">
      <c r="A916" t="str">
        <f>IFERROR(__xludf.DUMMYFUNCTION("""COMPUTED_VALUE"""),"")</f>
        <v/>
      </c>
      <c r="B916" t="str">
        <f>IFERROR(__xludf.DUMMYFUNCTION("""COMPUTED_VALUE"""),"")</f>
        <v/>
      </c>
      <c r="C916" t="str">
        <f>IFERROR(__xludf.DUMMYFUNCTION("""COMPUTED_VALUE"""),"")</f>
        <v/>
      </c>
      <c r="D916" t="str">
        <f>IFERROR(__xludf.DUMMYFUNCTION("""COMPUTED_VALUE"""),"")</f>
        <v/>
      </c>
      <c r="E916" t="str">
        <f>IFERROR(__xludf.DUMMYFUNCTION("""COMPUTED_VALUE"""),"")</f>
        <v/>
      </c>
      <c r="F916" t="str">
        <f>IFERROR(__xludf.DUMMYFUNCTION("""COMPUTED_VALUE"""),"")</f>
        <v/>
      </c>
      <c r="G916" t="str">
        <f>IFERROR(__xludf.DUMMYFUNCTION("""COMPUTED_VALUE"""),"")</f>
        <v/>
      </c>
      <c r="H916" t="str">
        <f>IFERROR(__xludf.DUMMYFUNCTION("""COMPUTED_VALUE"""),"")</f>
        <v/>
      </c>
      <c r="I916" t="str">
        <f>IFERROR(__xludf.DUMMYFUNCTION("""COMPUTED_VALUE"""),"")</f>
        <v/>
      </c>
      <c r="J916" t="str">
        <f>IFERROR(__xludf.DUMMYFUNCTION("""COMPUTED_VALUE"""),"")</f>
        <v/>
      </c>
      <c r="K916" t="str">
        <f>IFERROR(__xludf.DUMMYFUNCTION("""COMPUTED_VALUE"""),"")</f>
        <v/>
      </c>
      <c r="L916" t="str">
        <f>IFERROR(__xludf.DUMMYFUNCTION("""COMPUTED_VALUE"""),"")</f>
        <v/>
      </c>
    </row>
    <row r="917">
      <c r="A917" t="str">
        <f>IFERROR(__xludf.DUMMYFUNCTION("""COMPUTED_VALUE"""),"")</f>
        <v/>
      </c>
      <c r="B917" t="str">
        <f>IFERROR(__xludf.DUMMYFUNCTION("""COMPUTED_VALUE"""),"")</f>
        <v/>
      </c>
      <c r="C917" t="str">
        <f>IFERROR(__xludf.DUMMYFUNCTION("""COMPUTED_VALUE"""),"")</f>
        <v/>
      </c>
      <c r="D917" t="str">
        <f>IFERROR(__xludf.DUMMYFUNCTION("""COMPUTED_VALUE"""),"")</f>
        <v/>
      </c>
      <c r="E917" t="str">
        <f>IFERROR(__xludf.DUMMYFUNCTION("""COMPUTED_VALUE"""),"")</f>
        <v/>
      </c>
      <c r="F917" t="str">
        <f>IFERROR(__xludf.DUMMYFUNCTION("""COMPUTED_VALUE"""),"")</f>
        <v/>
      </c>
      <c r="G917" t="str">
        <f>IFERROR(__xludf.DUMMYFUNCTION("""COMPUTED_VALUE"""),"")</f>
        <v/>
      </c>
      <c r="H917" t="str">
        <f>IFERROR(__xludf.DUMMYFUNCTION("""COMPUTED_VALUE"""),"")</f>
        <v/>
      </c>
      <c r="I917" t="str">
        <f>IFERROR(__xludf.DUMMYFUNCTION("""COMPUTED_VALUE"""),"")</f>
        <v/>
      </c>
      <c r="J917" t="str">
        <f>IFERROR(__xludf.DUMMYFUNCTION("""COMPUTED_VALUE"""),"")</f>
        <v/>
      </c>
      <c r="K917" t="str">
        <f>IFERROR(__xludf.DUMMYFUNCTION("""COMPUTED_VALUE"""),"")</f>
        <v/>
      </c>
      <c r="L917" t="str">
        <f>IFERROR(__xludf.DUMMYFUNCTION("""COMPUTED_VALUE"""),"")</f>
        <v/>
      </c>
    </row>
    <row r="918">
      <c r="A918" t="str">
        <f>IFERROR(__xludf.DUMMYFUNCTION("""COMPUTED_VALUE"""),"")</f>
        <v/>
      </c>
      <c r="B918" t="str">
        <f>IFERROR(__xludf.DUMMYFUNCTION("""COMPUTED_VALUE"""),"")</f>
        <v/>
      </c>
      <c r="C918" t="str">
        <f>IFERROR(__xludf.DUMMYFUNCTION("""COMPUTED_VALUE"""),"")</f>
        <v/>
      </c>
      <c r="D918" t="str">
        <f>IFERROR(__xludf.DUMMYFUNCTION("""COMPUTED_VALUE"""),"")</f>
        <v/>
      </c>
      <c r="E918" t="str">
        <f>IFERROR(__xludf.DUMMYFUNCTION("""COMPUTED_VALUE"""),"")</f>
        <v/>
      </c>
      <c r="F918" t="str">
        <f>IFERROR(__xludf.DUMMYFUNCTION("""COMPUTED_VALUE"""),"")</f>
        <v/>
      </c>
      <c r="G918" t="str">
        <f>IFERROR(__xludf.DUMMYFUNCTION("""COMPUTED_VALUE"""),"")</f>
        <v/>
      </c>
      <c r="H918" t="str">
        <f>IFERROR(__xludf.DUMMYFUNCTION("""COMPUTED_VALUE"""),"")</f>
        <v/>
      </c>
      <c r="I918" t="str">
        <f>IFERROR(__xludf.DUMMYFUNCTION("""COMPUTED_VALUE"""),"")</f>
        <v/>
      </c>
      <c r="J918" t="str">
        <f>IFERROR(__xludf.DUMMYFUNCTION("""COMPUTED_VALUE"""),"")</f>
        <v/>
      </c>
      <c r="K918" t="str">
        <f>IFERROR(__xludf.DUMMYFUNCTION("""COMPUTED_VALUE"""),"")</f>
        <v/>
      </c>
      <c r="L918" t="str">
        <f>IFERROR(__xludf.DUMMYFUNCTION("""COMPUTED_VALUE"""),"")</f>
        <v/>
      </c>
    </row>
    <row r="919">
      <c r="A919" t="str">
        <f>IFERROR(__xludf.DUMMYFUNCTION("""COMPUTED_VALUE"""),"")</f>
        <v/>
      </c>
      <c r="B919" t="str">
        <f>IFERROR(__xludf.DUMMYFUNCTION("""COMPUTED_VALUE"""),"")</f>
        <v/>
      </c>
      <c r="C919" t="str">
        <f>IFERROR(__xludf.DUMMYFUNCTION("""COMPUTED_VALUE"""),"")</f>
        <v/>
      </c>
      <c r="D919" t="str">
        <f>IFERROR(__xludf.DUMMYFUNCTION("""COMPUTED_VALUE"""),"")</f>
        <v/>
      </c>
      <c r="E919" t="str">
        <f>IFERROR(__xludf.DUMMYFUNCTION("""COMPUTED_VALUE"""),"")</f>
        <v/>
      </c>
      <c r="F919" t="str">
        <f>IFERROR(__xludf.DUMMYFUNCTION("""COMPUTED_VALUE"""),"")</f>
        <v/>
      </c>
      <c r="G919" t="str">
        <f>IFERROR(__xludf.DUMMYFUNCTION("""COMPUTED_VALUE"""),"")</f>
        <v/>
      </c>
      <c r="H919" t="str">
        <f>IFERROR(__xludf.DUMMYFUNCTION("""COMPUTED_VALUE"""),"")</f>
        <v/>
      </c>
      <c r="I919" t="str">
        <f>IFERROR(__xludf.DUMMYFUNCTION("""COMPUTED_VALUE"""),"")</f>
        <v/>
      </c>
      <c r="J919" t="str">
        <f>IFERROR(__xludf.DUMMYFUNCTION("""COMPUTED_VALUE"""),"")</f>
        <v/>
      </c>
      <c r="K919" t="str">
        <f>IFERROR(__xludf.DUMMYFUNCTION("""COMPUTED_VALUE"""),"")</f>
        <v/>
      </c>
      <c r="L919" t="str">
        <f>IFERROR(__xludf.DUMMYFUNCTION("""COMPUTED_VALUE"""),"")</f>
        <v/>
      </c>
    </row>
    <row r="920">
      <c r="A920" t="str">
        <f>IFERROR(__xludf.DUMMYFUNCTION("""COMPUTED_VALUE"""),"")</f>
        <v/>
      </c>
      <c r="B920" t="str">
        <f>IFERROR(__xludf.DUMMYFUNCTION("""COMPUTED_VALUE"""),"")</f>
        <v/>
      </c>
      <c r="C920" t="str">
        <f>IFERROR(__xludf.DUMMYFUNCTION("""COMPUTED_VALUE"""),"")</f>
        <v/>
      </c>
      <c r="D920" t="str">
        <f>IFERROR(__xludf.DUMMYFUNCTION("""COMPUTED_VALUE"""),"")</f>
        <v/>
      </c>
      <c r="E920" t="str">
        <f>IFERROR(__xludf.DUMMYFUNCTION("""COMPUTED_VALUE"""),"")</f>
        <v/>
      </c>
      <c r="F920" t="str">
        <f>IFERROR(__xludf.DUMMYFUNCTION("""COMPUTED_VALUE"""),"")</f>
        <v/>
      </c>
      <c r="G920" t="str">
        <f>IFERROR(__xludf.DUMMYFUNCTION("""COMPUTED_VALUE"""),"")</f>
        <v/>
      </c>
      <c r="H920" t="str">
        <f>IFERROR(__xludf.DUMMYFUNCTION("""COMPUTED_VALUE"""),"")</f>
        <v/>
      </c>
      <c r="I920" t="str">
        <f>IFERROR(__xludf.DUMMYFUNCTION("""COMPUTED_VALUE"""),"")</f>
        <v/>
      </c>
      <c r="J920" t="str">
        <f>IFERROR(__xludf.DUMMYFUNCTION("""COMPUTED_VALUE"""),"")</f>
        <v/>
      </c>
      <c r="K920" t="str">
        <f>IFERROR(__xludf.DUMMYFUNCTION("""COMPUTED_VALUE"""),"")</f>
        <v/>
      </c>
      <c r="L920" t="str">
        <f>IFERROR(__xludf.DUMMYFUNCTION("""COMPUTED_VALUE"""),"")</f>
        <v/>
      </c>
    </row>
    <row r="921">
      <c r="A921" t="str">
        <f>IFERROR(__xludf.DUMMYFUNCTION("""COMPUTED_VALUE"""),"")</f>
        <v/>
      </c>
      <c r="B921" t="str">
        <f>IFERROR(__xludf.DUMMYFUNCTION("""COMPUTED_VALUE"""),"")</f>
        <v/>
      </c>
      <c r="C921" t="str">
        <f>IFERROR(__xludf.DUMMYFUNCTION("""COMPUTED_VALUE"""),"")</f>
        <v/>
      </c>
      <c r="D921" t="str">
        <f>IFERROR(__xludf.DUMMYFUNCTION("""COMPUTED_VALUE"""),"")</f>
        <v/>
      </c>
      <c r="E921" t="str">
        <f>IFERROR(__xludf.DUMMYFUNCTION("""COMPUTED_VALUE"""),"")</f>
        <v/>
      </c>
      <c r="F921" t="str">
        <f>IFERROR(__xludf.DUMMYFUNCTION("""COMPUTED_VALUE"""),"")</f>
        <v/>
      </c>
      <c r="G921" t="str">
        <f>IFERROR(__xludf.DUMMYFUNCTION("""COMPUTED_VALUE"""),"")</f>
        <v/>
      </c>
      <c r="H921" t="str">
        <f>IFERROR(__xludf.DUMMYFUNCTION("""COMPUTED_VALUE"""),"")</f>
        <v/>
      </c>
      <c r="I921" t="str">
        <f>IFERROR(__xludf.DUMMYFUNCTION("""COMPUTED_VALUE"""),"")</f>
        <v/>
      </c>
      <c r="J921" t="str">
        <f>IFERROR(__xludf.DUMMYFUNCTION("""COMPUTED_VALUE"""),"")</f>
        <v/>
      </c>
      <c r="K921" t="str">
        <f>IFERROR(__xludf.DUMMYFUNCTION("""COMPUTED_VALUE"""),"")</f>
        <v/>
      </c>
      <c r="L921" t="str">
        <f>IFERROR(__xludf.DUMMYFUNCTION("""COMPUTED_VALUE"""),"")</f>
        <v/>
      </c>
    </row>
    <row r="922">
      <c r="A922" t="str">
        <f>IFERROR(__xludf.DUMMYFUNCTION("""COMPUTED_VALUE"""),"")</f>
        <v/>
      </c>
      <c r="B922" t="str">
        <f>IFERROR(__xludf.DUMMYFUNCTION("""COMPUTED_VALUE"""),"")</f>
        <v/>
      </c>
      <c r="C922" t="str">
        <f>IFERROR(__xludf.DUMMYFUNCTION("""COMPUTED_VALUE"""),"")</f>
        <v/>
      </c>
      <c r="D922" t="str">
        <f>IFERROR(__xludf.DUMMYFUNCTION("""COMPUTED_VALUE"""),"")</f>
        <v/>
      </c>
      <c r="E922" t="str">
        <f>IFERROR(__xludf.DUMMYFUNCTION("""COMPUTED_VALUE"""),"")</f>
        <v/>
      </c>
      <c r="F922" t="str">
        <f>IFERROR(__xludf.DUMMYFUNCTION("""COMPUTED_VALUE"""),"")</f>
        <v/>
      </c>
      <c r="G922" t="str">
        <f>IFERROR(__xludf.DUMMYFUNCTION("""COMPUTED_VALUE"""),"")</f>
        <v/>
      </c>
      <c r="H922" t="str">
        <f>IFERROR(__xludf.DUMMYFUNCTION("""COMPUTED_VALUE"""),"")</f>
        <v/>
      </c>
      <c r="I922" t="str">
        <f>IFERROR(__xludf.DUMMYFUNCTION("""COMPUTED_VALUE"""),"")</f>
        <v/>
      </c>
      <c r="J922" t="str">
        <f>IFERROR(__xludf.DUMMYFUNCTION("""COMPUTED_VALUE"""),"")</f>
        <v/>
      </c>
      <c r="K922" t="str">
        <f>IFERROR(__xludf.DUMMYFUNCTION("""COMPUTED_VALUE"""),"")</f>
        <v/>
      </c>
      <c r="L922" t="str">
        <f>IFERROR(__xludf.DUMMYFUNCTION("""COMPUTED_VALUE"""),"")</f>
        <v/>
      </c>
    </row>
    <row r="923">
      <c r="A923" t="str">
        <f>IFERROR(__xludf.DUMMYFUNCTION("""COMPUTED_VALUE"""),"")</f>
        <v/>
      </c>
      <c r="B923" t="str">
        <f>IFERROR(__xludf.DUMMYFUNCTION("""COMPUTED_VALUE"""),"")</f>
        <v/>
      </c>
      <c r="C923" t="str">
        <f>IFERROR(__xludf.DUMMYFUNCTION("""COMPUTED_VALUE"""),"")</f>
        <v/>
      </c>
      <c r="D923" t="str">
        <f>IFERROR(__xludf.DUMMYFUNCTION("""COMPUTED_VALUE"""),"")</f>
        <v/>
      </c>
      <c r="E923" t="str">
        <f>IFERROR(__xludf.DUMMYFUNCTION("""COMPUTED_VALUE"""),"")</f>
        <v/>
      </c>
      <c r="F923" t="str">
        <f>IFERROR(__xludf.DUMMYFUNCTION("""COMPUTED_VALUE"""),"")</f>
        <v/>
      </c>
      <c r="G923" t="str">
        <f>IFERROR(__xludf.DUMMYFUNCTION("""COMPUTED_VALUE"""),"")</f>
        <v/>
      </c>
      <c r="H923" t="str">
        <f>IFERROR(__xludf.DUMMYFUNCTION("""COMPUTED_VALUE"""),"")</f>
        <v/>
      </c>
      <c r="I923" t="str">
        <f>IFERROR(__xludf.DUMMYFUNCTION("""COMPUTED_VALUE"""),"")</f>
        <v/>
      </c>
      <c r="J923" t="str">
        <f>IFERROR(__xludf.DUMMYFUNCTION("""COMPUTED_VALUE"""),"")</f>
        <v/>
      </c>
      <c r="K923" t="str">
        <f>IFERROR(__xludf.DUMMYFUNCTION("""COMPUTED_VALUE"""),"")</f>
        <v/>
      </c>
      <c r="L923" t="str">
        <f>IFERROR(__xludf.DUMMYFUNCTION("""COMPUTED_VALUE"""),"")</f>
        <v/>
      </c>
    </row>
    <row r="924">
      <c r="A924" t="str">
        <f>IFERROR(__xludf.DUMMYFUNCTION("""COMPUTED_VALUE"""),"")</f>
        <v/>
      </c>
      <c r="B924" t="str">
        <f>IFERROR(__xludf.DUMMYFUNCTION("""COMPUTED_VALUE"""),"")</f>
        <v/>
      </c>
      <c r="C924" t="str">
        <f>IFERROR(__xludf.DUMMYFUNCTION("""COMPUTED_VALUE"""),"")</f>
        <v/>
      </c>
      <c r="D924" t="str">
        <f>IFERROR(__xludf.DUMMYFUNCTION("""COMPUTED_VALUE"""),"")</f>
        <v/>
      </c>
      <c r="E924" t="str">
        <f>IFERROR(__xludf.DUMMYFUNCTION("""COMPUTED_VALUE"""),"")</f>
        <v/>
      </c>
      <c r="F924" t="str">
        <f>IFERROR(__xludf.DUMMYFUNCTION("""COMPUTED_VALUE"""),"")</f>
        <v/>
      </c>
      <c r="G924" t="str">
        <f>IFERROR(__xludf.DUMMYFUNCTION("""COMPUTED_VALUE"""),"")</f>
        <v/>
      </c>
      <c r="H924" t="str">
        <f>IFERROR(__xludf.DUMMYFUNCTION("""COMPUTED_VALUE"""),"")</f>
        <v/>
      </c>
      <c r="I924" t="str">
        <f>IFERROR(__xludf.DUMMYFUNCTION("""COMPUTED_VALUE"""),"")</f>
        <v/>
      </c>
      <c r="J924" t="str">
        <f>IFERROR(__xludf.DUMMYFUNCTION("""COMPUTED_VALUE"""),"")</f>
        <v/>
      </c>
      <c r="K924" t="str">
        <f>IFERROR(__xludf.DUMMYFUNCTION("""COMPUTED_VALUE"""),"")</f>
        <v/>
      </c>
      <c r="L924" t="str">
        <f>IFERROR(__xludf.DUMMYFUNCTION("""COMPUTED_VALUE"""),"")</f>
        <v/>
      </c>
    </row>
    <row r="925">
      <c r="A925" t="str">
        <f>IFERROR(__xludf.DUMMYFUNCTION("""COMPUTED_VALUE"""),"")</f>
        <v/>
      </c>
      <c r="B925" t="str">
        <f>IFERROR(__xludf.DUMMYFUNCTION("""COMPUTED_VALUE"""),"")</f>
        <v/>
      </c>
      <c r="C925" t="str">
        <f>IFERROR(__xludf.DUMMYFUNCTION("""COMPUTED_VALUE"""),"")</f>
        <v/>
      </c>
      <c r="D925" t="str">
        <f>IFERROR(__xludf.DUMMYFUNCTION("""COMPUTED_VALUE"""),"")</f>
        <v/>
      </c>
      <c r="E925" t="str">
        <f>IFERROR(__xludf.DUMMYFUNCTION("""COMPUTED_VALUE"""),"")</f>
        <v/>
      </c>
      <c r="F925" t="str">
        <f>IFERROR(__xludf.DUMMYFUNCTION("""COMPUTED_VALUE"""),"")</f>
        <v/>
      </c>
      <c r="G925" t="str">
        <f>IFERROR(__xludf.DUMMYFUNCTION("""COMPUTED_VALUE"""),"")</f>
        <v/>
      </c>
      <c r="H925" t="str">
        <f>IFERROR(__xludf.DUMMYFUNCTION("""COMPUTED_VALUE"""),"")</f>
        <v/>
      </c>
      <c r="I925" t="str">
        <f>IFERROR(__xludf.DUMMYFUNCTION("""COMPUTED_VALUE"""),"")</f>
        <v/>
      </c>
      <c r="J925" t="str">
        <f>IFERROR(__xludf.DUMMYFUNCTION("""COMPUTED_VALUE"""),"")</f>
        <v/>
      </c>
      <c r="K925" t="str">
        <f>IFERROR(__xludf.DUMMYFUNCTION("""COMPUTED_VALUE"""),"")</f>
        <v/>
      </c>
      <c r="L925" t="str">
        <f>IFERROR(__xludf.DUMMYFUNCTION("""COMPUTED_VALUE"""),"")</f>
        <v/>
      </c>
    </row>
    <row r="926">
      <c r="A926" t="str">
        <f>IFERROR(__xludf.DUMMYFUNCTION("""COMPUTED_VALUE"""),"")</f>
        <v/>
      </c>
      <c r="B926" t="str">
        <f>IFERROR(__xludf.DUMMYFUNCTION("""COMPUTED_VALUE"""),"")</f>
        <v/>
      </c>
      <c r="C926" t="str">
        <f>IFERROR(__xludf.DUMMYFUNCTION("""COMPUTED_VALUE"""),"")</f>
        <v/>
      </c>
      <c r="D926" t="str">
        <f>IFERROR(__xludf.DUMMYFUNCTION("""COMPUTED_VALUE"""),"")</f>
        <v/>
      </c>
      <c r="E926" t="str">
        <f>IFERROR(__xludf.DUMMYFUNCTION("""COMPUTED_VALUE"""),"")</f>
        <v/>
      </c>
      <c r="F926" t="str">
        <f>IFERROR(__xludf.DUMMYFUNCTION("""COMPUTED_VALUE"""),"")</f>
        <v/>
      </c>
      <c r="G926" t="str">
        <f>IFERROR(__xludf.DUMMYFUNCTION("""COMPUTED_VALUE"""),"")</f>
        <v/>
      </c>
      <c r="H926" t="str">
        <f>IFERROR(__xludf.DUMMYFUNCTION("""COMPUTED_VALUE"""),"")</f>
        <v/>
      </c>
      <c r="I926" t="str">
        <f>IFERROR(__xludf.DUMMYFUNCTION("""COMPUTED_VALUE"""),"")</f>
        <v/>
      </c>
      <c r="J926" t="str">
        <f>IFERROR(__xludf.DUMMYFUNCTION("""COMPUTED_VALUE"""),"")</f>
        <v/>
      </c>
      <c r="K926" t="str">
        <f>IFERROR(__xludf.DUMMYFUNCTION("""COMPUTED_VALUE"""),"")</f>
        <v/>
      </c>
      <c r="L926" t="str">
        <f>IFERROR(__xludf.DUMMYFUNCTION("""COMPUTED_VALUE"""),"")</f>
        <v/>
      </c>
    </row>
    <row r="927">
      <c r="A927" t="str">
        <f>IFERROR(__xludf.DUMMYFUNCTION("""COMPUTED_VALUE"""),"")</f>
        <v/>
      </c>
      <c r="B927" t="str">
        <f>IFERROR(__xludf.DUMMYFUNCTION("""COMPUTED_VALUE"""),"")</f>
        <v/>
      </c>
      <c r="C927" t="str">
        <f>IFERROR(__xludf.DUMMYFUNCTION("""COMPUTED_VALUE"""),"")</f>
        <v/>
      </c>
      <c r="D927" t="str">
        <f>IFERROR(__xludf.DUMMYFUNCTION("""COMPUTED_VALUE"""),"")</f>
        <v/>
      </c>
      <c r="E927" t="str">
        <f>IFERROR(__xludf.DUMMYFUNCTION("""COMPUTED_VALUE"""),"")</f>
        <v/>
      </c>
      <c r="F927" t="str">
        <f>IFERROR(__xludf.DUMMYFUNCTION("""COMPUTED_VALUE"""),"")</f>
        <v/>
      </c>
      <c r="G927" t="str">
        <f>IFERROR(__xludf.DUMMYFUNCTION("""COMPUTED_VALUE"""),"")</f>
        <v/>
      </c>
      <c r="H927" t="str">
        <f>IFERROR(__xludf.DUMMYFUNCTION("""COMPUTED_VALUE"""),"")</f>
        <v/>
      </c>
      <c r="I927" t="str">
        <f>IFERROR(__xludf.DUMMYFUNCTION("""COMPUTED_VALUE"""),"")</f>
        <v/>
      </c>
      <c r="J927" t="str">
        <f>IFERROR(__xludf.DUMMYFUNCTION("""COMPUTED_VALUE"""),"")</f>
        <v/>
      </c>
      <c r="K927" t="str">
        <f>IFERROR(__xludf.DUMMYFUNCTION("""COMPUTED_VALUE"""),"")</f>
        <v/>
      </c>
      <c r="L927" t="str">
        <f>IFERROR(__xludf.DUMMYFUNCTION("""COMPUTED_VALUE"""),"")</f>
        <v/>
      </c>
    </row>
    <row r="928">
      <c r="A928" t="str">
        <f>IFERROR(__xludf.DUMMYFUNCTION("""COMPUTED_VALUE"""),"")</f>
        <v/>
      </c>
      <c r="B928" t="str">
        <f>IFERROR(__xludf.DUMMYFUNCTION("""COMPUTED_VALUE"""),"")</f>
        <v/>
      </c>
      <c r="C928" t="str">
        <f>IFERROR(__xludf.DUMMYFUNCTION("""COMPUTED_VALUE"""),"")</f>
        <v/>
      </c>
      <c r="D928" t="str">
        <f>IFERROR(__xludf.DUMMYFUNCTION("""COMPUTED_VALUE"""),"")</f>
        <v/>
      </c>
      <c r="E928" t="str">
        <f>IFERROR(__xludf.DUMMYFUNCTION("""COMPUTED_VALUE"""),"")</f>
        <v/>
      </c>
      <c r="F928" t="str">
        <f>IFERROR(__xludf.DUMMYFUNCTION("""COMPUTED_VALUE"""),"")</f>
        <v/>
      </c>
      <c r="G928" t="str">
        <f>IFERROR(__xludf.DUMMYFUNCTION("""COMPUTED_VALUE"""),"")</f>
        <v/>
      </c>
      <c r="H928" t="str">
        <f>IFERROR(__xludf.DUMMYFUNCTION("""COMPUTED_VALUE"""),"")</f>
        <v/>
      </c>
      <c r="I928" t="str">
        <f>IFERROR(__xludf.DUMMYFUNCTION("""COMPUTED_VALUE"""),"")</f>
        <v/>
      </c>
      <c r="J928" t="str">
        <f>IFERROR(__xludf.DUMMYFUNCTION("""COMPUTED_VALUE"""),"")</f>
        <v/>
      </c>
      <c r="K928" t="str">
        <f>IFERROR(__xludf.DUMMYFUNCTION("""COMPUTED_VALUE"""),"")</f>
        <v/>
      </c>
      <c r="L928" t="str">
        <f>IFERROR(__xludf.DUMMYFUNCTION("""COMPUTED_VALUE"""),"")</f>
        <v/>
      </c>
    </row>
    <row r="929">
      <c r="A929" t="str">
        <f>IFERROR(__xludf.DUMMYFUNCTION("""COMPUTED_VALUE"""),"")</f>
        <v/>
      </c>
      <c r="B929" t="str">
        <f>IFERROR(__xludf.DUMMYFUNCTION("""COMPUTED_VALUE"""),"")</f>
        <v/>
      </c>
      <c r="C929" t="str">
        <f>IFERROR(__xludf.DUMMYFUNCTION("""COMPUTED_VALUE"""),"")</f>
        <v/>
      </c>
      <c r="D929" t="str">
        <f>IFERROR(__xludf.DUMMYFUNCTION("""COMPUTED_VALUE"""),"")</f>
        <v/>
      </c>
      <c r="E929" t="str">
        <f>IFERROR(__xludf.DUMMYFUNCTION("""COMPUTED_VALUE"""),"")</f>
        <v/>
      </c>
      <c r="F929" t="str">
        <f>IFERROR(__xludf.DUMMYFUNCTION("""COMPUTED_VALUE"""),"")</f>
        <v/>
      </c>
      <c r="G929" t="str">
        <f>IFERROR(__xludf.DUMMYFUNCTION("""COMPUTED_VALUE"""),"")</f>
        <v/>
      </c>
      <c r="H929" t="str">
        <f>IFERROR(__xludf.DUMMYFUNCTION("""COMPUTED_VALUE"""),"")</f>
        <v/>
      </c>
      <c r="I929" t="str">
        <f>IFERROR(__xludf.DUMMYFUNCTION("""COMPUTED_VALUE"""),"")</f>
        <v/>
      </c>
      <c r="J929" t="str">
        <f>IFERROR(__xludf.DUMMYFUNCTION("""COMPUTED_VALUE"""),"")</f>
        <v/>
      </c>
      <c r="K929" t="str">
        <f>IFERROR(__xludf.DUMMYFUNCTION("""COMPUTED_VALUE"""),"")</f>
        <v/>
      </c>
      <c r="L929" t="str">
        <f>IFERROR(__xludf.DUMMYFUNCTION("""COMPUTED_VALUE"""),"")</f>
        <v/>
      </c>
    </row>
    <row r="930">
      <c r="A930" t="str">
        <f>IFERROR(__xludf.DUMMYFUNCTION("""COMPUTED_VALUE"""),"")</f>
        <v/>
      </c>
      <c r="B930" t="str">
        <f>IFERROR(__xludf.DUMMYFUNCTION("""COMPUTED_VALUE"""),"")</f>
        <v/>
      </c>
      <c r="C930" t="str">
        <f>IFERROR(__xludf.DUMMYFUNCTION("""COMPUTED_VALUE"""),"")</f>
        <v/>
      </c>
      <c r="D930" t="str">
        <f>IFERROR(__xludf.DUMMYFUNCTION("""COMPUTED_VALUE"""),"")</f>
        <v/>
      </c>
      <c r="E930" t="str">
        <f>IFERROR(__xludf.DUMMYFUNCTION("""COMPUTED_VALUE"""),"")</f>
        <v/>
      </c>
      <c r="F930" t="str">
        <f>IFERROR(__xludf.DUMMYFUNCTION("""COMPUTED_VALUE"""),"")</f>
        <v/>
      </c>
      <c r="G930" t="str">
        <f>IFERROR(__xludf.DUMMYFUNCTION("""COMPUTED_VALUE"""),"")</f>
        <v/>
      </c>
      <c r="H930" t="str">
        <f>IFERROR(__xludf.DUMMYFUNCTION("""COMPUTED_VALUE"""),"")</f>
        <v/>
      </c>
      <c r="I930" t="str">
        <f>IFERROR(__xludf.DUMMYFUNCTION("""COMPUTED_VALUE"""),"")</f>
        <v/>
      </c>
      <c r="J930" t="str">
        <f>IFERROR(__xludf.DUMMYFUNCTION("""COMPUTED_VALUE"""),"")</f>
        <v/>
      </c>
      <c r="K930" t="str">
        <f>IFERROR(__xludf.DUMMYFUNCTION("""COMPUTED_VALUE"""),"")</f>
        <v/>
      </c>
      <c r="L930" t="str">
        <f>IFERROR(__xludf.DUMMYFUNCTION("""COMPUTED_VALUE"""),"")</f>
        <v/>
      </c>
    </row>
    <row r="931">
      <c r="A931" t="str">
        <f>IFERROR(__xludf.DUMMYFUNCTION("""COMPUTED_VALUE"""),"")</f>
        <v/>
      </c>
      <c r="B931" t="str">
        <f>IFERROR(__xludf.DUMMYFUNCTION("""COMPUTED_VALUE"""),"")</f>
        <v/>
      </c>
      <c r="C931" t="str">
        <f>IFERROR(__xludf.DUMMYFUNCTION("""COMPUTED_VALUE"""),"")</f>
        <v/>
      </c>
      <c r="D931" t="str">
        <f>IFERROR(__xludf.DUMMYFUNCTION("""COMPUTED_VALUE"""),"")</f>
        <v/>
      </c>
      <c r="E931" t="str">
        <f>IFERROR(__xludf.DUMMYFUNCTION("""COMPUTED_VALUE"""),"")</f>
        <v/>
      </c>
      <c r="F931" t="str">
        <f>IFERROR(__xludf.DUMMYFUNCTION("""COMPUTED_VALUE"""),"")</f>
        <v/>
      </c>
      <c r="G931" t="str">
        <f>IFERROR(__xludf.DUMMYFUNCTION("""COMPUTED_VALUE"""),"")</f>
        <v/>
      </c>
      <c r="H931" t="str">
        <f>IFERROR(__xludf.DUMMYFUNCTION("""COMPUTED_VALUE"""),"")</f>
        <v/>
      </c>
      <c r="I931" t="str">
        <f>IFERROR(__xludf.DUMMYFUNCTION("""COMPUTED_VALUE"""),"")</f>
        <v/>
      </c>
      <c r="J931" t="str">
        <f>IFERROR(__xludf.DUMMYFUNCTION("""COMPUTED_VALUE"""),"")</f>
        <v/>
      </c>
      <c r="K931" t="str">
        <f>IFERROR(__xludf.DUMMYFUNCTION("""COMPUTED_VALUE"""),"")</f>
        <v/>
      </c>
      <c r="L931" t="str">
        <f>IFERROR(__xludf.DUMMYFUNCTION("""COMPUTED_VALUE"""),"")</f>
        <v/>
      </c>
    </row>
    <row r="932">
      <c r="A932" t="str">
        <f>IFERROR(__xludf.DUMMYFUNCTION("""COMPUTED_VALUE"""),"")</f>
        <v/>
      </c>
      <c r="B932" t="str">
        <f>IFERROR(__xludf.DUMMYFUNCTION("""COMPUTED_VALUE"""),"")</f>
        <v/>
      </c>
      <c r="C932" t="str">
        <f>IFERROR(__xludf.DUMMYFUNCTION("""COMPUTED_VALUE"""),"")</f>
        <v/>
      </c>
      <c r="D932" t="str">
        <f>IFERROR(__xludf.DUMMYFUNCTION("""COMPUTED_VALUE"""),"")</f>
        <v/>
      </c>
      <c r="E932" t="str">
        <f>IFERROR(__xludf.DUMMYFUNCTION("""COMPUTED_VALUE"""),"")</f>
        <v/>
      </c>
      <c r="F932" t="str">
        <f>IFERROR(__xludf.DUMMYFUNCTION("""COMPUTED_VALUE"""),"")</f>
        <v/>
      </c>
      <c r="G932" t="str">
        <f>IFERROR(__xludf.DUMMYFUNCTION("""COMPUTED_VALUE"""),"")</f>
        <v/>
      </c>
      <c r="H932" t="str">
        <f>IFERROR(__xludf.DUMMYFUNCTION("""COMPUTED_VALUE"""),"")</f>
        <v/>
      </c>
      <c r="I932" t="str">
        <f>IFERROR(__xludf.DUMMYFUNCTION("""COMPUTED_VALUE"""),"")</f>
        <v/>
      </c>
      <c r="J932" t="str">
        <f>IFERROR(__xludf.DUMMYFUNCTION("""COMPUTED_VALUE"""),"")</f>
        <v/>
      </c>
      <c r="K932" t="str">
        <f>IFERROR(__xludf.DUMMYFUNCTION("""COMPUTED_VALUE"""),"")</f>
        <v/>
      </c>
      <c r="L932" t="str">
        <f>IFERROR(__xludf.DUMMYFUNCTION("""COMPUTED_VALUE"""),"")</f>
        <v/>
      </c>
    </row>
    <row r="933">
      <c r="A933" t="str">
        <f>IFERROR(__xludf.DUMMYFUNCTION("""COMPUTED_VALUE"""),"")</f>
        <v/>
      </c>
      <c r="B933" t="str">
        <f>IFERROR(__xludf.DUMMYFUNCTION("""COMPUTED_VALUE"""),"")</f>
        <v/>
      </c>
      <c r="C933" t="str">
        <f>IFERROR(__xludf.DUMMYFUNCTION("""COMPUTED_VALUE"""),"")</f>
        <v/>
      </c>
      <c r="D933" t="str">
        <f>IFERROR(__xludf.DUMMYFUNCTION("""COMPUTED_VALUE"""),"")</f>
        <v/>
      </c>
      <c r="E933" t="str">
        <f>IFERROR(__xludf.DUMMYFUNCTION("""COMPUTED_VALUE"""),"")</f>
        <v/>
      </c>
      <c r="F933" t="str">
        <f>IFERROR(__xludf.DUMMYFUNCTION("""COMPUTED_VALUE"""),"")</f>
        <v/>
      </c>
      <c r="G933" t="str">
        <f>IFERROR(__xludf.DUMMYFUNCTION("""COMPUTED_VALUE"""),"")</f>
        <v/>
      </c>
      <c r="H933" t="str">
        <f>IFERROR(__xludf.DUMMYFUNCTION("""COMPUTED_VALUE"""),"")</f>
        <v/>
      </c>
      <c r="I933" t="str">
        <f>IFERROR(__xludf.DUMMYFUNCTION("""COMPUTED_VALUE"""),"")</f>
        <v/>
      </c>
      <c r="J933" t="str">
        <f>IFERROR(__xludf.DUMMYFUNCTION("""COMPUTED_VALUE"""),"")</f>
        <v/>
      </c>
      <c r="K933" t="str">
        <f>IFERROR(__xludf.DUMMYFUNCTION("""COMPUTED_VALUE"""),"")</f>
        <v/>
      </c>
      <c r="L933" t="str">
        <f>IFERROR(__xludf.DUMMYFUNCTION("""COMPUTED_VALUE"""),"")</f>
        <v/>
      </c>
    </row>
    <row r="934">
      <c r="A934" t="str">
        <f>IFERROR(__xludf.DUMMYFUNCTION("""COMPUTED_VALUE"""),"")</f>
        <v/>
      </c>
      <c r="B934" t="str">
        <f>IFERROR(__xludf.DUMMYFUNCTION("""COMPUTED_VALUE"""),"")</f>
        <v/>
      </c>
      <c r="C934" t="str">
        <f>IFERROR(__xludf.DUMMYFUNCTION("""COMPUTED_VALUE"""),"")</f>
        <v/>
      </c>
      <c r="D934" t="str">
        <f>IFERROR(__xludf.DUMMYFUNCTION("""COMPUTED_VALUE"""),"")</f>
        <v/>
      </c>
      <c r="E934" t="str">
        <f>IFERROR(__xludf.DUMMYFUNCTION("""COMPUTED_VALUE"""),"")</f>
        <v/>
      </c>
      <c r="F934" t="str">
        <f>IFERROR(__xludf.DUMMYFUNCTION("""COMPUTED_VALUE"""),"")</f>
        <v/>
      </c>
      <c r="G934" t="str">
        <f>IFERROR(__xludf.DUMMYFUNCTION("""COMPUTED_VALUE"""),"")</f>
        <v/>
      </c>
      <c r="H934" t="str">
        <f>IFERROR(__xludf.DUMMYFUNCTION("""COMPUTED_VALUE"""),"")</f>
        <v/>
      </c>
      <c r="I934" t="str">
        <f>IFERROR(__xludf.DUMMYFUNCTION("""COMPUTED_VALUE"""),"")</f>
        <v/>
      </c>
      <c r="J934" t="str">
        <f>IFERROR(__xludf.DUMMYFUNCTION("""COMPUTED_VALUE"""),"")</f>
        <v/>
      </c>
      <c r="K934" t="str">
        <f>IFERROR(__xludf.DUMMYFUNCTION("""COMPUTED_VALUE"""),"")</f>
        <v/>
      </c>
      <c r="L934" t="str">
        <f>IFERROR(__xludf.DUMMYFUNCTION("""COMPUTED_VALUE"""),"")</f>
        <v/>
      </c>
    </row>
    <row r="935">
      <c r="A935" t="str">
        <f>IFERROR(__xludf.DUMMYFUNCTION("""COMPUTED_VALUE"""),"")</f>
        <v/>
      </c>
      <c r="B935" t="str">
        <f>IFERROR(__xludf.DUMMYFUNCTION("""COMPUTED_VALUE"""),"")</f>
        <v/>
      </c>
      <c r="C935" t="str">
        <f>IFERROR(__xludf.DUMMYFUNCTION("""COMPUTED_VALUE"""),"")</f>
        <v/>
      </c>
      <c r="D935" t="str">
        <f>IFERROR(__xludf.DUMMYFUNCTION("""COMPUTED_VALUE"""),"")</f>
        <v/>
      </c>
      <c r="E935" t="str">
        <f>IFERROR(__xludf.DUMMYFUNCTION("""COMPUTED_VALUE"""),"")</f>
        <v/>
      </c>
      <c r="F935" t="str">
        <f>IFERROR(__xludf.DUMMYFUNCTION("""COMPUTED_VALUE"""),"")</f>
        <v/>
      </c>
      <c r="G935" t="str">
        <f>IFERROR(__xludf.DUMMYFUNCTION("""COMPUTED_VALUE"""),"")</f>
        <v/>
      </c>
      <c r="H935" t="str">
        <f>IFERROR(__xludf.DUMMYFUNCTION("""COMPUTED_VALUE"""),"")</f>
        <v/>
      </c>
      <c r="I935" t="str">
        <f>IFERROR(__xludf.DUMMYFUNCTION("""COMPUTED_VALUE"""),"")</f>
        <v/>
      </c>
      <c r="J935" t="str">
        <f>IFERROR(__xludf.DUMMYFUNCTION("""COMPUTED_VALUE"""),"")</f>
        <v/>
      </c>
      <c r="K935" t="str">
        <f>IFERROR(__xludf.DUMMYFUNCTION("""COMPUTED_VALUE"""),"")</f>
        <v/>
      </c>
      <c r="L935" t="str">
        <f>IFERROR(__xludf.DUMMYFUNCTION("""COMPUTED_VALUE"""),"")</f>
        <v/>
      </c>
    </row>
    <row r="936">
      <c r="A936" t="str">
        <f>IFERROR(__xludf.DUMMYFUNCTION("""COMPUTED_VALUE"""),"")</f>
        <v/>
      </c>
      <c r="B936" t="str">
        <f>IFERROR(__xludf.DUMMYFUNCTION("""COMPUTED_VALUE"""),"")</f>
        <v/>
      </c>
      <c r="C936" t="str">
        <f>IFERROR(__xludf.DUMMYFUNCTION("""COMPUTED_VALUE"""),"")</f>
        <v/>
      </c>
      <c r="D936" t="str">
        <f>IFERROR(__xludf.DUMMYFUNCTION("""COMPUTED_VALUE"""),"")</f>
        <v/>
      </c>
      <c r="E936" t="str">
        <f>IFERROR(__xludf.DUMMYFUNCTION("""COMPUTED_VALUE"""),"")</f>
        <v/>
      </c>
      <c r="F936" t="str">
        <f>IFERROR(__xludf.DUMMYFUNCTION("""COMPUTED_VALUE"""),"")</f>
        <v/>
      </c>
      <c r="G936" t="str">
        <f>IFERROR(__xludf.DUMMYFUNCTION("""COMPUTED_VALUE"""),"")</f>
        <v/>
      </c>
      <c r="H936" t="str">
        <f>IFERROR(__xludf.DUMMYFUNCTION("""COMPUTED_VALUE"""),"")</f>
        <v/>
      </c>
      <c r="I936" t="str">
        <f>IFERROR(__xludf.DUMMYFUNCTION("""COMPUTED_VALUE"""),"")</f>
        <v/>
      </c>
      <c r="J936" t="str">
        <f>IFERROR(__xludf.DUMMYFUNCTION("""COMPUTED_VALUE"""),"")</f>
        <v/>
      </c>
      <c r="K936" t="str">
        <f>IFERROR(__xludf.DUMMYFUNCTION("""COMPUTED_VALUE"""),"")</f>
        <v/>
      </c>
      <c r="L936" t="str">
        <f>IFERROR(__xludf.DUMMYFUNCTION("""COMPUTED_VALUE"""),"")</f>
        <v/>
      </c>
    </row>
    <row r="937">
      <c r="A937" t="str">
        <f>IFERROR(__xludf.DUMMYFUNCTION("""COMPUTED_VALUE"""),"")</f>
        <v/>
      </c>
      <c r="B937" t="str">
        <f>IFERROR(__xludf.DUMMYFUNCTION("""COMPUTED_VALUE"""),"")</f>
        <v/>
      </c>
      <c r="C937" t="str">
        <f>IFERROR(__xludf.DUMMYFUNCTION("""COMPUTED_VALUE"""),"")</f>
        <v/>
      </c>
      <c r="D937" t="str">
        <f>IFERROR(__xludf.DUMMYFUNCTION("""COMPUTED_VALUE"""),"")</f>
        <v/>
      </c>
      <c r="E937" t="str">
        <f>IFERROR(__xludf.DUMMYFUNCTION("""COMPUTED_VALUE"""),"")</f>
        <v/>
      </c>
      <c r="F937" t="str">
        <f>IFERROR(__xludf.DUMMYFUNCTION("""COMPUTED_VALUE"""),"")</f>
        <v/>
      </c>
      <c r="G937" t="str">
        <f>IFERROR(__xludf.DUMMYFUNCTION("""COMPUTED_VALUE"""),"")</f>
        <v/>
      </c>
      <c r="H937" t="str">
        <f>IFERROR(__xludf.DUMMYFUNCTION("""COMPUTED_VALUE"""),"")</f>
        <v/>
      </c>
      <c r="I937" t="str">
        <f>IFERROR(__xludf.DUMMYFUNCTION("""COMPUTED_VALUE"""),"")</f>
        <v/>
      </c>
      <c r="J937" t="str">
        <f>IFERROR(__xludf.DUMMYFUNCTION("""COMPUTED_VALUE"""),"")</f>
        <v/>
      </c>
      <c r="K937" t="str">
        <f>IFERROR(__xludf.DUMMYFUNCTION("""COMPUTED_VALUE"""),"")</f>
        <v/>
      </c>
      <c r="L937" t="str">
        <f>IFERROR(__xludf.DUMMYFUNCTION("""COMPUTED_VALUE"""),"")</f>
        <v/>
      </c>
    </row>
    <row r="938">
      <c r="A938" t="str">
        <f>IFERROR(__xludf.DUMMYFUNCTION("""COMPUTED_VALUE"""),"")</f>
        <v/>
      </c>
      <c r="B938" t="str">
        <f>IFERROR(__xludf.DUMMYFUNCTION("""COMPUTED_VALUE"""),"")</f>
        <v/>
      </c>
      <c r="C938" t="str">
        <f>IFERROR(__xludf.DUMMYFUNCTION("""COMPUTED_VALUE"""),"")</f>
        <v/>
      </c>
      <c r="D938" t="str">
        <f>IFERROR(__xludf.DUMMYFUNCTION("""COMPUTED_VALUE"""),"")</f>
        <v/>
      </c>
      <c r="E938" t="str">
        <f>IFERROR(__xludf.DUMMYFUNCTION("""COMPUTED_VALUE"""),"")</f>
        <v/>
      </c>
      <c r="F938" t="str">
        <f>IFERROR(__xludf.DUMMYFUNCTION("""COMPUTED_VALUE"""),"")</f>
        <v/>
      </c>
      <c r="G938" t="str">
        <f>IFERROR(__xludf.DUMMYFUNCTION("""COMPUTED_VALUE"""),"")</f>
        <v/>
      </c>
      <c r="H938" t="str">
        <f>IFERROR(__xludf.DUMMYFUNCTION("""COMPUTED_VALUE"""),"")</f>
        <v/>
      </c>
      <c r="I938" t="str">
        <f>IFERROR(__xludf.DUMMYFUNCTION("""COMPUTED_VALUE"""),"")</f>
        <v/>
      </c>
      <c r="J938" t="str">
        <f>IFERROR(__xludf.DUMMYFUNCTION("""COMPUTED_VALUE"""),"")</f>
        <v/>
      </c>
      <c r="K938" t="str">
        <f>IFERROR(__xludf.DUMMYFUNCTION("""COMPUTED_VALUE"""),"")</f>
        <v/>
      </c>
      <c r="L938" t="str">
        <f>IFERROR(__xludf.DUMMYFUNCTION("""COMPUTED_VALUE"""),"")</f>
        <v/>
      </c>
    </row>
    <row r="939">
      <c r="A939" t="str">
        <f>IFERROR(__xludf.DUMMYFUNCTION("""COMPUTED_VALUE"""),"")</f>
        <v/>
      </c>
      <c r="B939" t="str">
        <f>IFERROR(__xludf.DUMMYFUNCTION("""COMPUTED_VALUE"""),"")</f>
        <v/>
      </c>
      <c r="C939" t="str">
        <f>IFERROR(__xludf.DUMMYFUNCTION("""COMPUTED_VALUE"""),"")</f>
        <v/>
      </c>
      <c r="D939" t="str">
        <f>IFERROR(__xludf.DUMMYFUNCTION("""COMPUTED_VALUE"""),"")</f>
        <v/>
      </c>
      <c r="E939" t="str">
        <f>IFERROR(__xludf.DUMMYFUNCTION("""COMPUTED_VALUE"""),"")</f>
        <v/>
      </c>
      <c r="F939" t="str">
        <f>IFERROR(__xludf.DUMMYFUNCTION("""COMPUTED_VALUE"""),"")</f>
        <v/>
      </c>
      <c r="G939" t="str">
        <f>IFERROR(__xludf.DUMMYFUNCTION("""COMPUTED_VALUE"""),"")</f>
        <v/>
      </c>
      <c r="H939" t="str">
        <f>IFERROR(__xludf.DUMMYFUNCTION("""COMPUTED_VALUE"""),"")</f>
        <v/>
      </c>
      <c r="I939" t="str">
        <f>IFERROR(__xludf.DUMMYFUNCTION("""COMPUTED_VALUE"""),"")</f>
        <v/>
      </c>
      <c r="J939" t="str">
        <f>IFERROR(__xludf.DUMMYFUNCTION("""COMPUTED_VALUE"""),"")</f>
        <v/>
      </c>
      <c r="K939" t="str">
        <f>IFERROR(__xludf.DUMMYFUNCTION("""COMPUTED_VALUE"""),"")</f>
        <v/>
      </c>
      <c r="L939" t="str">
        <f>IFERROR(__xludf.DUMMYFUNCTION("""COMPUTED_VALUE"""),"")</f>
        <v/>
      </c>
    </row>
    <row r="940">
      <c r="A940" t="str">
        <f>IFERROR(__xludf.DUMMYFUNCTION("""COMPUTED_VALUE"""),"")</f>
        <v/>
      </c>
      <c r="B940" t="str">
        <f>IFERROR(__xludf.DUMMYFUNCTION("""COMPUTED_VALUE"""),"")</f>
        <v/>
      </c>
      <c r="C940" t="str">
        <f>IFERROR(__xludf.DUMMYFUNCTION("""COMPUTED_VALUE"""),"")</f>
        <v/>
      </c>
      <c r="D940" t="str">
        <f>IFERROR(__xludf.DUMMYFUNCTION("""COMPUTED_VALUE"""),"")</f>
        <v/>
      </c>
      <c r="E940" t="str">
        <f>IFERROR(__xludf.DUMMYFUNCTION("""COMPUTED_VALUE"""),"")</f>
        <v/>
      </c>
      <c r="F940" t="str">
        <f>IFERROR(__xludf.DUMMYFUNCTION("""COMPUTED_VALUE"""),"")</f>
        <v/>
      </c>
      <c r="G940" t="str">
        <f>IFERROR(__xludf.DUMMYFUNCTION("""COMPUTED_VALUE"""),"")</f>
        <v/>
      </c>
      <c r="H940" t="str">
        <f>IFERROR(__xludf.DUMMYFUNCTION("""COMPUTED_VALUE"""),"")</f>
        <v/>
      </c>
      <c r="I940" t="str">
        <f>IFERROR(__xludf.DUMMYFUNCTION("""COMPUTED_VALUE"""),"")</f>
        <v/>
      </c>
      <c r="J940" t="str">
        <f>IFERROR(__xludf.DUMMYFUNCTION("""COMPUTED_VALUE"""),"")</f>
        <v/>
      </c>
      <c r="K940" t="str">
        <f>IFERROR(__xludf.DUMMYFUNCTION("""COMPUTED_VALUE"""),"")</f>
        <v/>
      </c>
      <c r="L940" t="str">
        <f>IFERROR(__xludf.DUMMYFUNCTION("""COMPUTED_VALUE"""),"")</f>
        <v/>
      </c>
    </row>
    <row r="941">
      <c r="A941" t="str">
        <f>IFERROR(__xludf.DUMMYFUNCTION("""COMPUTED_VALUE"""),"")</f>
        <v/>
      </c>
      <c r="B941" t="str">
        <f>IFERROR(__xludf.DUMMYFUNCTION("""COMPUTED_VALUE"""),"")</f>
        <v/>
      </c>
      <c r="C941" t="str">
        <f>IFERROR(__xludf.DUMMYFUNCTION("""COMPUTED_VALUE"""),"")</f>
        <v/>
      </c>
      <c r="D941" t="str">
        <f>IFERROR(__xludf.DUMMYFUNCTION("""COMPUTED_VALUE"""),"")</f>
        <v/>
      </c>
      <c r="E941" t="str">
        <f>IFERROR(__xludf.DUMMYFUNCTION("""COMPUTED_VALUE"""),"")</f>
        <v/>
      </c>
      <c r="F941" t="str">
        <f>IFERROR(__xludf.DUMMYFUNCTION("""COMPUTED_VALUE"""),"")</f>
        <v/>
      </c>
      <c r="G941" t="str">
        <f>IFERROR(__xludf.DUMMYFUNCTION("""COMPUTED_VALUE"""),"")</f>
        <v/>
      </c>
      <c r="H941" t="str">
        <f>IFERROR(__xludf.DUMMYFUNCTION("""COMPUTED_VALUE"""),"")</f>
        <v/>
      </c>
      <c r="I941" t="str">
        <f>IFERROR(__xludf.DUMMYFUNCTION("""COMPUTED_VALUE"""),"")</f>
        <v/>
      </c>
      <c r="J941" t="str">
        <f>IFERROR(__xludf.DUMMYFUNCTION("""COMPUTED_VALUE"""),"")</f>
        <v/>
      </c>
      <c r="K941" t="str">
        <f>IFERROR(__xludf.DUMMYFUNCTION("""COMPUTED_VALUE"""),"")</f>
        <v/>
      </c>
      <c r="L941" t="str">
        <f>IFERROR(__xludf.DUMMYFUNCTION("""COMPUTED_VALUE"""),"")</f>
        <v/>
      </c>
    </row>
    <row r="942">
      <c r="A942" t="str">
        <f>IFERROR(__xludf.DUMMYFUNCTION("""COMPUTED_VALUE"""),"")</f>
        <v/>
      </c>
      <c r="B942" t="str">
        <f>IFERROR(__xludf.DUMMYFUNCTION("""COMPUTED_VALUE"""),"")</f>
        <v/>
      </c>
      <c r="C942" t="str">
        <f>IFERROR(__xludf.DUMMYFUNCTION("""COMPUTED_VALUE"""),"")</f>
        <v/>
      </c>
      <c r="D942" t="str">
        <f>IFERROR(__xludf.DUMMYFUNCTION("""COMPUTED_VALUE"""),"")</f>
        <v/>
      </c>
      <c r="E942" t="str">
        <f>IFERROR(__xludf.DUMMYFUNCTION("""COMPUTED_VALUE"""),"")</f>
        <v/>
      </c>
      <c r="F942" t="str">
        <f>IFERROR(__xludf.DUMMYFUNCTION("""COMPUTED_VALUE"""),"")</f>
        <v/>
      </c>
      <c r="G942" t="str">
        <f>IFERROR(__xludf.DUMMYFUNCTION("""COMPUTED_VALUE"""),"")</f>
        <v/>
      </c>
      <c r="H942" t="str">
        <f>IFERROR(__xludf.DUMMYFUNCTION("""COMPUTED_VALUE"""),"")</f>
        <v/>
      </c>
      <c r="I942" t="str">
        <f>IFERROR(__xludf.DUMMYFUNCTION("""COMPUTED_VALUE"""),"")</f>
        <v/>
      </c>
      <c r="J942" t="str">
        <f>IFERROR(__xludf.DUMMYFUNCTION("""COMPUTED_VALUE"""),"")</f>
        <v/>
      </c>
      <c r="K942" t="str">
        <f>IFERROR(__xludf.DUMMYFUNCTION("""COMPUTED_VALUE"""),"")</f>
        <v/>
      </c>
      <c r="L942" t="str">
        <f>IFERROR(__xludf.DUMMYFUNCTION("""COMPUTED_VALUE"""),"")</f>
        <v/>
      </c>
    </row>
    <row r="943">
      <c r="A943" t="str">
        <f>IFERROR(__xludf.DUMMYFUNCTION("""COMPUTED_VALUE"""),"")</f>
        <v/>
      </c>
      <c r="B943" t="str">
        <f>IFERROR(__xludf.DUMMYFUNCTION("""COMPUTED_VALUE"""),"")</f>
        <v/>
      </c>
      <c r="C943" t="str">
        <f>IFERROR(__xludf.DUMMYFUNCTION("""COMPUTED_VALUE"""),"")</f>
        <v/>
      </c>
      <c r="D943" t="str">
        <f>IFERROR(__xludf.DUMMYFUNCTION("""COMPUTED_VALUE"""),"")</f>
        <v/>
      </c>
      <c r="E943" t="str">
        <f>IFERROR(__xludf.DUMMYFUNCTION("""COMPUTED_VALUE"""),"")</f>
        <v/>
      </c>
      <c r="F943" t="str">
        <f>IFERROR(__xludf.DUMMYFUNCTION("""COMPUTED_VALUE"""),"")</f>
        <v/>
      </c>
      <c r="G943" t="str">
        <f>IFERROR(__xludf.DUMMYFUNCTION("""COMPUTED_VALUE"""),"")</f>
        <v/>
      </c>
      <c r="H943" t="str">
        <f>IFERROR(__xludf.DUMMYFUNCTION("""COMPUTED_VALUE"""),"")</f>
        <v/>
      </c>
      <c r="I943" t="str">
        <f>IFERROR(__xludf.DUMMYFUNCTION("""COMPUTED_VALUE"""),"")</f>
        <v/>
      </c>
      <c r="J943" t="str">
        <f>IFERROR(__xludf.DUMMYFUNCTION("""COMPUTED_VALUE"""),"")</f>
        <v/>
      </c>
      <c r="K943" t="str">
        <f>IFERROR(__xludf.DUMMYFUNCTION("""COMPUTED_VALUE"""),"")</f>
        <v/>
      </c>
      <c r="L943" t="str">
        <f>IFERROR(__xludf.DUMMYFUNCTION("""COMPUTED_VALUE"""),"")</f>
        <v/>
      </c>
    </row>
    <row r="944">
      <c r="A944" t="str">
        <f>IFERROR(__xludf.DUMMYFUNCTION("""COMPUTED_VALUE"""),"")</f>
        <v/>
      </c>
      <c r="B944" t="str">
        <f>IFERROR(__xludf.DUMMYFUNCTION("""COMPUTED_VALUE"""),"")</f>
        <v/>
      </c>
      <c r="C944" t="str">
        <f>IFERROR(__xludf.DUMMYFUNCTION("""COMPUTED_VALUE"""),"")</f>
        <v/>
      </c>
      <c r="D944" t="str">
        <f>IFERROR(__xludf.DUMMYFUNCTION("""COMPUTED_VALUE"""),"")</f>
        <v/>
      </c>
      <c r="E944" t="str">
        <f>IFERROR(__xludf.DUMMYFUNCTION("""COMPUTED_VALUE"""),"")</f>
        <v/>
      </c>
      <c r="F944" t="str">
        <f>IFERROR(__xludf.DUMMYFUNCTION("""COMPUTED_VALUE"""),"")</f>
        <v/>
      </c>
      <c r="G944" t="str">
        <f>IFERROR(__xludf.DUMMYFUNCTION("""COMPUTED_VALUE"""),"")</f>
        <v/>
      </c>
      <c r="H944" t="str">
        <f>IFERROR(__xludf.DUMMYFUNCTION("""COMPUTED_VALUE"""),"")</f>
        <v/>
      </c>
      <c r="I944" t="str">
        <f>IFERROR(__xludf.DUMMYFUNCTION("""COMPUTED_VALUE"""),"")</f>
        <v/>
      </c>
      <c r="J944" t="str">
        <f>IFERROR(__xludf.DUMMYFUNCTION("""COMPUTED_VALUE"""),"")</f>
        <v/>
      </c>
      <c r="K944" t="str">
        <f>IFERROR(__xludf.DUMMYFUNCTION("""COMPUTED_VALUE"""),"")</f>
        <v/>
      </c>
      <c r="L944" t="str">
        <f>IFERROR(__xludf.DUMMYFUNCTION("""COMPUTED_VALUE"""),"")</f>
        <v/>
      </c>
    </row>
    <row r="945">
      <c r="A945" t="str">
        <f>IFERROR(__xludf.DUMMYFUNCTION("""COMPUTED_VALUE"""),"")</f>
        <v/>
      </c>
      <c r="B945" t="str">
        <f>IFERROR(__xludf.DUMMYFUNCTION("""COMPUTED_VALUE"""),"")</f>
        <v/>
      </c>
      <c r="C945" t="str">
        <f>IFERROR(__xludf.DUMMYFUNCTION("""COMPUTED_VALUE"""),"")</f>
        <v/>
      </c>
      <c r="D945" t="str">
        <f>IFERROR(__xludf.DUMMYFUNCTION("""COMPUTED_VALUE"""),"")</f>
        <v/>
      </c>
      <c r="E945" t="str">
        <f>IFERROR(__xludf.DUMMYFUNCTION("""COMPUTED_VALUE"""),"")</f>
        <v/>
      </c>
      <c r="F945" t="str">
        <f>IFERROR(__xludf.DUMMYFUNCTION("""COMPUTED_VALUE"""),"")</f>
        <v/>
      </c>
      <c r="G945" t="str">
        <f>IFERROR(__xludf.DUMMYFUNCTION("""COMPUTED_VALUE"""),"")</f>
        <v/>
      </c>
      <c r="H945" t="str">
        <f>IFERROR(__xludf.DUMMYFUNCTION("""COMPUTED_VALUE"""),"")</f>
        <v/>
      </c>
      <c r="I945" t="str">
        <f>IFERROR(__xludf.DUMMYFUNCTION("""COMPUTED_VALUE"""),"")</f>
        <v/>
      </c>
      <c r="J945" t="str">
        <f>IFERROR(__xludf.DUMMYFUNCTION("""COMPUTED_VALUE"""),"")</f>
        <v/>
      </c>
      <c r="K945" t="str">
        <f>IFERROR(__xludf.DUMMYFUNCTION("""COMPUTED_VALUE"""),"")</f>
        <v/>
      </c>
      <c r="L945" t="str">
        <f>IFERROR(__xludf.DUMMYFUNCTION("""COMPUTED_VALUE"""),"")</f>
        <v/>
      </c>
    </row>
    <row r="946">
      <c r="A946" t="str">
        <f>IFERROR(__xludf.DUMMYFUNCTION("""COMPUTED_VALUE"""),"")</f>
        <v/>
      </c>
      <c r="B946" t="str">
        <f>IFERROR(__xludf.DUMMYFUNCTION("""COMPUTED_VALUE"""),"")</f>
        <v/>
      </c>
      <c r="C946" t="str">
        <f>IFERROR(__xludf.DUMMYFUNCTION("""COMPUTED_VALUE"""),"")</f>
        <v/>
      </c>
      <c r="D946" t="str">
        <f>IFERROR(__xludf.DUMMYFUNCTION("""COMPUTED_VALUE"""),"")</f>
        <v/>
      </c>
      <c r="E946" t="str">
        <f>IFERROR(__xludf.DUMMYFUNCTION("""COMPUTED_VALUE"""),"")</f>
        <v/>
      </c>
      <c r="F946" t="str">
        <f>IFERROR(__xludf.DUMMYFUNCTION("""COMPUTED_VALUE"""),"")</f>
        <v/>
      </c>
      <c r="G946" t="str">
        <f>IFERROR(__xludf.DUMMYFUNCTION("""COMPUTED_VALUE"""),"")</f>
        <v/>
      </c>
      <c r="H946" t="str">
        <f>IFERROR(__xludf.DUMMYFUNCTION("""COMPUTED_VALUE"""),"")</f>
        <v/>
      </c>
      <c r="I946" t="str">
        <f>IFERROR(__xludf.DUMMYFUNCTION("""COMPUTED_VALUE"""),"")</f>
        <v/>
      </c>
      <c r="J946" t="str">
        <f>IFERROR(__xludf.DUMMYFUNCTION("""COMPUTED_VALUE"""),"")</f>
        <v/>
      </c>
      <c r="K946" t="str">
        <f>IFERROR(__xludf.DUMMYFUNCTION("""COMPUTED_VALUE"""),"")</f>
        <v/>
      </c>
      <c r="L946" t="str">
        <f>IFERROR(__xludf.DUMMYFUNCTION("""COMPUTED_VALUE"""),"")</f>
        <v/>
      </c>
    </row>
    <row r="947">
      <c r="A947" t="str">
        <f>IFERROR(__xludf.DUMMYFUNCTION("""COMPUTED_VALUE"""),"")</f>
        <v/>
      </c>
      <c r="B947" t="str">
        <f>IFERROR(__xludf.DUMMYFUNCTION("""COMPUTED_VALUE"""),"")</f>
        <v/>
      </c>
      <c r="C947" t="str">
        <f>IFERROR(__xludf.DUMMYFUNCTION("""COMPUTED_VALUE"""),"")</f>
        <v/>
      </c>
      <c r="D947" t="str">
        <f>IFERROR(__xludf.DUMMYFUNCTION("""COMPUTED_VALUE"""),"")</f>
        <v/>
      </c>
      <c r="E947" t="str">
        <f>IFERROR(__xludf.DUMMYFUNCTION("""COMPUTED_VALUE"""),"")</f>
        <v/>
      </c>
      <c r="F947" t="str">
        <f>IFERROR(__xludf.DUMMYFUNCTION("""COMPUTED_VALUE"""),"")</f>
        <v/>
      </c>
      <c r="G947" t="str">
        <f>IFERROR(__xludf.DUMMYFUNCTION("""COMPUTED_VALUE"""),"")</f>
        <v/>
      </c>
      <c r="H947" t="str">
        <f>IFERROR(__xludf.DUMMYFUNCTION("""COMPUTED_VALUE"""),"")</f>
        <v/>
      </c>
      <c r="I947" t="str">
        <f>IFERROR(__xludf.DUMMYFUNCTION("""COMPUTED_VALUE"""),"")</f>
        <v/>
      </c>
      <c r="J947" t="str">
        <f>IFERROR(__xludf.DUMMYFUNCTION("""COMPUTED_VALUE"""),"")</f>
        <v/>
      </c>
      <c r="K947" t="str">
        <f>IFERROR(__xludf.DUMMYFUNCTION("""COMPUTED_VALUE"""),"")</f>
        <v/>
      </c>
      <c r="L947" t="str">
        <f>IFERROR(__xludf.DUMMYFUNCTION("""COMPUTED_VALUE"""),"")</f>
        <v/>
      </c>
    </row>
    <row r="948">
      <c r="A948" t="str">
        <f>IFERROR(__xludf.DUMMYFUNCTION("""COMPUTED_VALUE"""),"")</f>
        <v/>
      </c>
      <c r="B948" t="str">
        <f>IFERROR(__xludf.DUMMYFUNCTION("""COMPUTED_VALUE"""),"")</f>
        <v/>
      </c>
      <c r="C948" t="str">
        <f>IFERROR(__xludf.DUMMYFUNCTION("""COMPUTED_VALUE"""),"")</f>
        <v/>
      </c>
      <c r="D948" t="str">
        <f>IFERROR(__xludf.DUMMYFUNCTION("""COMPUTED_VALUE"""),"")</f>
        <v/>
      </c>
      <c r="E948" t="str">
        <f>IFERROR(__xludf.DUMMYFUNCTION("""COMPUTED_VALUE"""),"")</f>
        <v/>
      </c>
      <c r="F948" t="str">
        <f>IFERROR(__xludf.DUMMYFUNCTION("""COMPUTED_VALUE"""),"")</f>
        <v/>
      </c>
      <c r="G948" t="str">
        <f>IFERROR(__xludf.DUMMYFUNCTION("""COMPUTED_VALUE"""),"")</f>
        <v/>
      </c>
      <c r="H948" t="str">
        <f>IFERROR(__xludf.DUMMYFUNCTION("""COMPUTED_VALUE"""),"")</f>
        <v/>
      </c>
      <c r="I948" t="str">
        <f>IFERROR(__xludf.DUMMYFUNCTION("""COMPUTED_VALUE"""),"")</f>
        <v/>
      </c>
      <c r="J948" t="str">
        <f>IFERROR(__xludf.DUMMYFUNCTION("""COMPUTED_VALUE"""),"")</f>
        <v/>
      </c>
      <c r="K948" t="str">
        <f>IFERROR(__xludf.DUMMYFUNCTION("""COMPUTED_VALUE"""),"")</f>
        <v/>
      </c>
      <c r="L948" t="str">
        <f>IFERROR(__xludf.DUMMYFUNCTION("""COMPUTED_VALUE"""),"")</f>
        <v/>
      </c>
    </row>
    <row r="949">
      <c r="A949" t="str">
        <f>IFERROR(__xludf.DUMMYFUNCTION("""COMPUTED_VALUE"""),"")</f>
        <v/>
      </c>
      <c r="B949" t="str">
        <f>IFERROR(__xludf.DUMMYFUNCTION("""COMPUTED_VALUE"""),"")</f>
        <v/>
      </c>
      <c r="C949" t="str">
        <f>IFERROR(__xludf.DUMMYFUNCTION("""COMPUTED_VALUE"""),"")</f>
        <v/>
      </c>
      <c r="D949" t="str">
        <f>IFERROR(__xludf.DUMMYFUNCTION("""COMPUTED_VALUE"""),"")</f>
        <v/>
      </c>
      <c r="E949" t="str">
        <f>IFERROR(__xludf.DUMMYFUNCTION("""COMPUTED_VALUE"""),"")</f>
        <v/>
      </c>
      <c r="F949" t="str">
        <f>IFERROR(__xludf.DUMMYFUNCTION("""COMPUTED_VALUE"""),"")</f>
        <v/>
      </c>
      <c r="G949" t="str">
        <f>IFERROR(__xludf.DUMMYFUNCTION("""COMPUTED_VALUE"""),"")</f>
        <v/>
      </c>
      <c r="H949" t="str">
        <f>IFERROR(__xludf.DUMMYFUNCTION("""COMPUTED_VALUE"""),"")</f>
        <v/>
      </c>
      <c r="I949" t="str">
        <f>IFERROR(__xludf.DUMMYFUNCTION("""COMPUTED_VALUE"""),"")</f>
        <v/>
      </c>
      <c r="J949" t="str">
        <f>IFERROR(__xludf.DUMMYFUNCTION("""COMPUTED_VALUE"""),"")</f>
        <v/>
      </c>
      <c r="K949" t="str">
        <f>IFERROR(__xludf.DUMMYFUNCTION("""COMPUTED_VALUE"""),"")</f>
        <v/>
      </c>
      <c r="L949" t="str">
        <f>IFERROR(__xludf.DUMMYFUNCTION("""COMPUTED_VALUE"""),"")</f>
        <v/>
      </c>
    </row>
    <row r="950">
      <c r="A950" t="str">
        <f>IFERROR(__xludf.DUMMYFUNCTION("""COMPUTED_VALUE"""),"")</f>
        <v/>
      </c>
      <c r="B950" t="str">
        <f>IFERROR(__xludf.DUMMYFUNCTION("""COMPUTED_VALUE"""),"")</f>
        <v/>
      </c>
      <c r="C950" t="str">
        <f>IFERROR(__xludf.DUMMYFUNCTION("""COMPUTED_VALUE"""),"")</f>
        <v/>
      </c>
      <c r="D950" t="str">
        <f>IFERROR(__xludf.DUMMYFUNCTION("""COMPUTED_VALUE"""),"")</f>
        <v/>
      </c>
      <c r="E950" t="str">
        <f>IFERROR(__xludf.DUMMYFUNCTION("""COMPUTED_VALUE"""),"")</f>
        <v/>
      </c>
      <c r="F950" t="str">
        <f>IFERROR(__xludf.DUMMYFUNCTION("""COMPUTED_VALUE"""),"")</f>
        <v/>
      </c>
      <c r="G950" t="str">
        <f>IFERROR(__xludf.DUMMYFUNCTION("""COMPUTED_VALUE"""),"")</f>
        <v/>
      </c>
      <c r="H950" t="str">
        <f>IFERROR(__xludf.DUMMYFUNCTION("""COMPUTED_VALUE"""),"")</f>
        <v/>
      </c>
      <c r="I950" t="str">
        <f>IFERROR(__xludf.DUMMYFUNCTION("""COMPUTED_VALUE"""),"")</f>
        <v/>
      </c>
      <c r="J950" t="str">
        <f>IFERROR(__xludf.DUMMYFUNCTION("""COMPUTED_VALUE"""),"")</f>
        <v/>
      </c>
      <c r="K950" t="str">
        <f>IFERROR(__xludf.DUMMYFUNCTION("""COMPUTED_VALUE"""),"")</f>
        <v/>
      </c>
      <c r="L950" t="str">
        <f>IFERROR(__xludf.DUMMYFUNCTION("""COMPUTED_VALUE"""),"")</f>
        <v/>
      </c>
    </row>
    <row r="951">
      <c r="A951" t="str">
        <f>IFERROR(__xludf.DUMMYFUNCTION("""COMPUTED_VALUE"""),"")</f>
        <v/>
      </c>
      <c r="B951" t="str">
        <f>IFERROR(__xludf.DUMMYFUNCTION("""COMPUTED_VALUE"""),"")</f>
        <v/>
      </c>
      <c r="C951" t="str">
        <f>IFERROR(__xludf.DUMMYFUNCTION("""COMPUTED_VALUE"""),"")</f>
        <v/>
      </c>
      <c r="D951" t="str">
        <f>IFERROR(__xludf.DUMMYFUNCTION("""COMPUTED_VALUE"""),"")</f>
        <v/>
      </c>
      <c r="E951" t="str">
        <f>IFERROR(__xludf.DUMMYFUNCTION("""COMPUTED_VALUE"""),"")</f>
        <v/>
      </c>
      <c r="F951" t="str">
        <f>IFERROR(__xludf.DUMMYFUNCTION("""COMPUTED_VALUE"""),"")</f>
        <v/>
      </c>
      <c r="G951" t="str">
        <f>IFERROR(__xludf.DUMMYFUNCTION("""COMPUTED_VALUE"""),"")</f>
        <v/>
      </c>
      <c r="H951" t="str">
        <f>IFERROR(__xludf.DUMMYFUNCTION("""COMPUTED_VALUE"""),"")</f>
        <v/>
      </c>
      <c r="I951" t="str">
        <f>IFERROR(__xludf.DUMMYFUNCTION("""COMPUTED_VALUE"""),"")</f>
        <v/>
      </c>
      <c r="J951" t="str">
        <f>IFERROR(__xludf.DUMMYFUNCTION("""COMPUTED_VALUE"""),"")</f>
        <v/>
      </c>
      <c r="K951" t="str">
        <f>IFERROR(__xludf.DUMMYFUNCTION("""COMPUTED_VALUE"""),"")</f>
        <v/>
      </c>
      <c r="L951" t="str">
        <f>IFERROR(__xludf.DUMMYFUNCTION("""COMPUTED_VALUE"""),"")</f>
        <v/>
      </c>
    </row>
    <row r="952">
      <c r="A952" t="str">
        <f>IFERROR(__xludf.DUMMYFUNCTION("""COMPUTED_VALUE"""),"")</f>
        <v/>
      </c>
      <c r="B952" t="str">
        <f>IFERROR(__xludf.DUMMYFUNCTION("""COMPUTED_VALUE"""),"")</f>
        <v/>
      </c>
      <c r="C952" t="str">
        <f>IFERROR(__xludf.DUMMYFUNCTION("""COMPUTED_VALUE"""),"")</f>
        <v/>
      </c>
      <c r="D952" t="str">
        <f>IFERROR(__xludf.DUMMYFUNCTION("""COMPUTED_VALUE"""),"")</f>
        <v/>
      </c>
      <c r="E952" t="str">
        <f>IFERROR(__xludf.DUMMYFUNCTION("""COMPUTED_VALUE"""),"")</f>
        <v/>
      </c>
      <c r="F952" t="str">
        <f>IFERROR(__xludf.DUMMYFUNCTION("""COMPUTED_VALUE"""),"")</f>
        <v/>
      </c>
      <c r="G952" t="str">
        <f>IFERROR(__xludf.DUMMYFUNCTION("""COMPUTED_VALUE"""),"")</f>
        <v/>
      </c>
      <c r="H952" t="str">
        <f>IFERROR(__xludf.DUMMYFUNCTION("""COMPUTED_VALUE"""),"")</f>
        <v/>
      </c>
      <c r="I952" t="str">
        <f>IFERROR(__xludf.DUMMYFUNCTION("""COMPUTED_VALUE"""),"")</f>
        <v/>
      </c>
      <c r="J952" t="str">
        <f>IFERROR(__xludf.DUMMYFUNCTION("""COMPUTED_VALUE"""),"")</f>
        <v/>
      </c>
      <c r="K952" t="str">
        <f>IFERROR(__xludf.DUMMYFUNCTION("""COMPUTED_VALUE"""),"")</f>
        <v/>
      </c>
      <c r="L952" t="str">
        <f>IFERROR(__xludf.DUMMYFUNCTION("""COMPUTED_VALUE"""),"")</f>
        <v/>
      </c>
    </row>
    <row r="953">
      <c r="A953" t="str">
        <f>IFERROR(__xludf.DUMMYFUNCTION("""COMPUTED_VALUE"""),"")</f>
        <v/>
      </c>
      <c r="B953" t="str">
        <f>IFERROR(__xludf.DUMMYFUNCTION("""COMPUTED_VALUE"""),"")</f>
        <v/>
      </c>
      <c r="C953" t="str">
        <f>IFERROR(__xludf.DUMMYFUNCTION("""COMPUTED_VALUE"""),"")</f>
        <v/>
      </c>
      <c r="D953" t="str">
        <f>IFERROR(__xludf.DUMMYFUNCTION("""COMPUTED_VALUE"""),"")</f>
        <v/>
      </c>
      <c r="E953" t="str">
        <f>IFERROR(__xludf.DUMMYFUNCTION("""COMPUTED_VALUE"""),"")</f>
        <v/>
      </c>
      <c r="F953" t="str">
        <f>IFERROR(__xludf.DUMMYFUNCTION("""COMPUTED_VALUE"""),"")</f>
        <v/>
      </c>
      <c r="G953" t="str">
        <f>IFERROR(__xludf.DUMMYFUNCTION("""COMPUTED_VALUE"""),"")</f>
        <v/>
      </c>
      <c r="H953" t="str">
        <f>IFERROR(__xludf.DUMMYFUNCTION("""COMPUTED_VALUE"""),"")</f>
        <v/>
      </c>
      <c r="I953" t="str">
        <f>IFERROR(__xludf.DUMMYFUNCTION("""COMPUTED_VALUE"""),"")</f>
        <v/>
      </c>
      <c r="J953" t="str">
        <f>IFERROR(__xludf.DUMMYFUNCTION("""COMPUTED_VALUE"""),"")</f>
        <v/>
      </c>
      <c r="K953" t="str">
        <f>IFERROR(__xludf.DUMMYFUNCTION("""COMPUTED_VALUE"""),"")</f>
        <v/>
      </c>
      <c r="L953" t="str">
        <f>IFERROR(__xludf.DUMMYFUNCTION("""COMPUTED_VALUE"""),"")</f>
        <v/>
      </c>
    </row>
    <row r="954">
      <c r="A954" t="str">
        <f>IFERROR(__xludf.DUMMYFUNCTION("""COMPUTED_VALUE"""),"")</f>
        <v/>
      </c>
      <c r="B954" t="str">
        <f>IFERROR(__xludf.DUMMYFUNCTION("""COMPUTED_VALUE"""),"")</f>
        <v/>
      </c>
      <c r="C954" t="str">
        <f>IFERROR(__xludf.DUMMYFUNCTION("""COMPUTED_VALUE"""),"")</f>
        <v/>
      </c>
      <c r="D954" t="str">
        <f>IFERROR(__xludf.DUMMYFUNCTION("""COMPUTED_VALUE"""),"")</f>
        <v/>
      </c>
      <c r="E954" t="str">
        <f>IFERROR(__xludf.DUMMYFUNCTION("""COMPUTED_VALUE"""),"")</f>
        <v/>
      </c>
      <c r="F954" t="str">
        <f>IFERROR(__xludf.DUMMYFUNCTION("""COMPUTED_VALUE"""),"")</f>
        <v/>
      </c>
      <c r="G954" t="str">
        <f>IFERROR(__xludf.DUMMYFUNCTION("""COMPUTED_VALUE"""),"")</f>
        <v/>
      </c>
      <c r="H954" t="str">
        <f>IFERROR(__xludf.DUMMYFUNCTION("""COMPUTED_VALUE"""),"")</f>
        <v/>
      </c>
      <c r="I954" t="str">
        <f>IFERROR(__xludf.DUMMYFUNCTION("""COMPUTED_VALUE"""),"")</f>
        <v/>
      </c>
      <c r="J954" t="str">
        <f>IFERROR(__xludf.DUMMYFUNCTION("""COMPUTED_VALUE"""),"")</f>
        <v/>
      </c>
      <c r="K954" t="str">
        <f>IFERROR(__xludf.DUMMYFUNCTION("""COMPUTED_VALUE"""),"")</f>
        <v/>
      </c>
      <c r="L954" t="str">
        <f>IFERROR(__xludf.DUMMYFUNCTION("""COMPUTED_VALUE"""),"")</f>
        <v/>
      </c>
    </row>
    <row r="955">
      <c r="A955" t="str">
        <f>IFERROR(__xludf.DUMMYFUNCTION("""COMPUTED_VALUE"""),"")</f>
        <v/>
      </c>
      <c r="B955" t="str">
        <f>IFERROR(__xludf.DUMMYFUNCTION("""COMPUTED_VALUE"""),"")</f>
        <v/>
      </c>
      <c r="C955" t="str">
        <f>IFERROR(__xludf.DUMMYFUNCTION("""COMPUTED_VALUE"""),"")</f>
        <v/>
      </c>
      <c r="D955" t="str">
        <f>IFERROR(__xludf.DUMMYFUNCTION("""COMPUTED_VALUE"""),"")</f>
        <v/>
      </c>
      <c r="E955" t="str">
        <f>IFERROR(__xludf.DUMMYFUNCTION("""COMPUTED_VALUE"""),"")</f>
        <v/>
      </c>
      <c r="F955" t="str">
        <f>IFERROR(__xludf.DUMMYFUNCTION("""COMPUTED_VALUE"""),"")</f>
        <v/>
      </c>
      <c r="G955" t="str">
        <f>IFERROR(__xludf.DUMMYFUNCTION("""COMPUTED_VALUE"""),"")</f>
        <v/>
      </c>
      <c r="H955" t="str">
        <f>IFERROR(__xludf.DUMMYFUNCTION("""COMPUTED_VALUE"""),"")</f>
        <v/>
      </c>
      <c r="I955" t="str">
        <f>IFERROR(__xludf.DUMMYFUNCTION("""COMPUTED_VALUE"""),"")</f>
        <v/>
      </c>
      <c r="J955" t="str">
        <f>IFERROR(__xludf.DUMMYFUNCTION("""COMPUTED_VALUE"""),"")</f>
        <v/>
      </c>
      <c r="K955" t="str">
        <f>IFERROR(__xludf.DUMMYFUNCTION("""COMPUTED_VALUE"""),"")</f>
        <v/>
      </c>
      <c r="L955" t="str">
        <f>IFERROR(__xludf.DUMMYFUNCTION("""COMPUTED_VALUE"""),"")</f>
        <v/>
      </c>
    </row>
    <row r="956">
      <c r="A956" t="str">
        <f>IFERROR(__xludf.DUMMYFUNCTION("""COMPUTED_VALUE"""),"")</f>
        <v/>
      </c>
      <c r="B956" t="str">
        <f>IFERROR(__xludf.DUMMYFUNCTION("""COMPUTED_VALUE"""),"")</f>
        <v/>
      </c>
      <c r="C956" t="str">
        <f>IFERROR(__xludf.DUMMYFUNCTION("""COMPUTED_VALUE"""),"")</f>
        <v/>
      </c>
      <c r="D956" t="str">
        <f>IFERROR(__xludf.DUMMYFUNCTION("""COMPUTED_VALUE"""),"")</f>
        <v/>
      </c>
      <c r="E956" t="str">
        <f>IFERROR(__xludf.DUMMYFUNCTION("""COMPUTED_VALUE"""),"")</f>
        <v/>
      </c>
      <c r="F956" t="str">
        <f>IFERROR(__xludf.DUMMYFUNCTION("""COMPUTED_VALUE"""),"")</f>
        <v/>
      </c>
      <c r="G956" t="str">
        <f>IFERROR(__xludf.DUMMYFUNCTION("""COMPUTED_VALUE"""),"")</f>
        <v/>
      </c>
      <c r="H956" t="str">
        <f>IFERROR(__xludf.DUMMYFUNCTION("""COMPUTED_VALUE"""),"")</f>
        <v/>
      </c>
      <c r="I956" t="str">
        <f>IFERROR(__xludf.DUMMYFUNCTION("""COMPUTED_VALUE"""),"")</f>
        <v/>
      </c>
      <c r="J956" t="str">
        <f>IFERROR(__xludf.DUMMYFUNCTION("""COMPUTED_VALUE"""),"")</f>
        <v/>
      </c>
      <c r="K956" t="str">
        <f>IFERROR(__xludf.DUMMYFUNCTION("""COMPUTED_VALUE"""),"")</f>
        <v/>
      </c>
      <c r="L956" t="str">
        <f>IFERROR(__xludf.DUMMYFUNCTION("""COMPUTED_VALUE"""),"")</f>
        <v/>
      </c>
    </row>
    <row r="957">
      <c r="A957" t="str">
        <f>IFERROR(__xludf.DUMMYFUNCTION("""COMPUTED_VALUE"""),"")</f>
        <v/>
      </c>
      <c r="B957" t="str">
        <f>IFERROR(__xludf.DUMMYFUNCTION("""COMPUTED_VALUE"""),"")</f>
        <v/>
      </c>
      <c r="C957" t="str">
        <f>IFERROR(__xludf.DUMMYFUNCTION("""COMPUTED_VALUE"""),"")</f>
        <v/>
      </c>
      <c r="D957" t="str">
        <f>IFERROR(__xludf.DUMMYFUNCTION("""COMPUTED_VALUE"""),"")</f>
        <v/>
      </c>
      <c r="E957" t="str">
        <f>IFERROR(__xludf.DUMMYFUNCTION("""COMPUTED_VALUE"""),"")</f>
        <v/>
      </c>
      <c r="F957" t="str">
        <f>IFERROR(__xludf.DUMMYFUNCTION("""COMPUTED_VALUE"""),"")</f>
        <v/>
      </c>
      <c r="G957" t="str">
        <f>IFERROR(__xludf.DUMMYFUNCTION("""COMPUTED_VALUE"""),"")</f>
        <v/>
      </c>
      <c r="H957" t="str">
        <f>IFERROR(__xludf.DUMMYFUNCTION("""COMPUTED_VALUE"""),"")</f>
        <v/>
      </c>
      <c r="I957" t="str">
        <f>IFERROR(__xludf.DUMMYFUNCTION("""COMPUTED_VALUE"""),"")</f>
        <v/>
      </c>
      <c r="J957" t="str">
        <f>IFERROR(__xludf.DUMMYFUNCTION("""COMPUTED_VALUE"""),"")</f>
        <v/>
      </c>
      <c r="K957" t="str">
        <f>IFERROR(__xludf.DUMMYFUNCTION("""COMPUTED_VALUE"""),"")</f>
        <v/>
      </c>
      <c r="L957" t="str">
        <f>IFERROR(__xludf.DUMMYFUNCTION("""COMPUTED_VALUE"""),"")</f>
        <v/>
      </c>
    </row>
    <row r="958">
      <c r="A958" t="str">
        <f>IFERROR(__xludf.DUMMYFUNCTION("""COMPUTED_VALUE"""),"")</f>
        <v/>
      </c>
      <c r="B958" t="str">
        <f>IFERROR(__xludf.DUMMYFUNCTION("""COMPUTED_VALUE"""),"")</f>
        <v/>
      </c>
      <c r="C958" t="str">
        <f>IFERROR(__xludf.DUMMYFUNCTION("""COMPUTED_VALUE"""),"")</f>
        <v/>
      </c>
      <c r="D958" t="str">
        <f>IFERROR(__xludf.DUMMYFUNCTION("""COMPUTED_VALUE"""),"")</f>
        <v/>
      </c>
      <c r="E958" t="str">
        <f>IFERROR(__xludf.DUMMYFUNCTION("""COMPUTED_VALUE"""),"")</f>
        <v/>
      </c>
      <c r="F958" t="str">
        <f>IFERROR(__xludf.DUMMYFUNCTION("""COMPUTED_VALUE"""),"")</f>
        <v/>
      </c>
      <c r="G958" t="str">
        <f>IFERROR(__xludf.DUMMYFUNCTION("""COMPUTED_VALUE"""),"")</f>
        <v/>
      </c>
      <c r="H958" t="str">
        <f>IFERROR(__xludf.DUMMYFUNCTION("""COMPUTED_VALUE"""),"")</f>
        <v/>
      </c>
      <c r="I958" t="str">
        <f>IFERROR(__xludf.DUMMYFUNCTION("""COMPUTED_VALUE"""),"")</f>
        <v/>
      </c>
      <c r="J958" t="str">
        <f>IFERROR(__xludf.DUMMYFUNCTION("""COMPUTED_VALUE"""),"")</f>
        <v/>
      </c>
      <c r="K958" t="str">
        <f>IFERROR(__xludf.DUMMYFUNCTION("""COMPUTED_VALUE"""),"")</f>
        <v/>
      </c>
      <c r="L958" t="str">
        <f>IFERROR(__xludf.DUMMYFUNCTION("""COMPUTED_VALUE"""),"")</f>
        <v/>
      </c>
    </row>
    <row r="959">
      <c r="A959" t="str">
        <f>IFERROR(__xludf.DUMMYFUNCTION("""COMPUTED_VALUE"""),"")</f>
        <v/>
      </c>
      <c r="B959" t="str">
        <f>IFERROR(__xludf.DUMMYFUNCTION("""COMPUTED_VALUE"""),"")</f>
        <v/>
      </c>
      <c r="C959" t="str">
        <f>IFERROR(__xludf.DUMMYFUNCTION("""COMPUTED_VALUE"""),"")</f>
        <v/>
      </c>
      <c r="D959" t="str">
        <f>IFERROR(__xludf.DUMMYFUNCTION("""COMPUTED_VALUE"""),"")</f>
        <v/>
      </c>
      <c r="E959" t="str">
        <f>IFERROR(__xludf.DUMMYFUNCTION("""COMPUTED_VALUE"""),"")</f>
        <v/>
      </c>
      <c r="F959" t="str">
        <f>IFERROR(__xludf.DUMMYFUNCTION("""COMPUTED_VALUE"""),"")</f>
        <v/>
      </c>
      <c r="G959" t="str">
        <f>IFERROR(__xludf.DUMMYFUNCTION("""COMPUTED_VALUE"""),"")</f>
        <v/>
      </c>
      <c r="H959" t="str">
        <f>IFERROR(__xludf.DUMMYFUNCTION("""COMPUTED_VALUE"""),"")</f>
        <v/>
      </c>
      <c r="I959" t="str">
        <f>IFERROR(__xludf.DUMMYFUNCTION("""COMPUTED_VALUE"""),"")</f>
        <v/>
      </c>
      <c r="J959" t="str">
        <f>IFERROR(__xludf.DUMMYFUNCTION("""COMPUTED_VALUE"""),"")</f>
        <v/>
      </c>
      <c r="K959" t="str">
        <f>IFERROR(__xludf.DUMMYFUNCTION("""COMPUTED_VALUE"""),"")</f>
        <v/>
      </c>
      <c r="L959" t="str">
        <f>IFERROR(__xludf.DUMMYFUNCTION("""COMPUTED_VALUE"""),"")</f>
        <v/>
      </c>
    </row>
    <row r="960">
      <c r="A960" t="str">
        <f>IFERROR(__xludf.DUMMYFUNCTION("""COMPUTED_VALUE"""),"")</f>
        <v/>
      </c>
      <c r="B960" t="str">
        <f>IFERROR(__xludf.DUMMYFUNCTION("""COMPUTED_VALUE"""),"")</f>
        <v/>
      </c>
      <c r="C960" t="str">
        <f>IFERROR(__xludf.DUMMYFUNCTION("""COMPUTED_VALUE"""),"")</f>
        <v/>
      </c>
      <c r="D960" t="str">
        <f>IFERROR(__xludf.DUMMYFUNCTION("""COMPUTED_VALUE"""),"")</f>
        <v/>
      </c>
      <c r="E960" t="str">
        <f>IFERROR(__xludf.DUMMYFUNCTION("""COMPUTED_VALUE"""),"")</f>
        <v/>
      </c>
      <c r="F960" t="str">
        <f>IFERROR(__xludf.DUMMYFUNCTION("""COMPUTED_VALUE"""),"")</f>
        <v/>
      </c>
      <c r="G960" t="str">
        <f>IFERROR(__xludf.DUMMYFUNCTION("""COMPUTED_VALUE"""),"")</f>
        <v/>
      </c>
      <c r="H960" t="str">
        <f>IFERROR(__xludf.DUMMYFUNCTION("""COMPUTED_VALUE"""),"")</f>
        <v/>
      </c>
      <c r="I960" t="str">
        <f>IFERROR(__xludf.DUMMYFUNCTION("""COMPUTED_VALUE"""),"")</f>
        <v/>
      </c>
      <c r="J960" t="str">
        <f>IFERROR(__xludf.DUMMYFUNCTION("""COMPUTED_VALUE"""),"")</f>
        <v/>
      </c>
      <c r="K960" t="str">
        <f>IFERROR(__xludf.DUMMYFUNCTION("""COMPUTED_VALUE"""),"")</f>
        <v/>
      </c>
      <c r="L960" t="str">
        <f>IFERROR(__xludf.DUMMYFUNCTION("""COMPUTED_VALUE"""),"")</f>
        <v/>
      </c>
    </row>
    <row r="961">
      <c r="A961" t="str">
        <f>IFERROR(__xludf.DUMMYFUNCTION("""COMPUTED_VALUE"""),"")</f>
        <v/>
      </c>
      <c r="B961" t="str">
        <f>IFERROR(__xludf.DUMMYFUNCTION("""COMPUTED_VALUE"""),"")</f>
        <v/>
      </c>
      <c r="C961" t="str">
        <f>IFERROR(__xludf.DUMMYFUNCTION("""COMPUTED_VALUE"""),"")</f>
        <v/>
      </c>
      <c r="D961" t="str">
        <f>IFERROR(__xludf.DUMMYFUNCTION("""COMPUTED_VALUE"""),"")</f>
        <v/>
      </c>
      <c r="E961" t="str">
        <f>IFERROR(__xludf.DUMMYFUNCTION("""COMPUTED_VALUE"""),"")</f>
        <v/>
      </c>
      <c r="F961" t="str">
        <f>IFERROR(__xludf.DUMMYFUNCTION("""COMPUTED_VALUE"""),"")</f>
        <v/>
      </c>
      <c r="G961" t="str">
        <f>IFERROR(__xludf.DUMMYFUNCTION("""COMPUTED_VALUE"""),"")</f>
        <v/>
      </c>
      <c r="H961" t="str">
        <f>IFERROR(__xludf.DUMMYFUNCTION("""COMPUTED_VALUE"""),"")</f>
        <v/>
      </c>
      <c r="I961" t="str">
        <f>IFERROR(__xludf.DUMMYFUNCTION("""COMPUTED_VALUE"""),"")</f>
        <v/>
      </c>
      <c r="J961" t="str">
        <f>IFERROR(__xludf.DUMMYFUNCTION("""COMPUTED_VALUE"""),"")</f>
        <v/>
      </c>
      <c r="K961" t="str">
        <f>IFERROR(__xludf.DUMMYFUNCTION("""COMPUTED_VALUE"""),"")</f>
        <v/>
      </c>
      <c r="L961" t="str">
        <f>IFERROR(__xludf.DUMMYFUNCTION("""COMPUTED_VALUE"""),"")</f>
        <v/>
      </c>
    </row>
    <row r="962">
      <c r="A962" t="str">
        <f>IFERROR(__xludf.DUMMYFUNCTION("""COMPUTED_VALUE"""),"")</f>
        <v/>
      </c>
      <c r="B962" t="str">
        <f>IFERROR(__xludf.DUMMYFUNCTION("""COMPUTED_VALUE"""),"")</f>
        <v/>
      </c>
      <c r="C962" t="str">
        <f>IFERROR(__xludf.DUMMYFUNCTION("""COMPUTED_VALUE"""),"")</f>
        <v/>
      </c>
      <c r="D962" t="str">
        <f>IFERROR(__xludf.DUMMYFUNCTION("""COMPUTED_VALUE"""),"")</f>
        <v/>
      </c>
      <c r="E962" t="str">
        <f>IFERROR(__xludf.DUMMYFUNCTION("""COMPUTED_VALUE"""),"")</f>
        <v/>
      </c>
      <c r="F962" t="str">
        <f>IFERROR(__xludf.DUMMYFUNCTION("""COMPUTED_VALUE"""),"")</f>
        <v/>
      </c>
      <c r="G962" t="str">
        <f>IFERROR(__xludf.DUMMYFUNCTION("""COMPUTED_VALUE"""),"")</f>
        <v/>
      </c>
      <c r="H962" t="str">
        <f>IFERROR(__xludf.DUMMYFUNCTION("""COMPUTED_VALUE"""),"")</f>
        <v/>
      </c>
      <c r="I962" t="str">
        <f>IFERROR(__xludf.DUMMYFUNCTION("""COMPUTED_VALUE"""),"")</f>
        <v/>
      </c>
      <c r="J962" t="str">
        <f>IFERROR(__xludf.DUMMYFUNCTION("""COMPUTED_VALUE"""),"")</f>
        <v/>
      </c>
      <c r="K962" t="str">
        <f>IFERROR(__xludf.DUMMYFUNCTION("""COMPUTED_VALUE"""),"")</f>
        <v/>
      </c>
      <c r="L962" t="str">
        <f>IFERROR(__xludf.DUMMYFUNCTION("""COMPUTED_VALUE"""),"")</f>
        <v/>
      </c>
    </row>
    <row r="963">
      <c r="A963" t="str">
        <f>IFERROR(__xludf.DUMMYFUNCTION("""COMPUTED_VALUE"""),"")</f>
        <v/>
      </c>
      <c r="B963" t="str">
        <f>IFERROR(__xludf.DUMMYFUNCTION("""COMPUTED_VALUE"""),"")</f>
        <v/>
      </c>
      <c r="C963" t="str">
        <f>IFERROR(__xludf.DUMMYFUNCTION("""COMPUTED_VALUE"""),"")</f>
        <v/>
      </c>
      <c r="D963" t="str">
        <f>IFERROR(__xludf.DUMMYFUNCTION("""COMPUTED_VALUE"""),"")</f>
        <v/>
      </c>
      <c r="E963" t="str">
        <f>IFERROR(__xludf.DUMMYFUNCTION("""COMPUTED_VALUE"""),"")</f>
        <v/>
      </c>
      <c r="F963" t="str">
        <f>IFERROR(__xludf.DUMMYFUNCTION("""COMPUTED_VALUE"""),"")</f>
        <v/>
      </c>
      <c r="G963" t="str">
        <f>IFERROR(__xludf.DUMMYFUNCTION("""COMPUTED_VALUE"""),"")</f>
        <v/>
      </c>
      <c r="H963" t="str">
        <f>IFERROR(__xludf.DUMMYFUNCTION("""COMPUTED_VALUE"""),"")</f>
        <v/>
      </c>
      <c r="I963" t="str">
        <f>IFERROR(__xludf.DUMMYFUNCTION("""COMPUTED_VALUE"""),"")</f>
        <v/>
      </c>
      <c r="J963" t="str">
        <f>IFERROR(__xludf.DUMMYFUNCTION("""COMPUTED_VALUE"""),"")</f>
        <v/>
      </c>
      <c r="K963" t="str">
        <f>IFERROR(__xludf.DUMMYFUNCTION("""COMPUTED_VALUE"""),"")</f>
        <v/>
      </c>
      <c r="L963" t="str">
        <f>IFERROR(__xludf.DUMMYFUNCTION("""COMPUTED_VALUE"""),"")</f>
        <v/>
      </c>
    </row>
    <row r="964">
      <c r="A964" t="str">
        <f>IFERROR(__xludf.DUMMYFUNCTION("""COMPUTED_VALUE"""),"")</f>
        <v/>
      </c>
      <c r="B964" t="str">
        <f>IFERROR(__xludf.DUMMYFUNCTION("""COMPUTED_VALUE"""),"")</f>
        <v/>
      </c>
      <c r="C964" t="str">
        <f>IFERROR(__xludf.DUMMYFUNCTION("""COMPUTED_VALUE"""),"")</f>
        <v/>
      </c>
      <c r="D964" t="str">
        <f>IFERROR(__xludf.DUMMYFUNCTION("""COMPUTED_VALUE"""),"")</f>
        <v/>
      </c>
      <c r="E964" t="str">
        <f>IFERROR(__xludf.DUMMYFUNCTION("""COMPUTED_VALUE"""),"")</f>
        <v/>
      </c>
      <c r="F964" t="str">
        <f>IFERROR(__xludf.DUMMYFUNCTION("""COMPUTED_VALUE"""),"")</f>
        <v/>
      </c>
      <c r="G964" t="str">
        <f>IFERROR(__xludf.DUMMYFUNCTION("""COMPUTED_VALUE"""),"")</f>
        <v/>
      </c>
      <c r="H964" t="str">
        <f>IFERROR(__xludf.DUMMYFUNCTION("""COMPUTED_VALUE"""),"")</f>
        <v/>
      </c>
      <c r="I964" t="str">
        <f>IFERROR(__xludf.DUMMYFUNCTION("""COMPUTED_VALUE"""),"")</f>
        <v/>
      </c>
      <c r="J964" t="str">
        <f>IFERROR(__xludf.DUMMYFUNCTION("""COMPUTED_VALUE"""),"")</f>
        <v/>
      </c>
      <c r="K964" t="str">
        <f>IFERROR(__xludf.DUMMYFUNCTION("""COMPUTED_VALUE"""),"")</f>
        <v/>
      </c>
      <c r="L964" t="str">
        <f>IFERROR(__xludf.DUMMYFUNCTION("""COMPUTED_VALUE"""),"")</f>
        <v/>
      </c>
    </row>
    <row r="965">
      <c r="A965" t="str">
        <f>IFERROR(__xludf.DUMMYFUNCTION("""COMPUTED_VALUE"""),"")</f>
        <v/>
      </c>
      <c r="B965" t="str">
        <f>IFERROR(__xludf.DUMMYFUNCTION("""COMPUTED_VALUE"""),"")</f>
        <v/>
      </c>
      <c r="C965" t="str">
        <f>IFERROR(__xludf.DUMMYFUNCTION("""COMPUTED_VALUE"""),"")</f>
        <v/>
      </c>
      <c r="D965" t="str">
        <f>IFERROR(__xludf.DUMMYFUNCTION("""COMPUTED_VALUE"""),"")</f>
        <v/>
      </c>
      <c r="E965" t="str">
        <f>IFERROR(__xludf.DUMMYFUNCTION("""COMPUTED_VALUE"""),"")</f>
        <v/>
      </c>
      <c r="F965" t="str">
        <f>IFERROR(__xludf.DUMMYFUNCTION("""COMPUTED_VALUE"""),"")</f>
        <v/>
      </c>
      <c r="G965" t="str">
        <f>IFERROR(__xludf.DUMMYFUNCTION("""COMPUTED_VALUE"""),"")</f>
        <v/>
      </c>
      <c r="H965" t="str">
        <f>IFERROR(__xludf.DUMMYFUNCTION("""COMPUTED_VALUE"""),"")</f>
        <v/>
      </c>
      <c r="I965" t="str">
        <f>IFERROR(__xludf.DUMMYFUNCTION("""COMPUTED_VALUE"""),"")</f>
        <v/>
      </c>
      <c r="J965" t="str">
        <f>IFERROR(__xludf.DUMMYFUNCTION("""COMPUTED_VALUE"""),"")</f>
        <v/>
      </c>
      <c r="K965" t="str">
        <f>IFERROR(__xludf.DUMMYFUNCTION("""COMPUTED_VALUE"""),"")</f>
        <v/>
      </c>
      <c r="L965" t="str">
        <f>IFERROR(__xludf.DUMMYFUNCTION("""COMPUTED_VALUE"""),"")</f>
        <v/>
      </c>
    </row>
    <row r="966">
      <c r="A966" t="str">
        <f>IFERROR(__xludf.DUMMYFUNCTION("""COMPUTED_VALUE"""),"")</f>
        <v/>
      </c>
      <c r="B966" t="str">
        <f>IFERROR(__xludf.DUMMYFUNCTION("""COMPUTED_VALUE"""),"")</f>
        <v/>
      </c>
      <c r="C966" t="str">
        <f>IFERROR(__xludf.DUMMYFUNCTION("""COMPUTED_VALUE"""),"")</f>
        <v/>
      </c>
      <c r="D966" t="str">
        <f>IFERROR(__xludf.DUMMYFUNCTION("""COMPUTED_VALUE"""),"")</f>
        <v/>
      </c>
      <c r="E966" t="str">
        <f>IFERROR(__xludf.DUMMYFUNCTION("""COMPUTED_VALUE"""),"")</f>
        <v/>
      </c>
      <c r="F966" t="str">
        <f>IFERROR(__xludf.DUMMYFUNCTION("""COMPUTED_VALUE"""),"")</f>
        <v/>
      </c>
      <c r="G966" t="str">
        <f>IFERROR(__xludf.DUMMYFUNCTION("""COMPUTED_VALUE"""),"")</f>
        <v/>
      </c>
      <c r="H966" t="str">
        <f>IFERROR(__xludf.DUMMYFUNCTION("""COMPUTED_VALUE"""),"")</f>
        <v/>
      </c>
      <c r="I966" t="str">
        <f>IFERROR(__xludf.DUMMYFUNCTION("""COMPUTED_VALUE"""),"")</f>
        <v/>
      </c>
      <c r="J966" t="str">
        <f>IFERROR(__xludf.DUMMYFUNCTION("""COMPUTED_VALUE"""),"")</f>
        <v/>
      </c>
      <c r="K966" t="str">
        <f>IFERROR(__xludf.DUMMYFUNCTION("""COMPUTED_VALUE"""),"")</f>
        <v/>
      </c>
      <c r="L966" t="str">
        <f>IFERROR(__xludf.DUMMYFUNCTION("""COMPUTED_VALUE"""),"")</f>
        <v/>
      </c>
    </row>
    <row r="967">
      <c r="A967" t="str">
        <f>IFERROR(__xludf.DUMMYFUNCTION("""COMPUTED_VALUE"""),"")</f>
        <v/>
      </c>
      <c r="B967" t="str">
        <f>IFERROR(__xludf.DUMMYFUNCTION("""COMPUTED_VALUE"""),"")</f>
        <v/>
      </c>
      <c r="C967" t="str">
        <f>IFERROR(__xludf.DUMMYFUNCTION("""COMPUTED_VALUE"""),"")</f>
        <v/>
      </c>
      <c r="D967" t="str">
        <f>IFERROR(__xludf.DUMMYFUNCTION("""COMPUTED_VALUE"""),"")</f>
        <v/>
      </c>
      <c r="E967" t="str">
        <f>IFERROR(__xludf.DUMMYFUNCTION("""COMPUTED_VALUE"""),"")</f>
        <v/>
      </c>
      <c r="F967" t="str">
        <f>IFERROR(__xludf.DUMMYFUNCTION("""COMPUTED_VALUE"""),"")</f>
        <v/>
      </c>
      <c r="G967" t="str">
        <f>IFERROR(__xludf.DUMMYFUNCTION("""COMPUTED_VALUE"""),"")</f>
        <v/>
      </c>
      <c r="H967" t="str">
        <f>IFERROR(__xludf.DUMMYFUNCTION("""COMPUTED_VALUE"""),"")</f>
        <v/>
      </c>
      <c r="I967" t="str">
        <f>IFERROR(__xludf.DUMMYFUNCTION("""COMPUTED_VALUE"""),"")</f>
        <v/>
      </c>
      <c r="J967" t="str">
        <f>IFERROR(__xludf.DUMMYFUNCTION("""COMPUTED_VALUE"""),"")</f>
        <v/>
      </c>
      <c r="K967" t="str">
        <f>IFERROR(__xludf.DUMMYFUNCTION("""COMPUTED_VALUE"""),"")</f>
        <v/>
      </c>
      <c r="L967" t="str">
        <f>IFERROR(__xludf.DUMMYFUNCTION("""COMPUTED_VALUE"""),"")</f>
        <v/>
      </c>
    </row>
    <row r="968">
      <c r="A968" t="str">
        <f>IFERROR(__xludf.DUMMYFUNCTION("""COMPUTED_VALUE"""),"")</f>
        <v/>
      </c>
      <c r="B968" t="str">
        <f>IFERROR(__xludf.DUMMYFUNCTION("""COMPUTED_VALUE"""),"")</f>
        <v/>
      </c>
      <c r="C968" t="str">
        <f>IFERROR(__xludf.DUMMYFUNCTION("""COMPUTED_VALUE"""),"")</f>
        <v/>
      </c>
      <c r="D968" t="str">
        <f>IFERROR(__xludf.DUMMYFUNCTION("""COMPUTED_VALUE"""),"")</f>
        <v/>
      </c>
      <c r="E968" t="str">
        <f>IFERROR(__xludf.DUMMYFUNCTION("""COMPUTED_VALUE"""),"")</f>
        <v/>
      </c>
      <c r="F968" t="str">
        <f>IFERROR(__xludf.DUMMYFUNCTION("""COMPUTED_VALUE"""),"")</f>
        <v/>
      </c>
      <c r="G968" t="str">
        <f>IFERROR(__xludf.DUMMYFUNCTION("""COMPUTED_VALUE"""),"")</f>
        <v/>
      </c>
      <c r="H968" t="str">
        <f>IFERROR(__xludf.DUMMYFUNCTION("""COMPUTED_VALUE"""),"")</f>
        <v/>
      </c>
      <c r="I968" t="str">
        <f>IFERROR(__xludf.DUMMYFUNCTION("""COMPUTED_VALUE"""),"")</f>
        <v/>
      </c>
      <c r="J968" t="str">
        <f>IFERROR(__xludf.DUMMYFUNCTION("""COMPUTED_VALUE"""),"")</f>
        <v/>
      </c>
      <c r="K968" t="str">
        <f>IFERROR(__xludf.DUMMYFUNCTION("""COMPUTED_VALUE"""),"")</f>
        <v/>
      </c>
      <c r="L968" t="str">
        <f>IFERROR(__xludf.DUMMYFUNCTION("""COMPUTED_VALUE"""),"")</f>
        <v/>
      </c>
    </row>
    <row r="969">
      <c r="A969" t="str">
        <f>IFERROR(__xludf.DUMMYFUNCTION("""COMPUTED_VALUE"""),"")</f>
        <v/>
      </c>
      <c r="B969" t="str">
        <f>IFERROR(__xludf.DUMMYFUNCTION("""COMPUTED_VALUE"""),"")</f>
        <v/>
      </c>
      <c r="C969" t="str">
        <f>IFERROR(__xludf.DUMMYFUNCTION("""COMPUTED_VALUE"""),"")</f>
        <v/>
      </c>
      <c r="D969" t="str">
        <f>IFERROR(__xludf.DUMMYFUNCTION("""COMPUTED_VALUE"""),"")</f>
        <v/>
      </c>
      <c r="E969" t="str">
        <f>IFERROR(__xludf.DUMMYFUNCTION("""COMPUTED_VALUE"""),"")</f>
        <v/>
      </c>
      <c r="F969" t="str">
        <f>IFERROR(__xludf.DUMMYFUNCTION("""COMPUTED_VALUE"""),"")</f>
        <v/>
      </c>
      <c r="G969" t="str">
        <f>IFERROR(__xludf.DUMMYFUNCTION("""COMPUTED_VALUE"""),"")</f>
        <v/>
      </c>
      <c r="H969" t="str">
        <f>IFERROR(__xludf.DUMMYFUNCTION("""COMPUTED_VALUE"""),"")</f>
        <v/>
      </c>
      <c r="I969" t="str">
        <f>IFERROR(__xludf.DUMMYFUNCTION("""COMPUTED_VALUE"""),"")</f>
        <v/>
      </c>
      <c r="J969" t="str">
        <f>IFERROR(__xludf.DUMMYFUNCTION("""COMPUTED_VALUE"""),"")</f>
        <v/>
      </c>
      <c r="K969" t="str">
        <f>IFERROR(__xludf.DUMMYFUNCTION("""COMPUTED_VALUE"""),"")</f>
        <v/>
      </c>
      <c r="L969" t="str">
        <f>IFERROR(__xludf.DUMMYFUNCTION("""COMPUTED_VALUE"""),"")</f>
        <v/>
      </c>
    </row>
    <row r="970">
      <c r="A970" t="str">
        <f>IFERROR(__xludf.DUMMYFUNCTION("""COMPUTED_VALUE"""),"")</f>
        <v/>
      </c>
      <c r="B970" t="str">
        <f>IFERROR(__xludf.DUMMYFUNCTION("""COMPUTED_VALUE"""),"")</f>
        <v/>
      </c>
      <c r="C970" t="str">
        <f>IFERROR(__xludf.DUMMYFUNCTION("""COMPUTED_VALUE"""),"")</f>
        <v/>
      </c>
      <c r="D970" t="str">
        <f>IFERROR(__xludf.DUMMYFUNCTION("""COMPUTED_VALUE"""),"")</f>
        <v/>
      </c>
      <c r="E970" t="str">
        <f>IFERROR(__xludf.DUMMYFUNCTION("""COMPUTED_VALUE"""),"")</f>
        <v/>
      </c>
      <c r="F970" t="str">
        <f>IFERROR(__xludf.DUMMYFUNCTION("""COMPUTED_VALUE"""),"")</f>
        <v/>
      </c>
      <c r="G970" t="str">
        <f>IFERROR(__xludf.DUMMYFUNCTION("""COMPUTED_VALUE"""),"")</f>
        <v/>
      </c>
      <c r="H970" t="str">
        <f>IFERROR(__xludf.DUMMYFUNCTION("""COMPUTED_VALUE"""),"")</f>
        <v/>
      </c>
      <c r="I970" t="str">
        <f>IFERROR(__xludf.DUMMYFUNCTION("""COMPUTED_VALUE"""),"")</f>
        <v/>
      </c>
      <c r="J970" t="str">
        <f>IFERROR(__xludf.DUMMYFUNCTION("""COMPUTED_VALUE"""),"")</f>
        <v/>
      </c>
      <c r="K970" t="str">
        <f>IFERROR(__xludf.DUMMYFUNCTION("""COMPUTED_VALUE"""),"")</f>
        <v/>
      </c>
      <c r="L970" t="str">
        <f>IFERROR(__xludf.DUMMYFUNCTION("""COMPUTED_VALUE"""),"")</f>
        <v/>
      </c>
    </row>
    <row r="971">
      <c r="A971" t="str">
        <f>IFERROR(__xludf.DUMMYFUNCTION("""COMPUTED_VALUE"""),"")</f>
        <v/>
      </c>
      <c r="B971" t="str">
        <f>IFERROR(__xludf.DUMMYFUNCTION("""COMPUTED_VALUE"""),"")</f>
        <v/>
      </c>
      <c r="C971" t="str">
        <f>IFERROR(__xludf.DUMMYFUNCTION("""COMPUTED_VALUE"""),"")</f>
        <v/>
      </c>
      <c r="D971" t="str">
        <f>IFERROR(__xludf.DUMMYFUNCTION("""COMPUTED_VALUE"""),"")</f>
        <v/>
      </c>
      <c r="E971" t="str">
        <f>IFERROR(__xludf.DUMMYFUNCTION("""COMPUTED_VALUE"""),"")</f>
        <v/>
      </c>
      <c r="F971" t="str">
        <f>IFERROR(__xludf.DUMMYFUNCTION("""COMPUTED_VALUE"""),"")</f>
        <v/>
      </c>
      <c r="G971" t="str">
        <f>IFERROR(__xludf.DUMMYFUNCTION("""COMPUTED_VALUE"""),"")</f>
        <v/>
      </c>
      <c r="H971" t="str">
        <f>IFERROR(__xludf.DUMMYFUNCTION("""COMPUTED_VALUE"""),"")</f>
        <v/>
      </c>
      <c r="I971" t="str">
        <f>IFERROR(__xludf.DUMMYFUNCTION("""COMPUTED_VALUE"""),"")</f>
        <v/>
      </c>
      <c r="J971" t="str">
        <f>IFERROR(__xludf.DUMMYFUNCTION("""COMPUTED_VALUE"""),"")</f>
        <v/>
      </c>
      <c r="K971" t="str">
        <f>IFERROR(__xludf.DUMMYFUNCTION("""COMPUTED_VALUE"""),"")</f>
        <v/>
      </c>
      <c r="L971" t="str">
        <f>IFERROR(__xludf.DUMMYFUNCTION("""COMPUTED_VALUE"""),"")</f>
        <v/>
      </c>
    </row>
    <row r="972">
      <c r="A972" t="str">
        <f>IFERROR(__xludf.DUMMYFUNCTION("""COMPUTED_VALUE"""),"")</f>
        <v/>
      </c>
      <c r="B972" t="str">
        <f>IFERROR(__xludf.DUMMYFUNCTION("""COMPUTED_VALUE"""),"")</f>
        <v/>
      </c>
      <c r="C972" t="str">
        <f>IFERROR(__xludf.DUMMYFUNCTION("""COMPUTED_VALUE"""),"")</f>
        <v/>
      </c>
      <c r="D972" t="str">
        <f>IFERROR(__xludf.DUMMYFUNCTION("""COMPUTED_VALUE"""),"")</f>
        <v/>
      </c>
      <c r="E972" t="str">
        <f>IFERROR(__xludf.DUMMYFUNCTION("""COMPUTED_VALUE"""),"")</f>
        <v/>
      </c>
      <c r="F972" t="str">
        <f>IFERROR(__xludf.DUMMYFUNCTION("""COMPUTED_VALUE"""),"")</f>
        <v/>
      </c>
      <c r="G972" t="str">
        <f>IFERROR(__xludf.DUMMYFUNCTION("""COMPUTED_VALUE"""),"")</f>
        <v/>
      </c>
      <c r="H972" t="str">
        <f>IFERROR(__xludf.DUMMYFUNCTION("""COMPUTED_VALUE"""),"")</f>
        <v/>
      </c>
      <c r="I972" t="str">
        <f>IFERROR(__xludf.DUMMYFUNCTION("""COMPUTED_VALUE"""),"")</f>
        <v/>
      </c>
      <c r="J972" t="str">
        <f>IFERROR(__xludf.DUMMYFUNCTION("""COMPUTED_VALUE"""),"")</f>
        <v/>
      </c>
      <c r="K972" t="str">
        <f>IFERROR(__xludf.DUMMYFUNCTION("""COMPUTED_VALUE"""),"")</f>
        <v/>
      </c>
      <c r="L972" t="str">
        <f>IFERROR(__xludf.DUMMYFUNCTION("""COMPUTED_VALUE"""),"")</f>
        <v/>
      </c>
    </row>
    <row r="973">
      <c r="A973" t="str">
        <f>IFERROR(__xludf.DUMMYFUNCTION("""COMPUTED_VALUE"""),"")</f>
        <v/>
      </c>
      <c r="B973" t="str">
        <f>IFERROR(__xludf.DUMMYFUNCTION("""COMPUTED_VALUE"""),"")</f>
        <v/>
      </c>
      <c r="C973" t="str">
        <f>IFERROR(__xludf.DUMMYFUNCTION("""COMPUTED_VALUE"""),"")</f>
        <v/>
      </c>
      <c r="D973" t="str">
        <f>IFERROR(__xludf.DUMMYFUNCTION("""COMPUTED_VALUE"""),"")</f>
        <v/>
      </c>
      <c r="E973" t="str">
        <f>IFERROR(__xludf.DUMMYFUNCTION("""COMPUTED_VALUE"""),"")</f>
        <v/>
      </c>
      <c r="F973" t="str">
        <f>IFERROR(__xludf.DUMMYFUNCTION("""COMPUTED_VALUE"""),"")</f>
        <v/>
      </c>
      <c r="G973" t="str">
        <f>IFERROR(__xludf.DUMMYFUNCTION("""COMPUTED_VALUE"""),"")</f>
        <v/>
      </c>
      <c r="H973" t="str">
        <f>IFERROR(__xludf.DUMMYFUNCTION("""COMPUTED_VALUE"""),"")</f>
        <v/>
      </c>
      <c r="I973" t="str">
        <f>IFERROR(__xludf.DUMMYFUNCTION("""COMPUTED_VALUE"""),"")</f>
        <v/>
      </c>
      <c r="J973" t="str">
        <f>IFERROR(__xludf.DUMMYFUNCTION("""COMPUTED_VALUE"""),"")</f>
        <v/>
      </c>
      <c r="K973" t="str">
        <f>IFERROR(__xludf.DUMMYFUNCTION("""COMPUTED_VALUE"""),"")</f>
        <v/>
      </c>
      <c r="L973" t="str">
        <f>IFERROR(__xludf.DUMMYFUNCTION("""COMPUTED_VALUE"""),"")</f>
        <v/>
      </c>
    </row>
    <row r="974">
      <c r="A974" t="str">
        <f>IFERROR(__xludf.DUMMYFUNCTION("""COMPUTED_VALUE"""),"")</f>
        <v/>
      </c>
      <c r="B974" t="str">
        <f>IFERROR(__xludf.DUMMYFUNCTION("""COMPUTED_VALUE"""),"")</f>
        <v/>
      </c>
      <c r="C974" t="str">
        <f>IFERROR(__xludf.DUMMYFUNCTION("""COMPUTED_VALUE"""),"")</f>
        <v/>
      </c>
      <c r="D974" t="str">
        <f>IFERROR(__xludf.DUMMYFUNCTION("""COMPUTED_VALUE"""),"")</f>
        <v/>
      </c>
      <c r="E974" t="str">
        <f>IFERROR(__xludf.DUMMYFUNCTION("""COMPUTED_VALUE"""),"")</f>
        <v/>
      </c>
      <c r="F974" t="str">
        <f>IFERROR(__xludf.DUMMYFUNCTION("""COMPUTED_VALUE"""),"")</f>
        <v/>
      </c>
      <c r="G974" t="str">
        <f>IFERROR(__xludf.DUMMYFUNCTION("""COMPUTED_VALUE"""),"")</f>
        <v/>
      </c>
      <c r="H974" t="str">
        <f>IFERROR(__xludf.DUMMYFUNCTION("""COMPUTED_VALUE"""),"")</f>
        <v/>
      </c>
      <c r="I974" t="str">
        <f>IFERROR(__xludf.DUMMYFUNCTION("""COMPUTED_VALUE"""),"")</f>
        <v/>
      </c>
      <c r="J974" t="str">
        <f>IFERROR(__xludf.DUMMYFUNCTION("""COMPUTED_VALUE"""),"")</f>
        <v/>
      </c>
      <c r="K974" t="str">
        <f>IFERROR(__xludf.DUMMYFUNCTION("""COMPUTED_VALUE"""),"")</f>
        <v/>
      </c>
      <c r="L974" t="str">
        <f>IFERROR(__xludf.DUMMYFUNCTION("""COMPUTED_VALUE"""),"")</f>
        <v/>
      </c>
    </row>
    <row r="975">
      <c r="A975" t="str">
        <f>IFERROR(__xludf.DUMMYFUNCTION("""COMPUTED_VALUE"""),"")</f>
        <v/>
      </c>
      <c r="B975" t="str">
        <f>IFERROR(__xludf.DUMMYFUNCTION("""COMPUTED_VALUE"""),"")</f>
        <v/>
      </c>
      <c r="C975" t="str">
        <f>IFERROR(__xludf.DUMMYFUNCTION("""COMPUTED_VALUE"""),"")</f>
        <v/>
      </c>
      <c r="D975" t="str">
        <f>IFERROR(__xludf.DUMMYFUNCTION("""COMPUTED_VALUE"""),"")</f>
        <v/>
      </c>
      <c r="E975" t="str">
        <f>IFERROR(__xludf.DUMMYFUNCTION("""COMPUTED_VALUE"""),"")</f>
        <v/>
      </c>
      <c r="F975" t="str">
        <f>IFERROR(__xludf.DUMMYFUNCTION("""COMPUTED_VALUE"""),"")</f>
        <v/>
      </c>
      <c r="G975" t="str">
        <f>IFERROR(__xludf.DUMMYFUNCTION("""COMPUTED_VALUE"""),"")</f>
        <v/>
      </c>
      <c r="H975" t="str">
        <f>IFERROR(__xludf.DUMMYFUNCTION("""COMPUTED_VALUE"""),"")</f>
        <v/>
      </c>
      <c r="I975" t="str">
        <f>IFERROR(__xludf.DUMMYFUNCTION("""COMPUTED_VALUE"""),"")</f>
        <v/>
      </c>
      <c r="J975" t="str">
        <f>IFERROR(__xludf.DUMMYFUNCTION("""COMPUTED_VALUE"""),"")</f>
        <v/>
      </c>
      <c r="K975" t="str">
        <f>IFERROR(__xludf.DUMMYFUNCTION("""COMPUTED_VALUE"""),"")</f>
        <v/>
      </c>
      <c r="L975" t="str">
        <f>IFERROR(__xludf.DUMMYFUNCTION("""COMPUTED_VALUE"""),"")</f>
        <v/>
      </c>
    </row>
    <row r="976">
      <c r="A976" t="str">
        <f>IFERROR(__xludf.DUMMYFUNCTION("""COMPUTED_VALUE"""),"")</f>
        <v/>
      </c>
      <c r="B976" t="str">
        <f>IFERROR(__xludf.DUMMYFUNCTION("""COMPUTED_VALUE"""),"")</f>
        <v/>
      </c>
      <c r="C976" t="str">
        <f>IFERROR(__xludf.DUMMYFUNCTION("""COMPUTED_VALUE"""),"")</f>
        <v/>
      </c>
      <c r="D976" t="str">
        <f>IFERROR(__xludf.DUMMYFUNCTION("""COMPUTED_VALUE"""),"")</f>
        <v/>
      </c>
      <c r="E976" t="str">
        <f>IFERROR(__xludf.DUMMYFUNCTION("""COMPUTED_VALUE"""),"")</f>
        <v/>
      </c>
      <c r="F976" t="str">
        <f>IFERROR(__xludf.DUMMYFUNCTION("""COMPUTED_VALUE"""),"")</f>
        <v/>
      </c>
      <c r="G976" t="str">
        <f>IFERROR(__xludf.DUMMYFUNCTION("""COMPUTED_VALUE"""),"")</f>
        <v/>
      </c>
      <c r="H976" t="str">
        <f>IFERROR(__xludf.DUMMYFUNCTION("""COMPUTED_VALUE"""),"")</f>
        <v/>
      </c>
      <c r="I976" t="str">
        <f>IFERROR(__xludf.DUMMYFUNCTION("""COMPUTED_VALUE"""),"")</f>
        <v/>
      </c>
      <c r="J976" t="str">
        <f>IFERROR(__xludf.DUMMYFUNCTION("""COMPUTED_VALUE"""),"")</f>
        <v/>
      </c>
      <c r="K976" t="str">
        <f>IFERROR(__xludf.DUMMYFUNCTION("""COMPUTED_VALUE"""),"")</f>
        <v/>
      </c>
      <c r="L976" t="str">
        <f>IFERROR(__xludf.DUMMYFUNCTION("""COMPUTED_VALUE"""),"")</f>
        <v/>
      </c>
    </row>
    <row r="977">
      <c r="A977" t="str">
        <f>IFERROR(__xludf.DUMMYFUNCTION("""COMPUTED_VALUE"""),"")</f>
        <v/>
      </c>
      <c r="B977" t="str">
        <f>IFERROR(__xludf.DUMMYFUNCTION("""COMPUTED_VALUE"""),"")</f>
        <v/>
      </c>
      <c r="C977" t="str">
        <f>IFERROR(__xludf.DUMMYFUNCTION("""COMPUTED_VALUE"""),"")</f>
        <v/>
      </c>
      <c r="D977" t="str">
        <f>IFERROR(__xludf.DUMMYFUNCTION("""COMPUTED_VALUE"""),"")</f>
        <v/>
      </c>
      <c r="E977" t="str">
        <f>IFERROR(__xludf.DUMMYFUNCTION("""COMPUTED_VALUE"""),"")</f>
        <v/>
      </c>
      <c r="F977" t="str">
        <f>IFERROR(__xludf.DUMMYFUNCTION("""COMPUTED_VALUE"""),"")</f>
        <v/>
      </c>
      <c r="G977" t="str">
        <f>IFERROR(__xludf.DUMMYFUNCTION("""COMPUTED_VALUE"""),"")</f>
        <v/>
      </c>
      <c r="H977" t="str">
        <f>IFERROR(__xludf.DUMMYFUNCTION("""COMPUTED_VALUE"""),"")</f>
        <v/>
      </c>
      <c r="I977" t="str">
        <f>IFERROR(__xludf.DUMMYFUNCTION("""COMPUTED_VALUE"""),"")</f>
        <v/>
      </c>
      <c r="J977" t="str">
        <f>IFERROR(__xludf.DUMMYFUNCTION("""COMPUTED_VALUE"""),"")</f>
        <v/>
      </c>
      <c r="K977" t="str">
        <f>IFERROR(__xludf.DUMMYFUNCTION("""COMPUTED_VALUE"""),"")</f>
        <v/>
      </c>
      <c r="L977" t="str">
        <f>IFERROR(__xludf.DUMMYFUNCTION("""COMPUTED_VALUE"""),"")</f>
        <v/>
      </c>
    </row>
    <row r="978">
      <c r="A978" t="str">
        <f>IFERROR(__xludf.DUMMYFUNCTION("""COMPUTED_VALUE"""),"")</f>
        <v/>
      </c>
      <c r="B978" t="str">
        <f>IFERROR(__xludf.DUMMYFUNCTION("""COMPUTED_VALUE"""),"")</f>
        <v/>
      </c>
      <c r="C978" t="str">
        <f>IFERROR(__xludf.DUMMYFUNCTION("""COMPUTED_VALUE"""),"")</f>
        <v/>
      </c>
      <c r="D978" t="str">
        <f>IFERROR(__xludf.DUMMYFUNCTION("""COMPUTED_VALUE"""),"")</f>
        <v/>
      </c>
      <c r="E978" t="str">
        <f>IFERROR(__xludf.DUMMYFUNCTION("""COMPUTED_VALUE"""),"")</f>
        <v/>
      </c>
      <c r="F978" t="str">
        <f>IFERROR(__xludf.DUMMYFUNCTION("""COMPUTED_VALUE"""),"")</f>
        <v/>
      </c>
      <c r="G978" t="str">
        <f>IFERROR(__xludf.DUMMYFUNCTION("""COMPUTED_VALUE"""),"")</f>
        <v/>
      </c>
      <c r="H978" t="str">
        <f>IFERROR(__xludf.DUMMYFUNCTION("""COMPUTED_VALUE"""),"")</f>
        <v/>
      </c>
      <c r="I978" t="str">
        <f>IFERROR(__xludf.DUMMYFUNCTION("""COMPUTED_VALUE"""),"")</f>
        <v/>
      </c>
      <c r="J978" t="str">
        <f>IFERROR(__xludf.DUMMYFUNCTION("""COMPUTED_VALUE"""),"")</f>
        <v/>
      </c>
      <c r="K978" t="str">
        <f>IFERROR(__xludf.DUMMYFUNCTION("""COMPUTED_VALUE"""),"")</f>
        <v/>
      </c>
      <c r="L978" t="str">
        <f>IFERROR(__xludf.DUMMYFUNCTION("""COMPUTED_VALUE"""),"")</f>
        <v/>
      </c>
    </row>
    <row r="979">
      <c r="A979" t="str">
        <f>IFERROR(__xludf.DUMMYFUNCTION("""COMPUTED_VALUE"""),"")</f>
        <v/>
      </c>
      <c r="B979" t="str">
        <f>IFERROR(__xludf.DUMMYFUNCTION("""COMPUTED_VALUE"""),"")</f>
        <v/>
      </c>
      <c r="C979" t="str">
        <f>IFERROR(__xludf.DUMMYFUNCTION("""COMPUTED_VALUE"""),"")</f>
        <v/>
      </c>
      <c r="D979" t="str">
        <f>IFERROR(__xludf.DUMMYFUNCTION("""COMPUTED_VALUE"""),"")</f>
        <v/>
      </c>
      <c r="E979" t="str">
        <f>IFERROR(__xludf.DUMMYFUNCTION("""COMPUTED_VALUE"""),"")</f>
        <v/>
      </c>
      <c r="F979" t="str">
        <f>IFERROR(__xludf.DUMMYFUNCTION("""COMPUTED_VALUE"""),"")</f>
        <v/>
      </c>
      <c r="G979" t="str">
        <f>IFERROR(__xludf.DUMMYFUNCTION("""COMPUTED_VALUE"""),"")</f>
        <v/>
      </c>
      <c r="H979" t="str">
        <f>IFERROR(__xludf.DUMMYFUNCTION("""COMPUTED_VALUE"""),"")</f>
        <v/>
      </c>
      <c r="I979" t="str">
        <f>IFERROR(__xludf.DUMMYFUNCTION("""COMPUTED_VALUE"""),"")</f>
        <v/>
      </c>
      <c r="J979" t="str">
        <f>IFERROR(__xludf.DUMMYFUNCTION("""COMPUTED_VALUE"""),"")</f>
        <v/>
      </c>
      <c r="K979" t="str">
        <f>IFERROR(__xludf.DUMMYFUNCTION("""COMPUTED_VALUE"""),"")</f>
        <v/>
      </c>
      <c r="L979" t="str">
        <f>IFERROR(__xludf.DUMMYFUNCTION("""COMPUTED_VALUE"""),"")</f>
        <v/>
      </c>
    </row>
    <row r="980">
      <c r="A980" t="str">
        <f>IFERROR(__xludf.DUMMYFUNCTION("""COMPUTED_VALUE"""),"")</f>
        <v/>
      </c>
      <c r="B980" t="str">
        <f>IFERROR(__xludf.DUMMYFUNCTION("""COMPUTED_VALUE"""),"")</f>
        <v/>
      </c>
      <c r="C980" t="str">
        <f>IFERROR(__xludf.DUMMYFUNCTION("""COMPUTED_VALUE"""),"")</f>
        <v/>
      </c>
      <c r="D980" t="str">
        <f>IFERROR(__xludf.DUMMYFUNCTION("""COMPUTED_VALUE"""),"")</f>
        <v/>
      </c>
      <c r="E980" t="str">
        <f>IFERROR(__xludf.DUMMYFUNCTION("""COMPUTED_VALUE"""),"")</f>
        <v/>
      </c>
      <c r="F980" t="str">
        <f>IFERROR(__xludf.DUMMYFUNCTION("""COMPUTED_VALUE"""),"")</f>
        <v/>
      </c>
      <c r="G980" t="str">
        <f>IFERROR(__xludf.DUMMYFUNCTION("""COMPUTED_VALUE"""),"")</f>
        <v/>
      </c>
      <c r="H980" t="str">
        <f>IFERROR(__xludf.DUMMYFUNCTION("""COMPUTED_VALUE"""),"")</f>
        <v/>
      </c>
      <c r="I980" t="str">
        <f>IFERROR(__xludf.DUMMYFUNCTION("""COMPUTED_VALUE"""),"")</f>
        <v/>
      </c>
      <c r="J980" t="str">
        <f>IFERROR(__xludf.DUMMYFUNCTION("""COMPUTED_VALUE"""),"")</f>
        <v/>
      </c>
      <c r="K980" t="str">
        <f>IFERROR(__xludf.DUMMYFUNCTION("""COMPUTED_VALUE"""),"")</f>
        <v/>
      </c>
      <c r="L980" t="str">
        <f>IFERROR(__xludf.DUMMYFUNCTION("""COMPUTED_VALUE"""),"")</f>
        <v/>
      </c>
    </row>
    <row r="981">
      <c r="A981" t="str">
        <f>IFERROR(__xludf.DUMMYFUNCTION("""COMPUTED_VALUE"""),"")</f>
        <v/>
      </c>
      <c r="B981" t="str">
        <f>IFERROR(__xludf.DUMMYFUNCTION("""COMPUTED_VALUE"""),"")</f>
        <v/>
      </c>
      <c r="C981" t="str">
        <f>IFERROR(__xludf.DUMMYFUNCTION("""COMPUTED_VALUE"""),"")</f>
        <v/>
      </c>
      <c r="D981" t="str">
        <f>IFERROR(__xludf.DUMMYFUNCTION("""COMPUTED_VALUE"""),"")</f>
        <v/>
      </c>
      <c r="E981" t="str">
        <f>IFERROR(__xludf.DUMMYFUNCTION("""COMPUTED_VALUE"""),"")</f>
        <v/>
      </c>
      <c r="F981" t="str">
        <f>IFERROR(__xludf.DUMMYFUNCTION("""COMPUTED_VALUE"""),"")</f>
        <v/>
      </c>
      <c r="G981" t="str">
        <f>IFERROR(__xludf.DUMMYFUNCTION("""COMPUTED_VALUE"""),"")</f>
        <v/>
      </c>
      <c r="H981" t="str">
        <f>IFERROR(__xludf.DUMMYFUNCTION("""COMPUTED_VALUE"""),"")</f>
        <v/>
      </c>
      <c r="I981" t="str">
        <f>IFERROR(__xludf.DUMMYFUNCTION("""COMPUTED_VALUE"""),"")</f>
        <v/>
      </c>
      <c r="J981" t="str">
        <f>IFERROR(__xludf.DUMMYFUNCTION("""COMPUTED_VALUE"""),"")</f>
        <v/>
      </c>
      <c r="K981" t="str">
        <f>IFERROR(__xludf.DUMMYFUNCTION("""COMPUTED_VALUE"""),"")</f>
        <v/>
      </c>
      <c r="L981" t="str">
        <f>IFERROR(__xludf.DUMMYFUNCTION("""COMPUTED_VALUE"""),"")</f>
        <v/>
      </c>
    </row>
    <row r="982">
      <c r="A982" t="str">
        <f>IFERROR(__xludf.DUMMYFUNCTION("""COMPUTED_VALUE"""),"")</f>
        <v/>
      </c>
      <c r="B982" t="str">
        <f>IFERROR(__xludf.DUMMYFUNCTION("""COMPUTED_VALUE"""),"")</f>
        <v/>
      </c>
      <c r="C982" t="str">
        <f>IFERROR(__xludf.DUMMYFUNCTION("""COMPUTED_VALUE"""),"")</f>
        <v/>
      </c>
      <c r="D982" t="str">
        <f>IFERROR(__xludf.DUMMYFUNCTION("""COMPUTED_VALUE"""),"")</f>
        <v/>
      </c>
      <c r="E982" t="str">
        <f>IFERROR(__xludf.DUMMYFUNCTION("""COMPUTED_VALUE"""),"")</f>
        <v/>
      </c>
      <c r="F982" t="str">
        <f>IFERROR(__xludf.DUMMYFUNCTION("""COMPUTED_VALUE"""),"")</f>
        <v/>
      </c>
      <c r="G982" t="str">
        <f>IFERROR(__xludf.DUMMYFUNCTION("""COMPUTED_VALUE"""),"")</f>
        <v/>
      </c>
      <c r="H982" t="str">
        <f>IFERROR(__xludf.DUMMYFUNCTION("""COMPUTED_VALUE"""),"")</f>
        <v/>
      </c>
      <c r="I982" t="str">
        <f>IFERROR(__xludf.DUMMYFUNCTION("""COMPUTED_VALUE"""),"")</f>
        <v/>
      </c>
      <c r="J982" t="str">
        <f>IFERROR(__xludf.DUMMYFUNCTION("""COMPUTED_VALUE"""),"")</f>
        <v/>
      </c>
      <c r="K982" t="str">
        <f>IFERROR(__xludf.DUMMYFUNCTION("""COMPUTED_VALUE"""),"")</f>
        <v/>
      </c>
      <c r="L982" t="str">
        <f>IFERROR(__xludf.DUMMYFUNCTION("""COMPUTED_VALUE"""),"")</f>
        <v/>
      </c>
    </row>
    <row r="983">
      <c r="A983" t="str">
        <f>IFERROR(__xludf.DUMMYFUNCTION("""COMPUTED_VALUE"""),"")</f>
        <v/>
      </c>
      <c r="B983" t="str">
        <f>IFERROR(__xludf.DUMMYFUNCTION("""COMPUTED_VALUE"""),"")</f>
        <v/>
      </c>
      <c r="C983" t="str">
        <f>IFERROR(__xludf.DUMMYFUNCTION("""COMPUTED_VALUE"""),"")</f>
        <v/>
      </c>
      <c r="D983" t="str">
        <f>IFERROR(__xludf.DUMMYFUNCTION("""COMPUTED_VALUE"""),"")</f>
        <v/>
      </c>
      <c r="E983" t="str">
        <f>IFERROR(__xludf.DUMMYFUNCTION("""COMPUTED_VALUE"""),"")</f>
        <v/>
      </c>
      <c r="F983" t="str">
        <f>IFERROR(__xludf.DUMMYFUNCTION("""COMPUTED_VALUE"""),"")</f>
        <v/>
      </c>
      <c r="G983" t="str">
        <f>IFERROR(__xludf.DUMMYFUNCTION("""COMPUTED_VALUE"""),"")</f>
        <v/>
      </c>
      <c r="H983" t="str">
        <f>IFERROR(__xludf.DUMMYFUNCTION("""COMPUTED_VALUE"""),"")</f>
        <v/>
      </c>
      <c r="I983" t="str">
        <f>IFERROR(__xludf.DUMMYFUNCTION("""COMPUTED_VALUE"""),"")</f>
        <v/>
      </c>
      <c r="J983" t="str">
        <f>IFERROR(__xludf.DUMMYFUNCTION("""COMPUTED_VALUE"""),"")</f>
        <v/>
      </c>
      <c r="K983" t="str">
        <f>IFERROR(__xludf.DUMMYFUNCTION("""COMPUTED_VALUE"""),"")</f>
        <v/>
      </c>
      <c r="L983" t="str">
        <f>IFERROR(__xludf.DUMMYFUNCTION("""COMPUTED_VALUE"""),"")</f>
        <v/>
      </c>
    </row>
    <row r="984">
      <c r="A984" t="str">
        <f>IFERROR(__xludf.DUMMYFUNCTION("""COMPUTED_VALUE"""),"")</f>
        <v/>
      </c>
      <c r="B984" t="str">
        <f>IFERROR(__xludf.DUMMYFUNCTION("""COMPUTED_VALUE"""),"")</f>
        <v/>
      </c>
      <c r="C984" t="str">
        <f>IFERROR(__xludf.DUMMYFUNCTION("""COMPUTED_VALUE"""),"")</f>
        <v/>
      </c>
      <c r="D984" t="str">
        <f>IFERROR(__xludf.DUMMYFUNCTION("""COMPUTED_VALUE"""),"")</f>
        <v/>
      </c>
      <c r="E984" t="str">
        <f>IFERROR(__xludf.DUMMYFUNCTION("""COMPUTED_VALUE"""),"")</f>
        <v/>
      </c>
      <c r="F984" t="str">
        <f>IFERROR(__xludf.DUMMYFUNCTION("""COMPUTED_VALUE"""),"")</f>
        <v/>
      </c>
      <c r="G984" t="str">
        <f>IFERROR(__xludf.DUMMYFUNCTION("""COMPUTED_VALUE"""),"")</f>
        <v/>
      </c>
      <c r="H984" t="str">
        <f>IFERROR(__xludf.DUMMYFUNCTION("""COMPUTED_VALUE"""),"")</f>
        <v/>
      </c>
      <c r="I984" t="str">
        <f>IFERROR(__xludf.DUMMYFUNCTION("""COMPUTED_VALUE"""),"")</f>
        <v/>
      </c>
      <c r="J984" t="str">
        <f>IFERROR(__xludf.DUMMYFUNCTION("""COMPUTED_VALUE"""),"")</f>
        <v/>
      </c>
      <c r="K984" t="str">
        <f>IFERROR(__xludf.DUMMYFUNCTION("""COMPUTED_VALUE"""),"")</f>
        <v/>
      </c>
      <c r="L984" t="str">
        <f>IFERROR(__xludf.DUMMYFUNCTION("""COMPUTED_VALUE"""),"")</f>
        <v/>
      </c>
    </row>
    <row r="985">
      <c r="A985" t="str">
        <f>IFERROR(__xludf.DUMMYFUNCTION("""COMPUTED_VALUE"""),"")</f>
        <v/>
      </c>
      <c r="B985" t="str">
        <f>IFERROR(__xludf.DUMMYFUNCTION("""COMPUTED_VALUE"""),"")</f>
        <v/>
      </c>
      <c r="C985" t="str">
        <f>IFERROR(__xludf.DUMMYFUNCTION("""COMPUTED_VALUE"""),"")</f>
        <v/>
      </c>
      <c r="D985" t="str">
        <f>IFERROR(__xludf.DUMMYFUNCTION("""COMPUTED_VALUE"""),"")</f>
        <v/>
      </c>
      <c r="E985" t="str">
        <f>IFERROR(__xludf.DUMMYFUNCTION("""COMPUTED_VALUE"""),"")</f>
        <v/>
      </c>
      <c r="F985" t="str">
        <f>IFERROR(__xludf.DUMMYFUNCTION("""COMPUTED_VALUE"""),"")</f>
        <v/>
      </c>
      <c r="G985" t="str">
        <f>IFERROR(__xludf.DUMMYFUNCTION("""COMPUTED_VALUE"""),"")</f>
        <v/>
      </c>
      <c r="H985" t="str">
        <f>IFERROR(__xludf.DUMMYFUNCTION("""COMPUTED_VALUE"""),"")</f>
        <v/>
      </c>
      <c r="I985" t="str">
        <f>IFERROR(__xludf.DUMMYFUNCTION("""COMPUTED_VALUE"""),"")</f>
        <v/>
      </c>
      <c r="J985" t="str">
        <f>IFERROR(__xludf.DUMMYFUNCTION("""COMPUTED_VALUE"""),"")</f>
        <v/>
      </c>
      <c r="K985" t="str">
        <f>IFERROR(__xludf.DUMMYFUNCTION("""COMPUTED_VALUE"""),"")</f>
        <v/>
      </c>
      <c r="L985" t="str">
        <f>IFERROR(__xludf.DUMMYFUNCTION("""COMPUTED_VALUE"""),"")</f>
        <v/>
      </c>
    </row>
    <row r="986">
      <c r="A986" t="str">
        <f>IFERROR(__xludf.DUMMYFUNCTION("""COMPUTED_VALUE"""),"")</f>
        <v/>
      </c>
      <c r="B986" t="str">
        <f>IFERROR(__xludf.DUMMYFUNCTION("""COMPUTED_VALUE"""),"")</f>
        <v/>
      </c>
      <c r="C986" t="str">
        <f>IFERROR(__xludf.DUMMYFUNCTION("""COMPUTED_VALUE"""),"")</f>
        <v/>
      </c>
      <c r="D986" t="str">
        <f>IFERROR(__xludf.DUMMYFUNCTION("""COMPUTED_VALUE"""),"")</f>
        <v/>
      </c>
      <c r="E986" t="str">
        <f>IFERROR(__xludf.DUMMYFUNCTION("""COMPUTED_VALUE"""),"")</f>
        <v/>
      </c>
      <c r="F986" t="str">
        <f>IFERROR(__xludf.DUMMYFUNCTION("""COMPUTED_VALUE"""),"")</f>
        <v/>
      </c>
      <c r="G986" t="str">
        <f>IFERROR(__xludf.DUMMYFUNCTION("""COMPUTED_VALUE"""),"")</f>
        <v/>
      </c>
      <c r="H986" t="str">
        <f>IFERROR(__xludf.DUMMYFUNCTION("""COMPUTED_VALUE"""),"")</f>
        <v/>
      </c>
      <c r="I986" t="str">
        <f>IFERROR(__xludf.DUMMYFUNCTION("""COMPUTED_VALUE"""),"")</f>
        <v/>
      </c>
      <c r="J986" t="str">
        <f>IFERROR(__xludf.DUMMYFUNCTION("""COMPUTED_VALUE"""),"")</f>
        <v/>
      </c>
      <c r="K986" t="str">
        <f>IFERROR(__xludf.DUMMYFUNCTION("""COMPUTED_VALUE"""),"")</f>
        <v/>
      </c>
      <c r="L986" t="str">
        <f>IFERROR(__xludf.DUMMYFUNCTION("""COMPUTED_VALUE"""),"")</f>
        <v/>
      </c>
    </row>
    <row r="987">
      <c r="A987" t="str">
        <f>IFERROR(__xludf.DUMMYFUNCTION("""COMPUTED_VALUE"""),"")</f>
        <v/>
      </c>
      <c r="B987" t="str">
        <f>IFERROR(__xludf.DUMMYFUNCTION("""COMPUTED_VALUE"""),"")</f>
        <v/>
      </c>
      <c r="C987" t="str">
        <f>IFERROR(__xludf.DUMMYFUNCTION("""COMPUTED_VALUE"""),"")</f>
        <v/>
      </c>
      <c r="D987" t="str">
        <f>IFERROR(__xludf.DUMMYFUNCTION("""COMPUTED_VALUE"""),"")</f>
        <v/>
      </c>
      <c r="E987" t="str">
        <f>IFERROR(__xludf.DUMMYFUNCTION("""COMPUTED_VALUE"""),"")</f>
        <v/>
      </c>
      <c r="F987" t="str">
        <f>IFERROR(__xludf.DUMMYFUNCTION("""COMPUTED_VALUE"""),"")</f>
        <v/>
      </c>
      <c r="G987" t="str">
        <f>IFERROR(__xludf.DUMMYFUNCTION("""COMPUTED_VALUE"""),"")</f>
        <v/>
      </c>
      <c r="H987" t="str">
        <f>IFERROR(__xludf.DUMMYFUNCTION("""COMPUTED_VALUE"""),"")</f>
        <v/>
      </c>
      <c r="I987" t="str">
        <f>IFERROR(__xludf.DUMMYFUNCTION("""COMPUTED_VALUE"""),"")</f>
        <v/>
      </c>
      <c r="J987" t="str">
        <f>IFERROR(__xludf.DUMMYFUNCTION("""COMPUTED_VALUE"""),"")</f>
        <v/>
      </c>
      <c r="K987" t="str">
        <f>IFERROR(__xludf.DUMMYFUNCTION("""COMPUTED_VALUE"""),"")</f>
        <v/>
      </c>
      <c r="L987" t="str">
        <f>IFERROR(__xludf.DUMMYFUNCTION("""COMPUTED_VALUE"""),"")</f>
        <v/>
      </c>
    </row>
    <row r="988">
      <c r="A988" t="str">
        <f>IFERROR(__xludf.DUMMYFUNCTION("""COMPUTED_VALUE"""),"")</f>
        <v/>
      </c>
      <c r="B988" t="str">
        <f>IFERROR(__xludf.DUMMYFUNCTION("""COMPUTED_VALUE"""),"")</f>
        <v/>
      </c>
      <c r="C988" t="str">
        <f>IFERROR(__xludf.DUMMYFUNCTION("""COMPUTED_VALUE"""),"")</f>
        <v/>
      </c>
      <c r="D988" t="str">
        <f>IFERROR(__xludf.DUMMYFUNCTION("""COMPUTED_VALUE"""),"")</f>
        <v/>
      </c>
      <c r="E988" t="str">
        <f>IFERROR(__xludf.DUMMYFUNCTION("""COMPUTED_VALUE"""),"")</f>
        <v/>
      </c>
      <c r="F988" t="str">
        <f>IFERROR(__xludf.DUMMYFUNCTION("""COMPUTED_VALUE"""),"")</f>
        <v/>
      </c>
      <c r="G988" t="str">
        <f>IFERROR(__xludf.DUMMYFUNCTION("""COMPUTED_VALUE"""),"")</f>
        <v/>
      </c>
      <c r="H988" t="str">
        <f>IFERROR(__xludf.DUMMYFUNCTION("""COMPUTED_VALUE"""),"")</f>
        <v/>
      </c>
      <c r="I988" t="str">
        <f>IFERROR(__xludf.DUMMYFUNCTION("""COMPUTED_VALUE"""),"")</f>
        <v/>
      </c>
      <c r="J988" t="str">
        <f>IFERROR(__xludf.DUMMYFUNCTION("""COMPUTED_VALUE"""),"")</f>
        <v/>
      </c>
      <c r="K988" t="str">
        <f>IFERROR(__xludf.DUMMYFUNCTION("""COMPUTED_VALUE"""),"")</f>
        <v/>
      </c>
      <c r="L988" t="str">
        <f>IFERROR(__xludf.DUMMYFUNCTION("""COMPUTED_VALUE"""),"")</f>
        <v/>
      </c>
    </row>
    <row r="989">
      <c r="A989" t="str">
        <f>IFERROR(__xludf.DUMMYFUNCTION("""COMPUTED_VALUE"""),"")</f>
        <v/>
      </c>
      <c r="B989" t="str">
        <f>IFERROR(__xludf.DUMMYFUNCTION("""COMPUTED_VALUE"""),"")</f>
        <v/>
      </c>
      <c r="C989" t="str">
        <f>IFERROR(__xludf.DUMMYFUNCTION("""COMPUTED_VALUE"""),"")</f>
        <v/>
      </c>
      <c r="D989" t="str">
        <f>IFERROR(__xludf.DUMMYFUNCTION("""COMPUTED_VALUE"""),"")</f>
        <v/>
      </c>
      <c r="E989" t="str">
        <f>IFERROR(__xludf.DUMMYFUNCTION("""COMPUTED_VALUE"""),"")</f>
        <v/>
      </c>
      <c r="F989" t="str">
        <f>IFERROR(__xludf.DUMMYFUNCTION("""COMPUTED_VALUE"""),"")</f>
        <v/>
      </c>
      <c r="G989" t="str">
        <f>IFERROR(__xludf.DUMMYFUNCTION("""COMPUTED_VALUE"""),"")</f>
        <v/>
      </c>
      <c r="H989" t="str">
        <f>IFERROR(__xludf.DUMMYFUNCTION("""COMPUTED_VALUE"""),"")</f>
        <v/>
      </c>
      <c r="I989" t="str">
        <f>IFERROR(__xludf.DUMMYFUNCTION("""COMPUTED_VALUE"""),"")</f>
        <v/>
      </c>
      <c r="J989" t="str">
        <f>IFERROR(__xludf.DUMMYFUNCTION("""COMPUTED_VALUE"""),"")</f>
        <v/>
      </c>
      <c r="K989" t="str">
        <f>IFERROR(__xludf.DUMMYFUNCTION("""COMPUTED_VALUE"""),"")</f>
        <v/>
      </c>
      <c r="L989" t="str">
        <f>IFERROR(__xludf.DUMMYFUNCTION("""COMPUTED_VALUE"""),"")</f>
        <v/>
      </c>
    </row>
    <row r="990">
      <c r="A990" t="str">
        <f>IFERROR(__xludf.DUMMYFUNCTION("""COMPUTED_VALUE"""),"")</f>
        <v/>
      </c>
      <c r="B990" t="str">
        <f>IFERROR(__xludf.DUMMYFUNCTION("""COMPUTED_VALUE"""),"")</f>
        <v/>
      </c>
      <c r="C990" t="str">
        <f>IFERROR(__xludf.DUMMYFUNCTION("""COMPUTED_VALUE"""),"")</f>
        <v/>
      </c>
      <c r="D990" t="str">
        <f>IFERROR(__xludf.DUMMYFUNCTION("""COMPUTED_VALUE"""),"")</f>
        <v/>
      </c>
      <c r="E990" t="str">
        <f>IFERROR(__xludf.DUMMYFUNCTION("""COMPUTED_VALUE"""),"")</f>
        <v/>
      </c>
      <c r="F990" t="str">
        <f>IFERROR(__xludf.DUMMYFUNCTION("""COMPUTED_VALUE"""),"")</f>
        <v/>
      </c>
      <c r="G990" t="str">
        <f>IFERROR(__xludf.DUMMYFUNCTION("""COMPUTED_VALUE"""),"")</f>
        <v/>
      </c>
      <c r="H990" t="str">
        <f>IFERROR(__xludf.DUMMYFUNCTION("""COMPUTED_VALUE"""),"")</f>
        <v/>
      </c>
      <c r="I990" t="str">
        <f>IFERROR(__xludf.DUMMYFUNCTION("""COMPUTED_VALUE"""),"")</f>
        <v/>
      </c>
      <c r="J990" t="str">
        <f>IFERROR(__xludf.DUMMYFUNCTION("""COMPUTED_VALUE"""),"")</f>
        <v/>
      </c>
      <c r="K990" t="str">
        <f>IFERROR(__xludf.DUMMYFUNCTION("""COMPUTED_VALUE"""),"")</f>
        <v/>
      </c>
      <c r="L990" t="str">
        <f>IFERROR(__xludf.DUMMYFUNCTION("""COMPUTED_VALUE"""),"")</f>
        <v/>
      </c>
    </row>
    <row r="991">
      <c r="A991" t="str">
        <f>IFERROR(__xludf.DUMMYFUNCTION("""COMPUTED_VALUE"""),"")</f>
        <v/>
      </c>
      <c r="B991" t="str">
        <f>IFERROR(__xludf.DUMMYFUNCTION("""COMPUTED_VALUE"""),"")</f>
        <v/>
      </c>
      <c r="C991" t="str">
        <f>IFERROR(__xludf.DUMMYFUNCTION("""COMPUTED_VALUE"""),"")</f>
        <v/>
      </c>
      <c r="D991" t="str">
        <f>IFERROR(__xludf.DUMMYFUNCTION("""COMPUTED_VALUE"""),"")</f>
        <v/>
      </c>
      <c r="E991" t="str">
        <f>IFERROR(__xludf.DUMMYFUNCTION("""COMPUTED_VALUE"""),"")</f>
        <v/>
      </c>
      <c r="F991" t="str">
        <f>IFERROR(__xludf.DUMMYFUNCTION("""COMPUTED_VALUE"""),"")</f>
        <v/>
      </c>
      <c r="G991" t="str">
        <f>IFERROR(__xludf.DUMMYFUNCTION("""COMPUTED_VALUE"""),"")</f>
        <v/>
      </c>
      <c r="H991" t="str">
        <f>IFERROR(__xludf.DUMMYFUNCTION("""COMPUTED_VALUE"""),"")</f>
        <v/>
      </c>
      <c r="I991" t="str">
        <f>IFERROR(__xludf.DUMMYFUNCTION("""COMPUTED_VALUE"""),"")</f>
        <v/>
      </c>
      <c r="J991" t="str">
        <f>IFERROR(__xludf.DUMMYFUNCTION("""COMPUTED_VALUE"""),"")</f>
        <v/>
      </c>
      <c r="K991" t="str">
        <f>IFERROR(__xludf.DUMMYFUNCTION("""COMPUTED_VALUE"""),"")</f>
        <v/>
      </c>
      <c r="L991" t="str">
        <f>IFERROR(__xludf.DUMMYFUNCTION("""COMPUTED_VALUE"""),"")</f>
        <v/>
      </c>
    </row>
    <row r="992">
      <c r="A992" t="str">
        <f>IFERROR(__xludf.DUMMYFUNCTION("""COMPUTED_VALUE"""),"")</f>
        <v/>
      </c>
      <c r="B992" t="str">
        <f>IFERROR(__xludf.DUMMYFUNCTION("""COMPUTED_VALUE"""),"")</f>
        <v/>
      </c>
      <c r="C992" t="str">
        <f>IFERROR(__xludf.DUMMYFUNCTION("""COMPUTED_VALUE"""),"")</f>
        <v/>
      </c>
      <c r="D992" t="str">
        <f>IFERROR(__xludf.DUMMYFUNCTION("""COMPUTED_VALUE"""),"")</f>
        <v/>
      </c>
      <c r="E992" t="str">
        <f>IFERROR(__xludf.DUMMYFUNCTION("""COMPUTED_VALUE"""),"")</f>
        <v/>
      </c>
      <c r="F992" t="str">
        <f>IFERROR(__xludf.DUMMYFUNCTION("""COMPUTED_VALUE"""),"")</f>
        <v/>
      </c>
      <c r="G992" t="str">
        <f>IFERROR(__xludf.DUMMYFUNCTION("""COMPUTED_VALUE"""),"")</f>
        <v/>
      </c>
      <c r="H992" t="str">
        <f>IFERROR(__xludf.DUMMYFUNCTION("""COMPUTED_VALUE"""),"")</f>
        <v/>
      </c>
      <c r="I992" t="str">
        <f>IFERROR(__xludf.DUMMYFUNCTION("""COMPUTED_VALUE"""),"")</f>
        <v/>
      </c>
      <c r="J992" t="str">
        <f>IFERROR(__xludf.DUMMYFUNCTION("""COMPUTED_VALUE"""),"")</f>
        <v/>
      </c>
      <c r="K992" t="str">
        <f>IFERROR(__xludf.DUMMYFUNCTION("""COMPUTED_VALUE"""),"")</f>
        <v/>
      </c>
      <c r="L992" t="str">
        <f>IFERROR(__xludf.DUMMYFUNCTION("""COMPUTED_VALUE"""),"")</f>
        <v/>
      </c>
    </row>
    <row r="993">
      <c r="A993" t="str">
        <f>IFERROR(__xludf.DUMMYFUNCTION("""COMPUTED_VALUE"""),"")</f>
        <v/>
      </c>
      <c r="B993" t="str">
        <f>IFERROR(__xludf.DUMMYFUNCTION("""COMPUTED_VALUE"""),"")</f>
        <v/>
      </c>
      <c r="C993" t="str">
        <f>IFERROR(__xludf.DUMMYFUNCTION("""COMPUTED_VALUE"""),"")</f>
        <v/>
      </c>
      <c r="D993" t="str">
        <f>IFERROR(__xludf.DUMMYFUNCTION("""COMPUTED_VALUE"""),"")</f>
        <v/>
      </c>
      <c r="E993" t="str">
        <f>IFERROR(__xludf.DUMMYFUNCTION("""COMPUTED_VALUE"""),"")</f>
        <v/>
      </c>
      <c r="F993" t="str">
        <f>IFERROR(__xludf.DUMMYFUNCTION("""COMPUTED_VALUE"""),"")</f>
        <v/>
      </c>
      <c r="G993" t="str">
        <f>IFERROR(__xludf.DUMMYFUNCTION("""COMPUTED_VALUE"""),"")</f>
        <v/>
      </c>
      <c r="H993" t="str">
        <f>IFERROR(__xludf.DUMMYFUNCTION("""COMPUTED_VALUE"""),"")</f>
        <v/>
      </c>
      <c r="I993" t="str">
        <f>IFERROR(__xludf.DUMMYFUNCTION("""COMPUTED_VALUE"""),"")</f>
        <v/>
      </c>
      <c r="J993" t="str">
        <f>IFERROR(__xludf.DUMMYFUNCTION("""COMPUTED_VALUE"""),"")</f>
        <v/>
      </c>
      <c r="K993" t="str">
        <f>IFERROR(__xludf.DUMMYFUNCTION("""COMPUTED_VALUE"""),"")</f>
        <v/>
      </c>
      <c r="L993" t="str">
        <f>IFERROR(__xludf.DUMMYFUNCTION("""COMPUTED_VALUE"""),"")</f>
        <v/>
      </c>
    </row>
    <row r="994">
      <c r="A994" t="str">
        <f>IFERROR(__xludf.DUMMYFUNCTION("""COMPUTED_VALUE"""),"")</f>
        <v/>
      </c>
      <c r="B994" t="str">
        <f>IFERROR(__xludf.DUMMYFUNCTION("""COMPUTED_VALUE"""),"")</f>
        <v/>
      </c>
      <c r="C994" t="str">
        <f>IFERROR(__xludf.DUMMYFUNCTION("""COMPUTED_VALUE"""),"")</f>
        <v/>
      </c>
      <c r="D994" t="str">
        <f>IFERROR(__xludf.DUMMYFUNCTION("""COMPUTED_VALUE"""),"")</f>
        <v/>
      </c>
      <c r="E994" t="str">
        <f>IFERROR(__xludf.DUMMYFUNCTION("""COMPUTED_VALUE"""),"")</f>
        <v/>
      </c>
      <c r="F994" t="str">
        <f>IFERROR(__xludf.DUMMYFUNCTION("""COMPUTED_VALUE"""),"")</f>
        <v/>
      </c>
      <c r="G994" t="str">
        <f>IFERROR(__xludf.DUMMYFUNCTION("""COMPUTED_VALUE"""),"")</f>
        <v/>
      </c>
      <c r="H994" t="str">
        <f>IFERROR(__xludf.DUMMYFUNCTION("""COMPUTED_VALUE"""),"")</f>
        <v/>
      </c>
      <c r="I994" t="str">
        <f>IFERROR(__xludf.DUMMYFUNCTION("""COMPUTED_VALUE"""),"")</f>
        <v/>
      </c>
      <c r="J994" t="str">
        <f>IFERROR(__xludf.DUMMYFUNCTION("""COMPUTED_VALUE"""),"")</f>
        <v/>
      </c>
      <c r="K994" t="str">
        <f>IFERROR(__xludf.DUMMYFUNCTION("""COMPUTED_VALUE"""),"")</f>
        <v/>
      </c>
      <c r="L994" t="str">
        <f>IFERROR(__xludf.DUMMYFUNCTION("""COMPUTED_VALUE"""),"")</f>
        <v/>
      </c>
    </row>
    <row r="995">
      <c r="A995" t="str">
        <f>IFERROR(__xludf.DUMMYFUNCTION("""COMPUTED_VALUE"""),"")</f>
        <v/>
      </c>
      <c r="B995" t="str">
        <f>IFERROR(__xludf.DUMMYFUNCTION("""COMPUTED_VALUE"""),"")</f>
        <v/>
      </c>
      <c r="C995" t="str">
        <f>IFERROR(__xludf.DUMMYFUNCTION("""COMPUTED_VALUE"""),"")</f>
        <v/>
      </c>
      <c r="D995" t="str">
        <f>IFERROR(__xludf.DUMMYFUNCTION("""COMPUTED_VALUE"""),"")</f>
        <v/>
      </c>
      <c r="E995" t="str">
        <f>IFERROR(__xludf.DUMMYFUNCTION("""COMPUTED_VALUE"""),"")</f>
        <v/>
      </c>
      <c r="F995" t="str">
        <f>IFERROR(__xludf.DUMMYFUNCTION("""COMPUTED_VALUE"""),"")</f>
        <v/>
      </c>
      <c r="G995" t="str">
        <f>IFERROR(__xludf.DUMMYFUNCTION("""COMPUTED_VALUE"""),"")</f>
        <v/>
      </c>
      <c r="H995" t="str">
        <f>IFERROR(__xludf.DUMMYFUNCTION("""COMPUTED_VALUE"""),"")</f>
        <v/>
      </c>
      <c r="I995" t="str">
        <f>IFERROR(__xludf.DUMMYFUNCTION("""COMPUTED_VALUE"""),"")</f>
        <v/>
      </c>
      <c r="J995" t="str">
        <f>IFERROR(__xludf.DUMMYFUNCTION("""COMPUTED_VALUE"""),"")</f>
        <v/>
      </c>
      <c r="K995" t="str">
        <f>IFERROR(__xludf.DUMMYFUNCTION("""COMPUTED_VALUE"""),"")</f>
        <v/>
      </c>
      <c r="L995" t="str">
        <f>IFERROR(__xludf.DUMMYFUNCTION("""COMPUTED_VALUE"""),"")</f>
        <v/>
      </c>
    </row>
    <row r="996">
      <c r="A996" t="str">
        <f>IFERROR(__xludf.DUMMYFUNCTION("""COMPUTED_VALUE"""),"")</f>
        <v/>
      </c>
      <c r="B996" t="str">
        <f>IFERROR(__xludf.DUMMYFUNCTION("""COMPUTED_VALUE"""),"")</f>
        <v/>
      </c>
      <c r="C996" t="str">
        <f>IFERROR(__xludf.DUMMYFUNCTION("""COMPUTED_VALUE"""),"")</f>
        <v/>
      </c>
      <c r="D996" t="str">
        <f>IFERROR(__xludf.DUMMYFUNCTION("""COMPUTED_VALUE"""),"")</f>
        <v/>
      </c>
      <c r="E996" t="str">
        <f>IFERROR(__xludf.DUMMYFUNCTION("""COMPUTED_VALUE"""),"")</f>
        <v/>
      </c>
      <c r="F996" t="str">
        <f>IFERROR(__xludf.DUMMYFUNCTION("""COMPUTED_VALUE"""),"")</f>
        <v/>
      </c>
      <c r="G996" t="str">
        <f>IFERROR(__xludf.DUMMYFUNCTION("""COMPUTED_VALUE"""),"")</f>
        <v/>
      </c>
      <c r="H996" t="str">
        <f>IFERROR(__xludf.DUMMYFUNCTION("""COMPUTED_VALUE"""),"")</f>
        <v/>
      </c>
      <c r="I996" t="str">
        <f>IFERROR(__xludf.DUMMYFUNCTION("""COMPUTED_VALUE"""),"")</f>
        <v/>
      </c>
      <c r="J996" t="str">
        <f>IFERROR(__xludf.DUMMYFUNCTION("""COMPUTED_VALUE"""),"")</f>
        <v/>
      </c>
      <c r="K996" t="str">
        <f>IFERROR(__xludf.DUMMYFUNCTION("""COMPUTED_VALUE"""),"")</f>
        <v/>
      </c>
      <c r="L996" t="str">
        <f>IFERROR(__xludf.DUMMYFUNCTION("""COMPUTED_VALUE"""),"")</f>
        <v/>
      </c>
    </row>
    <row r="997">
      <c r="A997" t="str">
        <f>IFERROR(__xludf.DUMMYFUNCTION("""COMPUTED_VALUE"""),"")</f>
        <v/>
      </c>
      <c r="B997" t="str">
        <f>IFERROR(__xludf.DUMMYFUNCTION("""COMPUTED_VALUE"""),"")</f>
        <v/>
      </c>
      <c r="C997" t="str">
        <f>IFERROR(__xludf.DUMMYFUNCTION("""COMPUTED_VALUE"""),"")</f>
        <v/>
      </c>
      <c r="D997" t="str">
        <f>IFERROR(__xludf.DUMMYFUNCTION("""COMPUTED_VALUE"""),"")</f>
        <v/>
      </c>
      <c r="E997" t="str">
        <f>IFERROR(__xludf.DUMMYFUNCTION("""COMPUTED_VALUE"""),"")</f>
        <v/>
      </c>
      <c r="F997" t="str">
        <f>IFERROR(__xludf.DUMMYFUNCTION("""COMPUTED_VALUE"""),"")</f>
        <v/>
      </c>
      <c r="G997" t="str">
        <f>IFERROR(__xludf.DUMMYFUNCTION("""COMPUTED_VALUE"""),"")</f>
        <v/>
      </c>
      <c r="H997" t="str">
        <f>IFERROR(__xludf.DUMMYFUNCTION("""COMPUTED_VALUE"""),"")</f>
        <v/>
      </c>
      <c r="I997" t="str">
        <f>IFERROR(__xludf.DUMMYFUNCTION("""COMPUTED_VALUE"""),"")</f>
        <v/>
      </c>
      <c r="J997" t="str">
        <f>IFERROR(__xludf.DUMMYFUNCTION("""COMPUTED_VALUE"""),"")</f>
        <v/>
      </c>
      <c r="K997" t="str">
        <f>IFERROR(__xludf.DUMMYFUNCTION("""COMPUTED_VALUE"""),"")</f>
        <v/>
      </c>
      <c r="L997" t="str">
        <f>IFERROR(__xludf.DUMMYFUNCTION("""COMPUTED_VALUE"""),"")</f>
        <v/>
      </c>
    </row>
    <row r="998">
      <c r="A998" t="str">
        <f>IFERROR(__xludf.DUMMYFUNCTION("""COMPUTED_VALUE"""),"")</f>
        <v/>
      </c>
      <c r="B998" t="str">
        <f>IFERROR(__xludf.DUMMYFUNCTION("""COMPUTED_VALUE"""),"")</f>
        <v/>
      </c>
      <c r="C998" t="str">
        <f>IFERROR(__xludf.DUMMYFUNCTION("""COMPUTED_VALUE"""),"")</f>
        <v/>
      </c>
      <c r="D998" t="str">
        <f>IFERROR(__xludf.DUMMYFUNCTION("""COMPUTED_VALUE"""),"")</f>
        <v/>
      </c>
      <c r="E998" t="str">
        <f>IFERROR(__xludf.DUMMYFUNCTION("""COMPUTED_VALUE"""),"")</f>
        <v/>
      </c>
      <c r="F998" t="str">
        <f>IFERROR(__xludf.DUMMYFUNCTION("""COMPUTED_VALUE"""),"")</f>
        <v/>
      </c>
      <c r="G998" t="str">
        <f>IFERROR(__xludf.DUMMYFUNCTION("""COMPUTED_VALUE"""),"")</f>
        <v/>
      </c>
      <c r="H998" t="str">
        <f>IFERROR(__xludf.DUMMYFUNCTION("""COMPUTED_VALUE"""),"")</f>
        <v/>
      </c>
      <c r="I998" t="str">
        <f>IFERROR(__xludf.DUMMYFUNCTION("""COMPUTED_VALUE"""),"")</f>
        <v/>
      </c>
      <c r="J998" t="str">
        <f>IFERROR(__xludf.DUMMYFUNCTION("""COMPUTED_VALUE"""),"")</f>
        <v/>
      </c>
      <c r="K998" t="str">
        <f>IFERROR(__xludf.DUMMYFUNCTION("""COMPUTED_VALUE"""),"")</f>
        <v/>
      </c>
      <c r="L998" t="str">
        <f>IFERROR(__xludf.DUMMYFUNCTION("""COMPUTED_VALUE"""),"")</f>
        <v/>
      </c>
    </row>
    <row r="999">
      <c r="A999" t="str">
        <f>IFERROR(__xludf.DUMMYFUNCTION("""COMPUTED_VALUE"""),"")</f>
        <v/>
      </c>
      <c r="B999" t="str">
        <f>IFERROR(__xludf.DUMMYFUNCTION("""COMPUTED_VALUE"""),"")</f>
        <v/>
      </c>
      <c r="C999" t="str">
        <f>IFERROR(__xludf.DUMMYFUNCTION("""COMPUTED_VALUE"""),"")</f>
        <v/>
      </c>
      <c r="D999" t="str">
        <f>IFERROR(__xludf.DUMMYFUNCTION("""COMPUTED_VALUE"""),"")</f>
        <v/>
      </c>
      <c r="E999" t="str">
        <f>IFERROR(__xludf.DUMMYFUNCTION("""COMPUTED_VALUE"""),"")</f>
        <v/>
      </c>
      <c r="F999" t="str">
        <f>IFERROR(__xludf.DUMMYFUNCTION("""COMPUTED_VALUE"""),"")</f>
        <v/>
      </c>
      <c r="G999" t="str">
        <f>IFERROR(__xludf.DUMMYFUNCTION("""COMPUTED_VALUE"""),"")</f>
        <v/>
      </c>
      <c r="H999" t="str">
        <f>IFERROR(__xludf.DUMMYFUNCTION("""COMPUTED_VALUE"""),"")</f>
        <v/>
      </c>
      <c r="I999" t="str">
        <f>IFERROR(__xludf.DUMMYFUNCTION("""COMPUTED_VALUE"""),"")</f>
        <v/>
      </c>
      <c r="J999" t="str">
        <f>IFERROR(__xludf.DUMMYFUNCTION("""COMPUTED_VALUE"""),"")</f>
        <v/>
      </c>
      <c r="K999" t="str">
        <f>IFERROR(__xludf.DUMMYFUNCTION("""COMPUTED_VALUE"""),"")</f>
        <v/>
      </c>
      <c r="L999" t="str">
        <f>IFERROR(__xludf.DUMMYFUNCTION("""COMPUTED_VALUE"""),"")</f>
        <v/>
      </c>
    </row>
    <row r="1000">
      <c r="A1000" t="str">
        <f>IFERROR(__xludf.DUMMYFUNCTION("""COMPUTED_VALUE"""),"")</f>
        <v/>
      </c>
      <c r="B1000" t="str">
        <f>IFERROR(__xludf.DUMMYFUNCTION("""COMPUTED_VALUE"""),"")</f>
        <v/>
      </c>
      <c r="C1000" t="str">
        <f>IFERROR(__xludf.DUMMYFUNCTION("""COMPUTED_VALUE"""),"")</f>
        <v/>
      </c>
      <c r="D1000" t="str">
        <f>IFERROR(__xludf.DUMMYFUNCTION("""COMPUTED_VALUE"""),"")</f>
        <v/>
      </c>
      <c r="E1000" t="str">
        <f>IFERROR(__xludf.DUMMYFUNCTION("""COMPUTED_VALUE"""),"")</f>
        <v/>
      </c>
      <c r="F1000" t="str">
        <f>IFERROR(__xludf.DUMMYFUNCTION("""COMPUTED_VALUE"""),"")</f>
        <v/>
      </c>
      <c r="G1000" t="str">
        <f>IFERROR(__xludf.DUMMYFUNCTION("""COMPUTED_VALUE"""),"")</f>
        <v/>
      </c>
      <c r="H1000" t="str">
        <f>IFERROR(__xludf.DUMMYFUNCTION("""COMPUTED_VALUE"""),"")</f>
        <v/>
      </c>
      <c r="I1000" t="str">
        <f>IFERROR(__xludf.DUMMYFUNCTION("""COMPUTED_VALUE"""),"")</f>
        <v/>
      </c>
      <c r="J1000" t="str">
        <f>IFERROR(__xludf.DUMMYFUNCTION("""COMPUTED_VALUE"""),"")</f>
        <v/>
      </c>
      <c r="K1000" t="str">
        <f>IFERROR(__xludf.DUMMYFUNCTION("""COMPUTED_VALUE"""),"")</f>
        <v/>
      </c>
      <c r="L1000" t="str">
        <f>IFERROR(__xludf.DUMMYFUNCTION("""COMPUTED_VALUE"""),"")</f>
        <v/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1b5S4Xpp4fgZ1ez6cK92QFnVBylqz8jhwxdAyEvwDqUI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12</v>
      </c>
      <c r="D3" s="8" t="s">
        <v>7</v>
      </c>
      <c r="E3" s="21" t="s">
        <v>13</v>
      </c>
      <c r="F3" s="8" t="s">
        <v>14</v>
      </c>
      <c r="G3" s="15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IFERROR(__xludf.DUMMYFUNCTION("""COMPUTED_VALUE"""),"ChkBoxBookAsSwap")</f>
        <v>ChkBoxBookAsSwap</v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13" t="s">
        <v>16</v>
      </c>
      <c r="C6" s="13" t="s">
        <v>17</v>
      </c>
      <c r="D6" s="13">
        <v>100.0</v>
      </c>
      <c r="E6" s="7"/>
      <c r="F6" s="13" t="s">
        <v>18</v>
      </c>
      <c r="G6" s="7"/>
      <c r="H6" s="7"/>
      <c r="I6" s="7"/>
      <c r="J6" s="13">
        <v>15.0</v>
      </c>
      <c r="K6" s="7"/>
      <c r="L6" s="7"/>
      <c r="M6" s="7"/>
      <c r="N6" s="29">
        <f t="shared" ref="N6:N7" si="1">Today()</f>
        <v>43668</v>
      </c>
      <c r="O6" s="7"/>
    </row>
    <row r="7" ht="15.75" customHeight="1">
      <c r="A7" s="7"/>
      <c r="B7" s="13" t="s">
        <v>19</v>
      </c>
      <c r="C7" s="13" t="s">
        <v>20</v>
      </c>
      <c r="D7" s="13">
        <v>5000.0</v>
      </c>
      <c r="E7" s="7"/>
      <c r="F7" s="13" t="s">
        <v>18</v>
      </c>
      <c r="G7" s="7"/>
      <c r="H7" s="7"/>
      <c r="I7" s="7"/>
      <c r="J7" s="13">
        <v>15.0</v>
      </c>
      <c r="K7" s="7"/>
      <c r="L7" s="7"/>
      <c r="M7" s="7"/>
      <c r="N7" s="29">
        <f t="shared" si="1"/>
        <v>43668</v>
      </c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11" width="14.43"/>
    <col customWidth="1" min="112" max="112" width="17.29"/>
    <col customWidth="1" min="113" max="154" width="14.43"/>
  </cols>
  <sheetData>
    <row r="1" ht="15.75" customHeight="1">
      <c r="A1" s="17"/>
      <c r="B1" s="3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21</v>
      </c>
      <c r="D3" s="8" t="s">
        <v>7</v>
      </c>
      <c r="E3" s="21" t="s">
        <v>22</v>
      </c>
      <c r="F3" s="8" t="s">
        <v>14</v>
      </c>
      <c r="G3" s="15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IFERROR(__xludf.DUMMYFUNCTION("""COMPUTED_VALUE"""),"AccruedInterest")</f>
        <v>AccruedInterest</v>
      </c>
      <c r="D5" s="26" t="str">
        <f>IFERROR(__xludf.DUMMYFUNCTION("""COMPUTED_VALUE"""),"Analyst")</f>
        <v>Analyst</v>
      </c>
      <c r="E5" s="26" t="str">
        <f>IFERROR(__xludf.DUMMYFUNCTION("""COMPUTED_VALUE"""),"Asset Class")</f>
        <v>Asset Class</v>
      </c>
      <c r="F5" s="27" t="str">
        <f>IFERROR(__xludf.DUMMYFUNCTION("""COMPUTED_VALUE"""),"Asset Derivative")</f>
        <v>Asset Derivative</v>
      </c>
      <c r="G5" s="26" t="str">
        <f>IFERROR(__xludf.DUMMYFUNCTION("""COMPUTED_VALUE"""),"AUCID")</f>
        <v>AUCID</v>
      </c>
      <c r="H5" s="26" t="str">
        <f>IFERROR(__xludf.DUMMYFUNCTION("""COMPUTED_VALUE"""),"AUECModifiedDate")</f>
        <v>AUECModifiedDate</v>
      </c>
      <c r="I5" s="26" t="str">
        <f>IFERROR(__xludf.DUMMYFUNCTION("""COMPUTED_VALUE"""),"Average Price")</f>
        <v>Average Price</v>
      </c>
      <c r="J5" s="26" t="str">
        <f>IFERROR(__xludf.DUMMYFUNCTION("""COMPUTED_VALUE"""),"BloombergSymbol")</f>
        <v>BloombergSymbol</v>
      </c>
      <c r="K5" s="26" t="str">
        <f>IFERROR(__xludf.DUMMYFUNCTION("""COMPUTED_VALUE"""),"Broker")</f>
        <v>Broker</v>
      </c>
      <c r="L5" s="26" t="str">
        <f>IFERROR(__xludf.DUMMYFUNCTION("""COMPUTED_VALUE"""),"CalcBasis")</f>
        <v>CalcBasis</v>
      </c>
      <c r="M5" s="26" t="str">
        <f>IFERROR(__xludf.DUMMYFUNCTION("""COMPUTED_VALUE"""),"CashSettledPrice")</f>
        <v>CashSettledPrice</v>
      </c>
      <c r="N5" s="26" t="str">
        <f>IFERROR(__xludf.DUMMYFUNCTION("""COMPUTED_VALUE"""),"ChangeComment")</f>
        <v>ChangeComment</v>
      </c>
      <c r="O5" s="26" t="str">
        <f>IFERROR(__xludf.DUMMYFUNCTION("""COMPUTED_VALUE"""),"ChangeType")</f>
        <v>ChangeType</v>
      </c>
      <c r="P5" s="26" t="str">
        <f>IFERROR(__xludf.DUMMYFUNCTION("""COMPUTED_VALUE"""),"ClearingBrokerFee")</f>
        <v>ClearingBrokerFee</v>
      </c>
      <c r="Q5" s="26" t="str">
        <f>IFERROR(__xludf.DUMMYFUNCTION("""COMPUTED_VALUE"""),"ClearingFee")</f>
        <v>ClearingFee</v>
      </c>
      <c r="R5" s="26" t="str">
        <f>IFERROR(__xludf.DUMMYFUNCTION("""COMPUTED_VALUE"""),"ClosedTotalCommissionandFees")</f>
        <v>ClosedTotalCommissionandFees</v>
      </c>
      <c r="S5" s="26" t="str">
        <f>IFERROR(__xludf.DUMMYFUNCTION("""COMPUTED_VALUE"""),"ClosingAlgo")</f>
        <v>ClosingAlgo</v>
      </c>
      <c r="T5" s="28" t="str">
        <f>IFERROR(__xludf.DUMMYFUNCTION("""COMPUTED_VALUE"""),"ClosingDate")</f>
        <v>ClosingDate</v>
      </c>
      <c r="U5" s="28" t="str">
        <f>IFERROR(__xludf.DUMMYFUNCTION("""COMPUTED_VALUE"""),"ClosingStatus")</f>
        <v>ClosingStatus</v>
      </c>
      <c r="V5" s="28" t="str">
        <f>IFERROR(__xludf.DUMMYFUNCTION("""COMPUTED_VALUE"""),"Commission")</f>
        <v>Commission</v>
      </c>
      <c r="W5" s="28" t="str">
        <f>IFERROR(__xludf.DUMMYFUNCTION("""COMPUTED_VALUE"""),"CommissionAmt")</f>
        <v>CommissionAmt</v>
      </c>
      <c r="X5" s="28" t="str">
        <f>IFERROR(__xludf.DUMMYFUNCTION("""COMPUTED_VALUE"""),"CommissionRate")</f>
        <v>CommissionRate</v>
      </c>
      <c r="Y5" s="28" t="str">
        <f>IFERROR(__xludf.DUMMYFUNCTION("""COMPUTED_VALUE"""),"CompanyUserName")</f>
        <v>CompanyUserName</v>
      </c>
      <c r="Z5" s="28" t="str">
        <f>IFERROR(__xludf.DUMMYFUNCTION("""COMPUTED_VALUE"""),"ContractMultiplier")</f>
        <v>ContractMultiplier</v>
      </c>
      <c r="AA5" s="28" t="str">
        <f>IFERROR(__xludf.DUMMYFUNCTION("""COMPUTED_VALUE"""),"CountryName")</f>
        <v>CountryName</v>
      </c>
      <c r="AB5" s="28" t="str">
        <f>IFERROR(__xludf.DUMMYFUNCTION("""COMPUTED_VALUE"""),"CountryOfRisk")</f>
        <v>CountryOfRisk</v>
      </c>
      <c r="AC5" s="28" t="str">
        <f>IFERROR(__xludf.DUMMYFUNCTION("""COMPUTED_VALUE"""),"CumQty")</f>
        <v>CumQty</v>
      </c>
      <c r="AD5" s="28" t="str">
        <f>IFERROR(__xludf.DUMMYFUNCTION("""COMPUTED_VALUE"""),"CurrencyID")</f>
        <v>CurrencyID</v>
      </c>
      <c r="AE5" s="28" t="str">
        <f>IFERROR(__xludf.DUMMYFUNCTION("""COMPUTED_VALUE"""),"CurrencyName")</f>
        <v>CurrencyName</v>
      </c>
      <c r="AF5" s="28" t="str">
        <f>IFERROR(__xludf.DUMMYFUNCTION("""COMPUTED_VALUE"""),"CusipSymbol")</f>
        <v>CusipSymbol</v>
      </c>
      <c r="AG5" s="28" t="str">
        <f>IFERROR(__xludf.DUMMYFUNCTION("""COMPUTED_VALUE"""),"CustomUDA1")</f>
        <v>CustomUDA1</v>
      </c>
      <c r="AH5" s="28" t="str">
        <f>IFERROR(__xludf.DUMMYFUNCTION("""COMPUTED_VALUE"""),"CustomUDA2")</f>
        <v>CustomUDA2</v>
      </c>
      <c r="AI5" s="28" t="str">
        <f>IFERROR(__xludf.DUMMYFUNCTION("""COMPUTED_VALUE"""),"CustomUDA3")</f>
        <v>CustomUDA3</v>
      </c>
      <c r="AJ5" s="28" t="str">
        <f>IFERROR(__xludf.DUMMYFUNCTION("""COMPUTED_VALUE"""),"CustomUDA4")</f>
        <v>CustomUDA4</v>
      </c>
      <c r="AK5" s="28" t="str">
        <f>IFERROR(__xludf.DUMMYFUNCTION("""COMPUTED_VALUE"""),"CustomUDA5")</f>
        <v>CustomUDA5</v>
      </c>
      <c r="AL5" s="28" t="str">
        <f>IFERROR(__xludf.DUMMYFUNCTION("""COMPUTED_VALUE"""),"CustomUDA6")</f>
        <v>CustomUDA6</v>
      </c>
      <c r="AM5" s="28" t="str">
        <f>IFERROR(__xludf.DUMMYFUNCTION("""COMPUTED_VALUE"""),"CustomUDA7")</f>
        <v>CustomUDA7</v>
      </c>
      <c r="AN5" s="28" t="str">
        <f>IFERROR(__xludf.DUMMYFUNCTION("""COMPUTED_VALUE"""),"Delta")</f>
        <v>Delta</v>
      </c>
      <c r="AO5" s="28" t="str">
        <f>IFERROR(__xludf.DUMMYFUNCTION("""COMPUTED_VALUE"""),"Description")</f>
        <v>Description</v>
      </c>
      <c r="AP5" s="28" t="str">
        <f>IFERROR(__xludf.DUMMYFUNCTION("""COMPUTED_VALUE"""),"ExchangeName")</f>
        <v>ExchangeName</v>
      </c>
      <c r="AQ5" s="28" t="str">
        <f>IFERROR(__xludf.DUMMYFUNCTION("""COMPUTED_VALUE"""),"ExecutedQty")</f>
        <v>ExecutedQty</v>
      </c>
      <c r="AR5" s="28" t="str">
        <f>IFERROR(__xludf.DUMMYFUNCTION("""COMPUTED_VALUE"""),"ExpirationDate")</f>
        <v>ExpirationDate</v>
      </c>
      <c r="AS5" s="28" t="str">
        <f>IFERROR(__xludf.DUMMYFUNCTION("""COMPUTED_VALUE"""),"ExternalTransID")</f>
        <v>ExternalTransID</v>
      </c>
      <c r="AT5" s="28" t="str">
        <f>IFERROR(__xludf.DUMMYFUNCTION("""COMPUTED_VALUE"""),"FXConversionMethodOperator")</f>
        <v>FXConversionMethodOperator</v>
      </c>
      <c r="AU5" s="28" t="str">
        <f>IFERROR(__xludf.DUMMYFUNCTION("""COMPUTED_VALUE"""),"FXRate")</f>
        <v>FXRate</v>
      </c>
      <c r="AV5" s="28" t="str">
        <f>IFERROR(__xludf.DUMMYFUNCTION("""COMPUTED_VALUE"""),"GroupID")</f>
        <v>GroupID</v>
      </c>
      <c r="AW5" s="28" t="str">
        <f>IFERROR(__xludf.DUMMYFUNCTION("""COMPUTED_VALUE"""),"IDCOSymbol")</f>
        <v>IDCOSymbol</v>
      </c>
      <c r="AX5" s="28" t="str">
        <f>IFERROR(__xludf.DUMMYFUNCTION("""COMPUTED_VALUE"""),"InternalComments")</f>
        <v>InternalComments</v>
      </c>
      <c r="AY5" s="28" t="str">
        <f>IFERROR(__xludf.DUMMYFUNCTION("""COMPUTED_VALUE"""),"IsExerciseAtZero")</f>
        <v>IsExerciseAtZero</v>
      </c>
      <c r="AZ5" s="28" t="str">
        <f>IFERROR(__xludf.DUMMYFUNCTION("""COMPUTED_VALUE"""),"ISINSymbol")</f>
        <v>ISINSymbol</v>
      </c>
      <c r="BA5" s="28" t="str">
        <f>IFERROR(__xludf.DUMMYFUNCTION("""COMPUTED_VALUE"""),"IsNDF")</f>
        <v>IsNDF</v>
      </c>
      <c r="BB5" s="28" t="str">
        <f>IFERROR(__xludf.DUMMYFUNCTION("""COMPUTED_VALUE"""),"IsPosition")</f>
        <v>IsPosition</v>
      </c>
      <c r="BC5" s="28" t="str">
        <f>IFERROR(__xludf.DUMMYFUNCTION("""COMPUTED_VALUE"""),"IsPreAllocated")</f>
        <v>IsPreAllocated</v>
      </c>
      <c r="BD5" s="28" t="str">
        <f>IFERROR(__xludf.DUMMYFUNCTION("""COMPUTED_VALUE"""),"Issuer")</f>
        <v>Issuer</v>
      </c>
      <c r="BE5" s="28" t="str">
        <f>IFERROR(__xludf.DUMMYFUNCTION("""COMPUTED_VALUE"""),"IsSwapped")</f>
        <v>IsSwapped</v>
      </c>
      <c r="BF5" s="28" t="str">
        <f>IFERROR(__xludf.DUMMYFUNCTION("""COMPUTED_VALUE"""),"LeadCurrencyID")</f>
        <v>LeadCurrencyID</v>
      </c>
      <c r="BG5" s="28" t="str">
        <f>IFERROR(__xludf.DUMMYFUNCTION("""COMPUTED_VALUE"""),"LiquidTag")</f>
        <v>LiquidTag</v>
      </c>
      <c r="BH5" s="28" t="str">
        <f>IFERROR(__xludf.DUMMYFUNCTION("""COMPUTED_VALUE"""),"LongOrShort")</f>
        <v>LongOrShort</v>
      </c>
      <c r="BI5" s="28" t="str">
        <f>IFERROR(__xludf.DUMMYFUNCTION("""COMPUTED_VALUE"""),"LotId")</f>
        <v>LotId</v>
      </c>
      <c r="BJ5" s="28" t="str">
        <f>IFERROR(__xludf.DUMMYFUNCTION("""COMPUTED_VALUE"""),"M2MProfitLoss")</f>
        <v>M2MProfitLoss</v>
      </c>
      <c r="BK5" s="28" t="str">
        <f>IFERROR(__xludf.DUMMYFUNCTION("""COMPUTED_VALUE"""),"MarkPrice")</f>
        <v>MarkPrice</v>
      </c>
      <c r="BL5" s="28" t="str">
        <f>IFERROR(__xludf.DUMMYFUNCTION("""COMPUTED_VALUE"""),"MasterFund")</f>
        <v>MasterFund</v>
      </c>
      <c r="BM5" s="28" t="str">
        <f>IFERROR(__xludf.DUMMYFUNCTION("""COMPUTED_VALUE"""),"MiscFees")</f>
        <v>MiscFees</v>
      </c>
      <c r="BN5" s="28" t="str">
        <f>IFERROR(__xludf.DUMMYFUNCTION("""COMPUTED_VALUE"""),"NavLockStatus")</f>
        <v>NavLockStatus</v>
      </c>
      <c r="BO5" s="28" t="str">
        <f>IFERROR(__xludf.DUMMYFUNCTION("""COMPUTED_VALUE"""),"Net Notional")</f>
        <v>Net Notional</v>
      </c>
      <c r="BP5" s="28" t="str">
        <f>IFERROR(__xludf.DUMMYFUNCTION("""COMPUTED_VALUE"""),"NirvanaProcessDate")</f>
        <v>NirvanaProcessDate</v>
      </c>
      <c r="BQ5" s="28" t="str">
        <f>IFERROR(__xludf.DUMMYFUNCTION("""COMPUTED_VALUE"""),"OccFee")</f>
        <v>OccFee</v>
      </c>
      <c r="BR5" s="28" t="str">
        <f>IFERROR(__xludf.DUMMYFUNCTION("""COMPUTED_VALUE"""),"OptionPremiumAdjustment")</f>
        <v>OptionPremiumAdjustment</v>
      </c>
      <c r="BS5" s="28" t="str">
        <f>IFERROR(__xludf.DUMMYFUNCTION("""COMPUTED_VALUE"""),"OrderSideTagValue")</f>
        <v>OrderSideTagValue</v>
      </c>
      <c r="BT5" s="28" t="str">
        <f>IFERROR(__xludf.DUMMYFUNCTION("""COMPUTED_VALUE"""),"OrderType")</f>
        <v>OrderType</v>
      </c>
      <c r="BU5" s="28" t="str">
        <f>IFERROR(__xludf.DUMMYFUNCTION("""COMPUTED_VALUE"""),"OrfFee")</f>
        <v>OrfFee</v>
      </c>
      <c r="BV5" s="28" t="str">
        <f>IFERROR(__xludf.DUMMYFUNCTION("""COMPUTED_VALUE"""),"Original Side")</f>
        <v>Original Side</v>
      </c>
      <c r="BW5" s="28" t="str">
        <f>IFERROR(__xludf.DUMMYFUNCTION("""COMPUTED_VALUE"""),"OriginalPurchase Date")</f>
        <v>OriginalPurchase Date</v>
      </c>
      <c r="BX5" s="28" t="str">
        <f>IFERROR(__xludf.DUMMYFUNCTION("""COMPUTED_VALUE"""),"OSISymbol")</f>
        <v>OSISymbol</v>
      </c>
      <c r="BY5" s="28" t="str">
        <f>IFERROR(__xludf.DUMMYFUNCTION("""COMPUTED_VALUE"""),"OtherBrokerFees")</f>
        <v>OtherBrokerFees</v>
      </c>
      <c r="BZ5" s="28" t="str">
        <f>IFERROR(__xludf.DUMMYFUNCTION("""COMPUTED_VALUE"""),"ParentRowPK")</f>
        <v>ParentRowPK</v>
      </c>
      <c r="CA5" s="28" t="str">
        <f>IFERROR(__xludf.DUMMYFUNCTION("""COMPUTED_VALUE"""),"Percentage")</f>
        <v>Percentage</v>
      </c>
      <c r="CB5" s="28" t="str">
        <f>IFERROR(__xludf.DUMMYFUNCTION("""COMPUTED_VALUE"""),"PositionTag")</f>
        <v>PositionTag</v>
      </c>
      <c r="CC5" s="28" t="str">
        <f>IFERROR(__xludf.DUMMYFUNCTION("""COMPUTED_VALUE"""),"PositionType")</f>
        <v>PositionType</v>
      </c>
      <c r="CD5" s="28" t="str">
        <f>IFERROR(__xludf.DUMMYFUNCTION("""COMPUTED_VALUE"""),"Process Date")</f>
        <v>Process Date</v>
      </c>
      <c r="CE5" s="28" t="str">
        <f>IFERROR(__xludf.DUMMYFUNCTION("""COMPUTED_VALUE"""),"ProxySymbol")</f>
        <v>ProxySymbol</v>
      </c>
      <c r="CF5" s="28" t="str">
        <f>IFERROR(__xludf.DUMMYFUNCTION("""COMPUTED_VALUE"""),"PutOrCall")</f>
        <v>PutOrCall</v>
      </c>
      <c r="CG5" s="28" t="str">
        <f>IFERROR(__xludf.DUMMYFUNCTION("""COMPUTED_VALUE"""),"Quantity")</f>
        <v>Quantity</v>
      </c>
      <c r="CH5" s="28" t="str">
        <f>IFERROR(__xludf.DUMMYFUNCTION("""COMPUTED_VALUE"""),"Region")</f>
        <v>Region</v>
      </c>
      <c r="CI5" s="28" t="str">
        <f>IFERROR(__xludf.DUMMYFUNCTION("""COMPUTED_VALUE"""),"ReutersSymbol")</f>
        <v>ReutersSymbol</v>
      </c>
      <c r="CJ5" s="28" t="str">
        <f>IFERROR(__xludf.DUMMYFUNCTION("""COMPUTED_VALUE"""),"RiskCurrency")</f>
        <v>RiskCurrency</v>
      </c>
      <c r="CK5" s="28" t="str">
        <f>IFERROR(__xludf.DUMMYFUNCTION("""COMPUTED_VALUE"""),"SecFee")</f>
        <v>SecFee</v>
      </c>
      <c r="CL5" s="28" t="str">
        <f>IFERROR(__xludf.DUMMYFUNCTION("""COMPUTED_VALUE"""),"SectorName")</f>
        <v>SectorName</v>
      </c>
      <c r="CM5" s="28" t="str">
        <f>IFERROR(__xludf.DUMMYFUNCTION("""COMPUTED_VALUE"""),"Security Name")</f>
        <v>Security Name</v>
      </c>
      <c r="CN5" s="28" t="str">
        <f>IFERROR(__xludf.DUMMYFUNCTION("""COMPUTED_VALUE"""),"SecurityTypeName")</f>
        <v>SecurityTypeName</v>
      </c>
      <c r="CO5" s="28" t="str">
        <f>IFERROR(__xludf.DUMMYFUNCTION("""COMPUTED_VALUE"""),"SedolSymbol")</f>
        <v>SedolSymbol</v>
      </c>
      <c r="CP5" s="28" t="str">
        <f>IFERROR(__xludf.DUMMYFUNCTION("""COMPUTED_VALUE"""),"SettlCurrAmt")</f>
        <v>SettlCurrAmt</v>
      </c>
      <c r="CQ5" s="28" t="str">
        <f>IFERROR(__xludf.DUMMYFUNCTION("""COMPUTED_VALUE"""),"SettlCurrFxRate")</f>
        <v>SettlCurrFxRate</v>
      </c>
      <c r="CR5" s="28" t="str">
        <f>IFERROR(__xludf.DUMMYFUNCTION("""COMPUTED_VALUE"""),"SettlCurrFxRateCalc")</f>
        <v>SettlCurrFxRateCalc</v>
      </c>
      <c r="CS5" s="28" t="str">
        <f>IFERROR(__xludf.DUMMYFUNCTION("""COMPUTED_VALUE"""),"SettlCurrUnitCost")</f>
        <v>SettlCurrUnitCost</v>
      </c>
      <c r="CT5" s="28" t="str">
        <f>IFERROR(__xludf.DUMMYFUNCTION("""COMPUTED_VALUE"""),"Settlement Mode")</f>
        <v>Settlement Mode</v>
      </c>
      <c r="CU5" s="28" t="str">
        <f>IFERROR(__xludf.DUMMYFUNCTION("""COMPUTED_VALUE"""),"Settlement Qty")</f>
        <v>Settlement Qty</v>
      </c>
      <c r="CV5" s="28" t="str">
        <f>IFERROR(__xludf.DUMMYFUNCTION("""COMPUTED_VALUE"""),"SettlementCurrencyID")</f>
        <v>SettlementCurrencyID</v>
      </c>
      <c r="CW5" s="28" t="str">
        <f>IFERROR(__xludf.DUMMYFUNCTION("""COMPUTED_VALUE"""),"SettlementDate")</f>
        <v>SettlementDate</v>
      </c>
      <c r="CX5" s="28" t="str">
        <f>IFERROR(__xludf.DUMMYFUNCTION("""COMPUTED_VALUE"""),"SideMultiplier")</f>
        <v>SideMultiplier</v>
      </c>
      <c r="CY5" s="28" t="str">
        <f>IFERROR(__xludf.DUMMYFUNCTION("""COMPUTED_VALUE"""),"SoftCommission")</f>
        <v>SoftCommission</v>
      </c>
      <c r="CZ5" s="28" t="str">
        <f>IFERROR(__xludf.DUMMYFUNCTION("""COMPUTED_VALUE"""),"SoftCommissionAmt")</f>
        <v>SoftCommissionAmt</v>
      </c>
      <c r="DA5" s="28" t="str">
        <f>IFERROR(__xludf.DUMMYFUNCTION("""COMPUTED_VALUE"""),"SoftCommissionCalcBasis")</f>
        <v>SoftCommissionCalcBasis</v>
      </c>
      <c r="DB5" s="28" t="str">
        <f>IFERROR(__xludf.DUMMYFUNCTION("""COMPUTED_VALUE"""),"SoftCommissionRate")</f>
        <v>SoftCommissionRate</v>
      </c>
      <c r="DC5" s="28" t="str">
        <f>IFERROR(__xludf.DUMMYFUNCTION("""COMPUTED_VALUE"""),"StampDuty")</f>
        <v>StampDuty</v>
      </c>
      <c r="DD5" s="28" t="str">
        <f>IFERROR(__xludf.DUMMYFUNCTION("""COMPUTED_VALUE"""),"Strategy")</f>
        <v>Strategy</v>
      </c>
      <c r="DE5" s="28" t="str">
        <f>IFERROR(__xludf.DUMMYFUNCTION("""COMPUTED_VALUE"""),"StrikePrice")</f>
        <v>StrikePrice</v>
      </c>
      <c r="DF5" s="28" t="str">
        <f>IFERROR(__xludf.DUMMYFUNCTION("""COMPUTED_VALUE"""),"SubSectorName")</f>
        <v>SubSectorName</v>
      </c>
      <c r="DG5" s="28" t="str">
        <f>IFERROR(__xludf.DUMMYFUNCTION("""COMPUTED_VALUE"""),"SwapParameters")</f>
        <v>SwapParameters</v>
      </c>
      <c r="DH5" s="28" t="str">
        <f>IFERROR(__xludf.DUMMYFUNCTION("""COMPUTED_VALUE"""),"Symbol")</f>
        <v>Symbol</v>
      </c>
      <c r="DI5" s="28" t="str">
        <f>IFERROR(__xludf.DUMMYFUNCTION("""COMPUTED_VALUE"""),"TaxlotClosingId")</f>
        <v>TaxlotClosingId</v>
      </c>
      <c r="DJ5" s="28" t="str">
        <f>IFERROR(__xludf.DUMMYFUNCTION("""COMPUTED_VALUE"""),"TaxLotID")</f>
        <v>TaxLotID</v>
      </c>
      <c r="DK5" s="28" t="str">
        <f>IFERROR(__xludf.DUMMYFUNCTION("""COMPUTED_VALUE"""),"TaxlotPk")</f>
        <v>TaxlotPk</v>
      </c>
      <c r="DL5" s="28" t="str">
        <f>IFERROR(__xludf.DUMMYFUNCTION("""COMPUTED_VALUE"""),"TaxLotQtyToClose")</f>
        <v>TaxLotQtyToClose</v>
      </c>
      <c r="DM5" s="28" t="str">
        <f>IFERROR(__xludf.DUMMYFUNCTION("""COMPUTED_VALUE"""),"TaxonCommissions")</f>
        <v>TaxonCommissions</v>
      </c>
      <c r="DN5" s="28" t="str">
        <f>IFERROR(__xludf.DUMMYFUNCTION("""COMPUTED_VALUE"""),"TimeOfSaveUTC")</f>
        <v>TimeOfSaveUTC</v>
      </c>
      <c r="DO5" s="28" t="str">
        <f>IFERROR(__xludf.DUMMYFUNCTION("""COMPUTED_VALUE"""),"TotalCommission&amp;Fees")</f>
        <v>TotalCommission&amp;Fees</v>
      </c>
      <c r="DP5" s="28" t="str">
        <f>IFERROR(__xludf.DUMMYFUNCTION("""COMPUTED_VALUE"""),"TotalCommissionandFees")</f>
        <v>TotalCommissionandFees</v>
      </c>
      <c r="DQ5" s="28" t="str">
        <f>IFERROR(__xludf.DUMMYFUNCTION("""COMPUTED_VALUE"""),"Tradedate")</f>
        <v>Tradedate</v>
      </c>
      <c r="DR5" s="28" t="str">
        <f>IFERROR(__xludf.DUMMYFUNCTION("""COMPUTED_VALUE"""),"TradeAttribute1")</f>
        <v>TradeAttribute1</v>
      </c>
      <c r="DS5" s="28" t="str">
        <f>IFERROR(__xludf.DUMMYFUNCTION("""COMPUTED_VALUE"""),"TradeAttribute2")</f>
        <v>TradeAttribute2</v>
      </c>
      <c r="DT5" s="28" t="str">
        <f>IFERROR(__xludf.DUMMYFUNCTION("""COMPUTED_VALUE"""),"TradeAttribute3")</f>
        <v>TradeAttribute3</v>
      </c>
      <c r="DU5" s="28" t="str">
        <f>IFERROR(__xludf.DUMMYFUNCTION("""COMPUTED_VALUE"""),"TradeAttribute4")</f>
        <v>TradeAttribute4</v>
      </c>
      <c r="DV5" s="28" t="str">
        <f>IFERROR(__xludf.DUMMYFUNCTION("""COMPUTED_VALUE"""),"TradeAttribute5")</f>
        <v>TradeAttribute5</v>
      </c>
      <c r="DW5" s="28" t="str">
        <f>IFERROR(__xludf.DUMMYFUNCTION("""COMPUTED_VALUE"""),"TradeAttribute6")</f>
        <v>TradeAttribute6</v>
      </c>
      <c r="DX5" s="28" t="str">
        <f>IFERROR(__xludf.DUMMYFUNCTION("""COMPUTED_VALUE"""),"TradingAccountName")</f>
        <v>TradingAccountName</v>
      </c>
      <c r="DY5" s="28" t="str">
        <f>IFERROR(__xludf.DUMMYFUNCTION("""COMPUTED_VALUE"""),"TransactionLevy")</f>
        <v>TransactionLevy</v>
      </c>
      <c r="DZ5" s="28" t="str">
        <f>IFERROR(__xludf.DUMMYFUNCTION("""COMPUTED_VALUE"""),"TransactionType")</f>
        <v>TransactionType</v>
      </c>
      <c r="EA5" s="28" t="str">
        <f>IFERROR(__xludf.DUMMYFUNCTION("""COMPUTED_VALUE"""),"UcitsEligibleTag")</f>
        <v>UcitsEligibleTag</v>
      </c>
      <c r="EB5" s="28" t="str">
        <f>IFERROR(__xludf.DUMMYFUNCTION("""COMPUTED_VALUE"""),"UDAAsset")</f>
        <v>UDAAsset</v>
      </c>
      <c r="EC5" s="28" t="str">
        <f>IFERROR(__xludf.DUMMYFUNCTION("""COMPUTED_VALUE"""),"UnderlyingDelta")</f>
        <v>UnderlyingDelta</v>
      </c>
      <c r="ED5" s="28" t="str">
        <f>IFERROR(__xludf.DUMMYFUNCTION("""COMPUTED_VALUE"""),"UnderlyingName")</f>
        <v>UnderlyingName</v>
      </c>
      <c r="EE5" s="28" t="str">
        <f>IFERROR(__xludf.DUMMYFUNCTION("""COMPUTED_VALUE"""),"UnderlyingSymbol")</f>
        <v>UnderlyingSymbol</v>
      </c>
      <c r="EF5" s="28" t="str">
        <f>IFERROR(__xludf.DUMMYFUNCTION("""COMPUTED_VALUE"""),"UnitCost")</f>
        <v>UnitCost</v>
      </c>
      <c r="EG5" s="28" t="str">
        <f>IFERROR(__xludf.DUMMYFUNCTION("""COMPUTED_VALUE"""),"UnRealizedPNL")</f>
        <v>UnRealizedPNL</v>
      </c>
      <c r="EH5" s="28" t="str">
        <f>IFERROR(__xludf.DUMMYFUNCTION("""COMPUTED_VALUE"""),"Venue")</f>
        <v>Venue</v>
      </c>
      <c r="EI5" s="28" t="str">
        <f>IFERROR(__xludf.DUMMYFUNCTION("""COMPUTED_VALUE"""),"VsCurrencyID")</f>
        <v>VsCurrencyID</v>
      </c>
      <c r="EJ5" s="28" t="str">
        <f>IFERROR(__xludf.DUMMYFUNCTION("""COMPUTED_VALUE"""),"WorkflowState")</f>
        <v>WorkflowState</v>
      </c>
      <c r="EK5" s="28" t="str">
        <f>IFERROR(__xludf.DUMMYFUNCTION("""COMPUTED_VALUE"""),"AvgPriceBase")</f>
        <v>AvgPriceBase</v>
      </c>
      <c r="EL5" s="28" t="str">
        <f>IFERROR(__xludf.DUMMYFUNCTION("""COMPUTED_VALUE"""),"MarketCap")</f>
        <v>MarketCap</v>
      </c>
      <c r="EM5" s="28" t="str">
        <f>IFERROR(__xludf.DUMMYFUNCTION("""COMPUTED_VALUE"""),"UnitCostBase")</f>
        <v>UnitCostBase</v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13" t="s">
        <v>18</v>
      </c>
      <c r="C6" s="7"/>
      <c r="D6" s="7"/>
      <c r="E6" s="13" t="s">
        <v>23</v>
      </c>
      <c r="F6" s="7"/>
      <c r="G6" s="7"/>
      <c r="H6" s="7"/>
      <c r="I6" s="13"/>
      <c r="J6" s="7"/>
      <c r="K6" s="7"/>
      <c r="L6" s="7"/>
      <c r="M6" s="7"/>
      <c r="N6" s="7"/>
      <c r="O6" s="7"/>
      <c r="DH6" s="30" t="s">
        <v>16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SelectTradeUnexpiredUnsettled!$4:$4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21</v>
      </c>
      <c r="D3" s="8" t="s">
        <v>7</v>
      </c>
      <c r="E3" s="21" t="s">
        <v>24</v>
      </c>
      <c r="F3" s="8" t="s">
        <v>14</v>
      </c>
      <c r="G3" s="15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IFERROR(__xludf.DUMMYFUNCTION("""COMPUTED_VALUE"""),"AccountValue")</f>
        <v>AccountValue</v>
      </c>
      <c r="D5" s="26" t="str">
        <f>IFERROR(__xludf.DUMMYFUNCTION("""COMPUTED_VALUE"""),"AccruedInterest")</f>
        <v>AccruedInterest</v>
      </c>
      <c r="E5" s="26" t="str">
        <f>IFERROR(__xludf.DUMMYFUNCTION("""COMPUTED_VALUE"""),"Asset")</f>
        <v>Asset</v>
      </c>
      <c r="F5" s="27" t="str">
        <f>IFERROR(__xludf.DUMMYFUNCTION("""COMPUTED_VALUE"""),"AUEC Fee1")</f>
        <v>AUEC Fee1</v>
      </c>
      <c r="G5" s="26" t="str">
        <f>IFERROR(__xludf.DUMMYFUNCTION("""COMPUTED_VALUE"""),"AUCE Fee2")</f>
        <v>AUCE Fee2</v>
      </c>
      <c r="H5" s="26" t="str">
        <f>IFERROR(__xludf.DUMMYFUNCTION("""COMPUTED_VALUE"""),"AUECID")</f>
        <v>AUECID</v>
      </c>
      <c r="I5" s="26" t="str">
        <f>IFERROR(__xludf.DUMMYFUNCTION("""COMPUTED_VALUE"""),"AUECLocalDateToday")</f>
        <v>AUECLocalDateToday</v>
      </c>
      <c r="J5" s="26" t="str">
        <f>IFERROR(__xludf.DUMMYFUNCTION("""COMPUTED_VALUE"""),"Average Price")</f>
        <v>Average Price</v>
      </c>
      <c r="K5" s="26" t="str">
        <f>IFERROR(__xludf.DUMMYFUNCTION("""COMPUTED_VALUE"""),"AvgPriceRealizedPL")</f>
        <v>AvgPriceRealizedPL</v>
      </c>
      <c r="L5" s="26" t="str">
        <f>IFERROR(__xludf.DUMMYFUNCTION("""COMPUTED_VALUE"""),"Broker")</f>
        <v>Broker</v>
      </c>
      <c r="M5" s="26" t="str">
        <f>IFERROR(__xludf.DUMMYFUNCTION("""COMPUTED_VALUE"""),"Clearing Broker Fee")</f>
        <v>Clearing Broker Fee</v>
      </c>
      <c r="N5" s="26" t="str">
        <f>IFERROR(__xludf.DUMMYFUNCTION("""COMPUTED_VALUE"""),"ClosedQty")</f>
        <v>ClosedQty</v>
      </c>
      <c r="O5" s="26" t="str">
        <f>IFERROR(__xludf.DUMMYFUNCTION("""COMPUTED_VALUE"""),"Commission")</f>
        <v>Commission</v>
      </c>
      <c r="P5" s="26" t="str">
        <f>IFERROR(__xludf.DUMMYFUNCTION("""COMPUTED_VALUE"""),"CostBasisRealizePNL")</f>
        <v>CostBasisRealizePNL</v>
      </c>
      <c r="Q5" s="26" t="str">
        <f>IFERROR(__xludf.DUMMYFUNCTION("""COMPUTED_VALUE"""),"Currency")</f>
        <v>Currency</v>
      </c>
      <c r="R5" s="26" t="str">
        <f>IFERROR(__xludf.DUMMYFUNCTION("""COMPUTED_VALUE"""),"Description")</f>
        <v>Description</v>
      </c>
      <c r="S5" s="26" t="str">
        <f>IFERROR(__xludf.DUMMYFUNCTION("""COMPUTED_VALUE"""),"EndDate")</f>
        <v>EndDate</v>
      </c>
      <c r="T5" s="28" t="str">
        <f>IFERROR(__xludf.DUMMYFUNCTION("""COMPUTED_VALUE"""),"ExchangeID")</f>
        <v>ExchangeID</v>
      </c>
      <c r="U5" s="28" t="str">
        <f>IFERROR(__xludf.DUMMYFUNCTION("""COMPUTED_VALUE"""),"Expiration Date")</f>
        <v>Expiration Date</v>
      </c>
      <c r="V5" s="28" t="str">
        <f>IFERROR(__xludf.DUMMYFUNCTION("""COMPUTED_VALUE"""),"ExpiredQty")</f>
        <v>ExpiredQty</v>
      </c>
      <c r="W5" s="28" t="str">
        <f>IFERROR(__xludf.DUMMYFUNCTION("""COMPUTED_VALUE"""),"ExpiredTaxlotID")</f>
        <v>ExpiredTaxlotID</v>
      </c>
      <c r="X5" s="28" t="str">
        <f>IFERROR(__xludf.DUMMYFUNCTION("""COMPUTED_VALUE"""),"FXRate")</f>
        <v>FXRate</v>
      </c>
      <c r="Y5" s="28" t="str">
        <f>IFERROR(__xludf.DUMMYFUNCTION("""COMPUTED_VALUE"""),"FXRateoperator")</f>
        <v>FXRateoperator</v>
      </c>
      <c r="Z5" s="28" t="str">
        <f>IFERROR(__xludf.DUMMYFUNCTION("""COMPUTED_VALUE"""),"ID")</f>
        <v>ID</v>
      </c>
      <c r="AA5" s="28" t="str">
        <f>IFERROR(__xludf.DUMMYFUNCTION("""COMPUTED_VALUE"""),"If Pay/Recevie Changes")</f>
        <v>If Pay/Recevie Changes</v>
      </c>
      <c r="AB5" s="28" t="str">
        <f>IFERROR(__xludf.DUMMYFUNCTION("""COMPUTED_VALUE"""),"IntPositionType")</f>
        <v>IntPositionType</v>
      </c>
      <c r="AC5" s="28" t="str">
        <f>IFERROR(__xludf.DUMMYFUNCTION("""COMPUTED_VALUE"""),"LeadCurrencyID")</f>
        <v>LeadCurrencyID</v>
      </c>
      <c r="AD5" s="28" t="str">
        <f>IFERROR(__xludf.DUMMYFUNCTION("""COMPUTED_VALUE"""),"Leveraged Factor")</f>
        <v>Leveraged Factor</v>
      </c>
      <c r="AE5" s="28" t="str">
        <f>IFERROR(__xludf.DUMMYFUNCTION("""COMPUTED_VALUE"""),"MarkPriceForMonth")</f>
        <v>MarkPriceForMonth</v>
      </c>
      <c r="AF5" s="28" t="str">
        <f>IFERROR(__xludf.DUMMYFUNCTION("""COMPUTED_VALUE"""),"MonthToDateRealizedProfit")</f>
        <v>MonthToDateRealizedProfit</v>
      </c>
      <c r="AG5" s="28" t="str">
        <f>IFERROR(__xludf.DUMMYFUNCTION("""COMPUTED_VALUE"""),"Multiplier")</f>
        <v>Multiplier</v>
      </c>
      <c r="AH5" s="28" t="str">
        <f>IFERROR(__xludf.DUMMYFUNCTION("""COMPUTED_VALUE"""),"NotionalValue")</f>
        <v>NotionalValue</v>
      </c>
      <c r="AI5" s="28" t="str">
        <f>IFERROR(__xludf.DUMMYFUNCTION("""COMPUTED_VALUE"""),"OCC Fee")</f>
        <v>OCC Fee</v>
      </c>
      <c r="AJ5" s="28" t="str">
        <f>IFERROR(__xludf.DUMMYFUNCTION("""COMPUTED_VALUE"""),"OpenQty")</f>
        <v>OpenQty</v>
      </c>
      <c r="AK5" s="28" t="str">
        <f>IFERROR(__xludf.DUMMYFUNCTION("""COMPUTED_VALUE"""),"Option Activated")</f>
        <v>Option Activated</v>
      </c>
      <c r="AL5" s="28" t="str">
        <f>IFERROR(__xludf.DUMMYFUNCTION("""COMPUTED_VALUE"""),"Option Type")</f>
        <v>Option Type</v>
      </c>
      <c r="AM5" s="28" t="str">
        <f>IFERROR(__xludf.DUMMYFUNCTION("""COMPUTED_VALUE"""),"OptionPremiumAdjustment")</f>
        <v>OptionPremiumAdjustment</v>
      </c>
      <c r="AN5" s="28" t="str">
        <f>IFERROR(__xludf.DUMMYFUNCTION("""COMPUTED_VALUE"""),"ORF Fee")</f>
        <v>ORF Fee</v>
      </c>
      <c r="AO5" s="28" t="str">
        <f>IFERROR(__xludf.DUMMYFUNCTION("""COMPUTED_VALUE"""),"Original Side")</f>
        <v>Original Side</v>
      </c>
      <c r="AP5" s="28" t="str">
        <f>IFERROR(__xludf.DUMMYFUNCTION("""COMPUTED_VALUE"""),"OriginalPurchaseDate")</f>
        <v>OriginalPurchaseDate</v>
      </c>
      <c r="AQ5" s="28" t="str">
        <f>IFERROR(__xludf.DUMMYFUNCTION("""COMPUTED_VALUE"""),"Other Broker Fees")</f>
        <v>Other Broker Fees</v>
      </c>
      <c r="AR5" s="28" t="str">
        <f>IFERROR(__xludf.DUMMYFUNCTION("""COMPUTED_VALUE"""),"ParentTradeDate")</f>
        <v>ParentTradeDate</v>
      </c>
      <c r="AS5" s="28" t="str">
        <f>IFERROR(__xludf.DUMMYFUNCTION("""COMPUTED_VALUE"""),"Pay/Recive")</f>
        <v>Pay/Recive</v>
      </c>
      <c r="AT5" s="28" t="str">
        <f>IFERROR(__xludf.DUMMYFUNCTION("""COMPUTED_VALUE"""),"PositionType")</f>
        <v>PositionType</v>
      </c>
      <c r="AU5" s="28" t="str">
        <f>IFERROR(__xludf.DUMMYFUNCTION("""COMPUTED_VALUE"""),"ProcessDate")</f>
        <v>ProcessDate</v>
      </c>
      <c r="AV5" s="28" t="str">
        <f>IFERROR(__xludf.DUMMYFUNCTION("""COMPUTED_VALUE"""),"QtyCurrency")</f>
        <v>QtyCurrency</v>
      </c>
      <c r="AW5" s="28" t="str">
        <f>IFERROR(__xludf.DUMMYFUNCTION("""COMPUTED_VALUE"""),"Quantity")</f>
        <v>Quantity</v>
      </c>
      <c r="AX5" s="28" t="str">
        <f>IFERROR(__xludf.DUMMYFUNCTION("""COMPUTED_VALUE"""),"RecordType")</f>
        <v>RecordType</v>
      </c>
      <c r="AY5" s="28" t="str">
        <f>IFERROR(__xludf.DUMMYFUNCTION("""COMPUTED_VALUE"""),"SEC Fee")</f>
        <v>SEC Fee</v>
      </c>
      <c r="AZ5" s="28" t="str">
        <f>IFERROR(__xludf.DUMMYFUNCTION("""COMPUTED_VALUE"""),"Settlement Currency")</f>
        <v>Settlement Currency</v>
      </c>
      <c r="BA5" s="28" t="str">
        <f>IFERROR(__xludf.DUMMYFUNCTION("""COMPUTED_VALUE"""),"Settlement Date")</f>
        <v>Settlement Date</v>
      </c>
      <c r="BB5" s="28" t="str">
        <f>IFERROR(__xludf.DUMMYFUNCTION("""COMPUTED_VALUE"""),"Settlement FxRate")</f>
        <v>Settlement FxRate</v>
      </c>
      <c r="BC5" s="28" t="str">
        <f>IFERROR(__xludf.DUMMYFUNCTION("""COMPUTED_VALUE"""),"Settlement FxRate Operator")</f>
        <v>Settlement FxRate Operator</v>
      </c>
      <c r="BD5" s="28" t="str">
        <f>IFERROR(__xludf.DUMMYFUNCTION("""COMPUTED_VALUE"""),"Settlement Price")</f>
        <v>Settlement Price</v>
      </c>
      <c r="BE5" s="28" t="str">
        <f>IFERROR(__xludf.DUMMYFUNCTION("""COMPUTED_VALUE"""),"Side")</f>
        <v>Side</v>
      </c>
      <c r="BF5" s="28" t="str">
        <f>IFERROR(__xludf.DUMMYFUNCTION("""COMPUTED_VALUE"""),"Soft Commission")</f>
        <v>Soft Commission</v>
      </c>
      <c r="BG5" s="28" t="str">
        <f>IFERROR(__xludf.DUMMYFUNCTION("""COMPUTED_VALUE"""),"Stamp Duty")</f>
        <v>Stamp Duty</v>
      </c>
      <c r="BH5" s="28" t="str">
        <f>IFERROR(__xludf.DUMMYFUNCTION("""COMPUTED_VALUE"""),"StartTaxlotID")</f>
        <v>StartTaxlotID</v>
      </c>
      <c r="BI5" s="28" t="str">
        <f>IFERROR(__xludf.DUMMYFUNCTION("""COMPUTED_VALUE"""),"Status")</f>
        <v>Status</v>
      </c>
      <c r="BJ5" s="28" t="str">
        <f>IFERROR(__xludf.DUMMYFUNCTION("""COMPUTED_VALUE"""),"Strategy")</f>
        <v>Strategy</v>
      </c>
      <c r="BK5" s="28" t="str">
        <f>IFERROR(__xludf.DUMMYFUNCTION("""COMPUTED_VALUE"""),"Strike Price")</f>
        <v>Strike Price</v>
      </c>
      <c r="BL5" s="28" t="str">
        <f>IFERROR(__xludf.DUMMYFUNCTION("""COMPUTED_VALUE"""),"Symbol")</f>
        <v>Symbol</v>
      </c>
      <c r="BM5" s="28" t="str">
        <f>IFERROR(__xludf.DUMMYFUNCTION("""COMPUTED_VALUE"""),"SymbolAveragePrice")</f>
        <v>SymbolAveragePrice</v>
      </c>
      <c r="BN5" s="28" t="str">
        <f>IFERROR(__xludf.DUMMYFUNCTION("""COMPUTED_VALUE"""),"Tax On Commissions")</f>
        <v>Tax On Commissions</v>
      </c>
      <c r="BO5" s="28" t="str">
        <f>IFERROR(__xludf.DUMMYFUNCTION("""COMPUTED_VALUE"""),"TaxLotClosingId")</f>
        <v>TaxLotClosingId</v>
      </c>
      <c r="BP5" s="28" t="str">
        <f>IFERROR(__xludf.DUMMYFUNCTION("""COMPUTED_VALUE"""),"Trade Date")</f>
        <v>Trade Date</v>
      </c>
      <c r="BQ5" s="28" t="str">
        <f>IFERROR(__xludf.DUMMYFUNCTION("""COMPUTED_VALUE"""),"Transaction Levy")</f>
        <v>Transaction Levy</v>
      </c>
      <c r="BR5" s="28" t="str">
        <f>IFERROR(__xludf.DUMMYFUNCTION("""COMPUTED_VALUE"""),"Transaction Type")</f>
        <v>Transaction Type</v>
      </c>
      <c r="BS5" s="28" t="str">
        <f>IFERROR(__xludf.DUMMYFUNCTION("""COMPUTED_VALUE"""),"TransactionSource")</f>
        <v>TransactionSource</v>
      </c>
      <c r="BT5" s="28" t="str">
        <f>IFERROR(__xludf.DUMMYFUNCTION("""COMPUTED_VALUE"""),"Underlying Symbol")</f>
        <v>Underlying Symbol</v>
      </c>
      <c r="BU5" s="28" t="str">
        <f>IFERROR(__xludf.DUMMYFUNCTION("""COMPUTED_VALUE"""),"UnderlyingID")</f>
        <v>UnderlyingID</v>
      </c>
      <c r="BV5" s="28" t="str">
        <f>IFERROR(__xludf.DUMMYFUNCTION("""COMPUTED_VALUE"""),"Venue")</f>
        <v>Venue</v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13" t="s">
        <v>18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21</v>
      </c>
      <c r="D3" s="8" t="s">
        <v>7</v>
      </c>
      <c r="E3" s="21" t="s">
        <v>25</v>
      </c>
      <c r="F3" s="8" t="s">
        <v>14</v>
      </c>
      <c r="G3" s="15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IFERROR(__xludf.DUMMYFUNCTION("""COMPUTED_VALUE"""),"CloseSSw/BuyBTO")</f>
        <v>CloseSSw/BuyBTO</v>
      </c>
      <c r="C5" s="26" t="str">
        <f>IFERROR(__xludf.DUMMYFUNCTION("""COMPUTED_VALUE"""),"AutoCloseStrategy")</f>
        <v>AutoCloseStrategy</v>
      </c>
      <c r="D5" s="26" t="str">
        <f>IFERROR(__xludf.DUMMYFUNCTION("""COMPUTED_VALUE"""),"LongAccount")</f>
        <v>LongAccount</v>
      </c>
      <c r="E5" s="26" t="str">
        <f>IFERROR(__xludf.DUMMYFUNCTION("""COMPUTED_VALUE"""),"LongAsset Class")</f>
        <v>LongAsset Class</v>
      </c>
      <c r="F5" s="27" t="str">
        <f>IFERROR(__xludf.DUMMYFUNCTION("""COMPUTED_VALUE"""),"LongAUECID")</f>
        <v>LongAUECID</v>
      </c>
      <c r="G5" s="26" t="str">
        <f>IFERROR(__xludf.DUMMYFUNCTION("""COMPUTED_VALUE"""),"LongExternalTransId")</f>
        <v>LongExternalTransId</v>
      </c>
      <c r="H5" s="26" t="str">
        <f>IFERROR(__xludf.DUMMYFUNCTION("""COMPUTED_VALUE"""),"LongIsSwapped")</f>
        <v>LongIsSwapped</v>
      </c>
      <c r="I5" s="26" t="str">
        <f>IFERROR(__xludf.DUMMYFUNCTION("""COMPUTED_VALUE"""),"LongLotId")</f>
        <v>LongLotId</v>
      </c>
      <c r="J5" s="26" t="str">
        <f>IFERROR(__xludf.DUMMYFUNCTION("""COMPUTED_VALUE"""),"LongNet Notional")</f>
        <v>LongNet Notional</v>
      </c>
      <c r="K5" s="26" t="str">
        <f>IFERROR(__xludf.DUMMYFUNCTION("""COMPUTED_VALUE"""),"LongOpening Price")</f>
        <v>LongOpening Price</v>
      </c>
      <c r="L5" s="26" t="str">
        <f>IFERROR(__xludf.DUMMYFUNCTION("""COMPUTED_VALUE"""),"LongOriginal Purchase Date")</f>
        <v>LongOriginal Purchase Date</v>
      </c>
      <c r="M5" s="26" t="str">
        <f>IFERROR(__xludf.DUMMYFUNCTION("""COMPUTED_VALUE"""),"LongPositionTag")</f>
        <v>LongPositionTag</v>
      </c>
      <c r="N5" s="26" t="str">
        <f>IFERROR(__xludf.DUMMYFUNCTION("""COMPUTED_VALUE"""),"LongProcess Date")</f>
        <v>LongProcess Date</v>
      </c>
      <c r="O5" s="26" t="str">
        <f>IFERROR(__xludf.DUMMYFUNCTION("""COMPUTED_VALUE"""),"LongQuantity")</f>
        <v>LongQuantity</v>
      </c>
      <c r="P5" s="26" t="str">
        <f>IFERROR(__xludf.DUMMYFUNCTION("""COMPUTED_VALUE"""),"LongSecurity Name")</f>
        <v>LongSecurity Name</v>
      </c>
      <c r="Q5" s="26" t="str">
        <f>IFERROR(__xludf.DUMMYFUNCTION("""COMPUTED_VALUE"""),"LongSettlement Currency")</f>
        <v>LongSettlement Currency</v>
      </c>
      <c r="R5" s="26" t="str">
        <f>IFERROR(__xludf.DUMMYFUNCTION("""COMPUTED_VALUE"""),"LongSettlement FxRate")</f>
        <v>LongSettlement FxRate</v>
      </c>
      <c r="S5" s="26" t="str">
        <f>IFERROR(__xludf.DUMMYFUNCTION("""COMPUTED_VALUE"""),"LongSettlement FxRate Operator")</f>
        <v>LongSettlement FxRate Operator</v>
      </c>
      <c r="T5" s="28" t="str">
        <f>IFERROR(__xludf.DUMMYFUNCTION("""COMPUTED_VALUE"""),"LongSettlement Price")</f>
        <v>LongSettlement Price</v>
      </c>
      <c r="U5" s="28" t="str">
        <f>IFERROR(__xludf.DUMMYFUNCTION("""COMPUTED_VALUE"""),"LongSettlement Unit Cost")</f>
        <v>LongSettlement Unit Cost</v>
      </c>
      <c r="V5" s="28" t="str">
        <f>IFERROR(__xludf.DUMMYFUNCTION("""COMPUTED_VALUE"""),"LongSide")</f>
        <v>LongSide</v>
      </c>
      <c r="W5" s="28" t="str">
        <f>IFERROR(__xludf.DUMMYFUNCTION("""COMPUTED_VALUE"""),"LongStrategy")</f>
        <v>LongStrategy</v>
      </c>
      <c r="X5" s="28" t="str">
        <f>IFERROR(__xludf.DUMMYFUNCTION("""COMPUTED_VALUE"""),"LongSymbol")</f>
        <v>LongSymbol</v>
      </c>
      <c r="Y5" s="28" t="str">
        <f>IFERROR(__xludf.DUMMYFUNCTION("""COMPUTED_VALUE"""),"LongTaxlot Id")</f>
        <v>LongTaxlot Id</v>
      </c>
      <c r="Z5" s="28" t="str">
        <f>IFERROR(__xludf.DUMMYFUNCTION("""COMPUTED_VALUE"""),"LongTotal Fee And Commission")</f>
        <v>LongTotal Fee And Commission</v>
      </c>
      <c r="AA5" s="28" t="str">
        <f>IFERROR(__xludf.DUMMYFUNCTION("""COMPUTED_VALUE"""),"LongTrade Date")</f>
        <v>LongTrade Date</v>
      </c>
      <c r="AB5" s="28" t="str">
        <f>IFERROR(__xludf.DUMMYFUNCTION("""COMPUTED_VALUE"""),"LongTransaction Type")</f>
        <v>LongTransaction Type</v>
      </c>
      <c r="AC5" s="28" t="str">
        <f>IFERROR(__xludf.DUMMYFUNCTION("""COMPUTED_VALUE"""),"LongUnderlyingName")</f>
        <v>LongUnderlyingName</v>
      </c>
      <c r="AD5" s="28" t="str">
        <f>IFERROR(__xludf.DUMMYFUNCTION("""COMPUTED_VALUE"""),"LongUnitCost")</f>
        <v>LongUnitCost</v>
      </c>
      <c r="AE5" s="28" t="str">
        <f>IFERROR(__xludf.DUMMYFUNCTION("""COMPUTED_VALUE"""),"ShortAccount")</f>
        <v>ShortAccount</v>
      </c>
      <c r="AF5" s="28" t="str">
        <f>IFERROR(__xludf.DUMMYFUNCTION("""COMPUTED_VALUE"""),"ShortAsset Class")</f>
        <v>ShortAsset Class</v>
      </c>
      <c r="AG5" s="28" t="str">
        <f>IFERROR(__xludf.DUMMYFUNCTION("""COMPUTED_VALUE"""),"ShortAUECID")</f>
        <v>ShortAUECID</v>
      </c>
      <c r="AH5" s="28" t="str">
        <f>IFERROR(__xludf.DUMMYFUNCTION("""COMPUTED_VALUE"""),"ShortExternalTransId")</f>
        <v>ShortExternalTransId</v>
      </c>
      <c r="AI5" s="28" t="str">
        <f>IFERROR(__xludf.DUMMYFUNCTION("""COMPUTED_VALUE"""),"ShortIsSwapped")</f>
        <v>ShortIsSwapped</v>
      </c>
      <c r="AJ5" s="28" t="str">
        <f>IFERROR(__xludf.DUMMYFUNCTION("""COMPUTED_VALUE"""),"ShortLotId")</f>
        <v>ShortLotId</v>
      </c>
      <c r="AK5" s="28" t="str">
        <f>IFERROR(__xludf.DUMMYFUNCTION("""COMPUTED_VALUE"""),"ShortNet Notional")</f>
        <v>ShortNet Notional</v>
      </c>
      <c r="AL5" s="28" t="str">
        <f>IFERROR(__xludf.DUMMYFUNCTION("""COMPUTED_VALUE"""),"ShortOpening Price")</f>
        <v>ShortOpening Price</v>
      </c>
      <c r="AM5" s="28" t="str">
        <f>IFERROR(__xludf.DUMMYFUNCTION("""COMPUTED_VALUE"""),"ShortOriginal Purchase Date")</f>
        <v>ShortOriginal Purchase Date</v>
      </c>
      <c r="AN5" s="28" t="str">
        <f>IFERROR(__xludf.DUMMYFUNCTION("""COMPUTED_VALUE"""),"ShortPositionTag")</f>
        <v>ShortPositionTag</v>
      </c>
      <c r="AO5" s="28" t="str">
        <f>IFERROR(__xludf.DUMMYFUNCTION("""COMPUTED_VALUE"""),"ShortProcess Date")</f>
        <v>ShortProcess Date</v>
      </c>
      <c r="AP5" s="28" t="str">
        <f>IFERROR(__xludf.DUMMYFUNCTION("""COMPUTED_VALUE"""),"ShortQuantity")</f>
        <v>ShortQuantity</v>
      </c>
      <c r="AQ5" s="28" t="str">
        <f>IFERROR(__xludf.DUMMYFUNCTION("""COMPUTED_VALUE"""),"ShortSecurity Name")</f>
        <v>ShortSecurity Name</v>
      </c>
      <c r="AR5" s="28" t="str">
        <f>IFERROR(__xludf.DUMMYFUNCTION("""COMPUTED_VALUE"""),"ShortSettlement Currency")</f>
        <v>ShortSettlement Currency</v>
      </c>
      <c r="AS5" s="28" t="str">
        <f>IFERROR(__xludf.DUMMYFUNCTION("""COMPUTED_VALUE"""),"ShortSettlement FxRate")</f>
        <v>ShortSettlement FxRate</v>
      </c>
      <c r="AT5" s="28" t="str">
        <f>IFERROR(__xludf.DUMMYFUNCTION("""COMPUTED_VALUE"""),"ShortSettlement FxRate Operator")</f>
        <v>ShortSettlement FxRate Operator</v>
      </c>
      <c r="AU5" s="28" t="str">
        <f>IFERROR(__xludf.DUMMYFUNCTION("""COMPUTED_VALUE"""),"ShortSettlement Price")</f>
        <v>ShortSettlement Price</v>
      </c>
      <c r="AV5" s="28" t="str">
        <f>IFERROR(__xludf.DUMMYFUNCTION("""COMPUTED_VALUE"""),"ShortSettlement Unit Cost")</f>
        <v>ShortSettlement Unit Cost</v>
      </c>
      <c r="AW5" s="28" t="str">
        <f>IFERROR(__xludf.DUMMYFUNCTION("""COMPUTED_VALUE"""),"ShortSide")</f>
        <v>ShortSide</v>
      </c>
      <c r="AX5" s="28" t="str">
        <f>IFERROR(__xludf.DUMMYFUNCTION("""COMPUTED_VALUE"""),"ShortStrategy")</f>
        <v>ShortStrategy</v>
      </c>
      <c r="AY5" s="28" t="str">
        <f>IFERROR(__xludf.DUMMYFUNCTION("""COMPUTED_VALUE"""),"ShortSymbol")</f>
        <v>ShortSymbol</v>
      </c>
      <c r="AZ5" s="28" t="str">
        <f>IFERROR(__xludf.DUMMYFUNCTION("""COMPUTED_VALUE"""),"ShortTaxlot Id")</f>
        <v>ShortTaxlot Id</v>
      </c>
      <c r="BA5" s="28" t="str">
        <f>IFERROR(__xludf.DUMMYFUNCTION("""COMPUTED_VALUE"""),"ShortTotal Fee And Commission")</f>
        <v>ShortTotal Fee And Commission</v>
      </c>
      <c r="BB5" s="28" t="str">
        <f>IFERROR(__xludf.DUMMYFUNCTION("""COMPUTED_VALUE"""),"ShortTrade Date")</f>
        <v>ShortTrade Date</v>
      </c>
      <c r="BC5" s="28" t="str">
        <f>IFERROR(__xludf.DUMMYFUNCTION("""COMPUTED_VALUE"""),"ShortTransaction Type")</f>
        <v>ShortTransaction Type</v>
      </c>
      <c r="BD5" s="28" t="str">
        <f>IFERROR(__xludf.DUMMYFUNCTION("""COMPUTED_VALUE"""),"ShortUnderlyingName")</f>
        <v>ShortUnderlyingName</v>
      </c>
      <c r="BE5" s="28" t="str">
        <f>IFERROR(__xludf.DUMMYFUNCTION("""COMPUTED_VALUE"""),"ShortUnitCost")</f>
        <v>ShortUnitCost</v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31"/>
      <c r="B6" s="32" t="b">
        <v>0</v>
      </c>
      <c r="C6" s="32" t="b">
        <v>1</v>
      </c>
      <c r="D6" s="33" t="s">
        <v>18</v>
      </c>
      <c r="E6" s="33" t="s">
        <v>26</v>
      </c>
      <c r="F6" s="33"/>
      <c r="G6" s="33"/>
      <c r="H6" s="33"/>
      <c r="I6" s="34"/>
      <c r="J6" s="33"/>
      <c r="K6" s="35"/>
      <c r="L6" s="33"/>
      <c r="M6" s="33"/>
      <c r="N6" s="33"/>
      <c r="O6" s="36">
        <v>10000.0</v>
      </c>
      <c r="P6" s="33"/>
      <c r="Q6" s="33"/>
      <c r="R6" s="33"/>
      <c r="S6" s="33"/>
      <c r="T6" s="31"/>
      <c r="U6" s="31"/>
      <c r="V6" s="31" t="s">
        <v>27</v>
      </c>
      <c r="W6" s="31"/>
      <c r="X6" s="37" t="s">
        <v>19</v>
      </c>
      <c r="Y6" s="31"/>
      <c r="Z6" s="31"/>
      <c r="AA6" s="31"/>
      <c r="AB6" s="31"/>
      <c r="AC6" s="31"/>
      <c r="AD6" s="31"/>
      <c r="AE6" s="31" t="s">
        <v>18</v>
      </c>
      <c r="AF6" s="31" t="s">
        <v>26</v>
      </c>
      <c r="AG6" s="31"/>
      <c r="AH6" s="31"/>
      <c r="AI6" s="31"/>
      <c r="AJ6" s="31"/>
      <c r="AK6" s="31"/>
      <c r="AL6" s="38">
        <v>15.0</v>
      </c>
      <c r="AM6" s="31"/>
      <c r="AN6" s="31"/>
      <c r="AO6" s="31"/>
      <c r="AP6" s="38">
        <v>5000.0</v>
      </c>
      <c r="AQ6" s="31"/>
      <c r="AR6" s="31"/>
      <c r="AS6" s="31"/>
      <c r="AT6" s="31"/>
      <c r="AU6" s="31"/>
      <c r="AV6" s="31"/>
      <c r="AW6" s="31" t="s">
        <v>20</v>
      </c>
      <c r="AX6" s="31"/>
      <c r="AY6" s="37" t="s">
        <v>19</v>
      </c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ManualClosing!$4:$4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21</v>
      </c>
      <c r="D3" s="8" t="s">
        <v>7</v>
      </c>
      <c r="E3" s="21" t="s">
        <v>28</v>
      </c>
      <c r="F3" s="8" t="s">
        <v>14</v>
      </c>
      <c r="G3" s="15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IFERROR(__xludf.DUMMYFUNCTION("""COMPUTED_VALUE"""),"Taxlot ID")</f>
        <v>Taxlot ID</v>
      </c>
      <c r="C5" s="26" t="str">
        <f>IFERROR(__xludf.DUMMYFUNCTION("""COMPUTED_VALUE"""),"Closing Date")</f>
        <v>Closing Date</v>
      </c>
      <c r="D5" s="26" t="str">
        <f>IFERROR(__xludf.DUMMYFUNCTION("""COMPUTED_VALUE"""),"Account")</f>
        <v>Account</v>
      </c>
      <c r="E5" s="26" t="str">
        <f>IFERROR(__xludf.DUMMYFUNCTION("""COMPUTED_VALUE"""),"Strategy")</f>
        <v>Strategy</v>
      </c>
      <c r="F5" s="27" t="str">
        <f>IFERROR(__xludf.DUMMYFUNCTION("""COMPUTED_VALUE"""),"Position Type")</f>
        <v>Position Type</v>
      </c>
      <c r="G5" s="26" t="str">
        <f>IFERROR(__xludf.DUMMYFUNCTION("""COMPUTED_VALUE"""),"Asset")</f>
        <v>Asset</v>
      </c>
      <c r="H5" s="26" t="str">
        <f>IFERROR(__xludf.DUMMYFUNCTION("""COMPUTED_VALUE"""),"Symbol")</f>
        <v>Symbol</v>
      </c>
      <c r="I5" s="26" t="str">
        <f>IFERROR(__xludf.DUMMYFUNCTION("""COMPUTED_VALUE"""),"Qty Closed")</f>
        <v>Qty Closed</v>
      </c>
      <c r="J5" s="26" t="str">
        <f>IFERROR(__xludf.DUMMYFUNCTION("""COMPUTED_VALUE"""),"Opening Price")</f>
        <v>Opening Price</v>
      </c>
      <c r="K5" s="26" t="str">
        <f>IFERROR(__xludf.DUMMYFUNCTION("""COMPUTED_VALUE"""),"Closing Price")</f>
        <v>Closing Price</v>
      </c>
      <c r="L5" s="26" t="str">
        <f>IFERROR(__xludf.DUMMYFUNCTION("""COMPUTED_VALUE"""),"ClosingTotalCommissionandFees")</f>
        <v>ClosingTotalCommissionandFees</v>
      </c>
      <c r="M5" s="26" t="str">
        <f>IFERROR(__xludf.DUMMYFUNCTION("""COMPUTED_VALUE"""),"Realized PNL(C.B.)")</f>
        <v>Realized PNL(C.B.)</v>
      </c>
      <c r="N5" s="26" t="str">
        <f>IFERROR(__xludf.DUMMYFUNCTION("""COMPUTED_VALUE"""),"Exchange")</f>
        <v>Exchange</v>
      </c>
      <c r="O5" s="26" t="str">
        <f>IFERROR(__xludf.DUMMYFUNCTION("""COMPUTED_VALUE"""),"Opening Side")</f>
        <v>Opening Side</v>
      </c>
      <c r="P5" s="26" t="str">
        <f>IFERROR(__xludf.DUMMYFUNCTION("""COMPUTED_VALUE"""),"Opening Fees &amp; Commission")</f>
        <v>Opening Fees &amp; Commission</v>
      </c>
      <c r="Q5" s="26" t="str">
        <f>IFERROR(__xludf.DUMMYFUNCTION("""COMPUTED_VALUE"""),"Closing Side")</f>
        <v>Closing Side</v>
      </c>
      <c r="R5" s="26" t="str">
        <f>IFERROR(__xludf.DUMMYFUNCTION("""COMPUTED_VALUE"""),"Closing Method")</f>
        <v>Closing Method</v>
      </c>
      <c r="S5" s="26" t="str">
        <f>IFERROR(__xludf.DUMMYFUNCTION("""COMPUTED_VALUE"""),"ClosingID")</f>
        <v>ClosingID</v>
      </c>
      <c r="T5" s="28" t="str">
        <f>IFERROR(__xludf.DUMMYFUNCTION("""COMPUTED_VALUE"""),"Original Purchase Date")</f>
        <v>Original Purchase Date</v>
      </c>
      <c r="U5" s="28" t="str">
        <f>IFERROR(__xludf.DUMMYFUNCTION("""COMPUTED_VALUE"""),"Description")</f>
        <v>Description</v>
      </c>
      <c r="V5" s="28" t="str">
        <f>IFERROR(__xludf.DUMMYFUNCTION("""COMPUTED_VALUE"""),"AccountID")</f>
        <v>AccountID</v>
      </c>
      <c r="W5" s="28" t="str">
        <f>IFERROR(__xludf.DUMMYFUNCTION("""COMPUTED_VALUE"""),"IsExpired_Settled")</f>
        <v>IsExpired_Settled</v>
      </c>
      <c r="X5" s="28" t="str">
        <f>IFERROR(__xludf.DUMMYFUNCTION("""COMPUTED_VALUE"""),"Underlying")</f>
        <v>Underlying</v>
      </c>
      <c r="Y5" s="28" t="str">
        <f>IFERROR(__xludf.DUMMYFUNCTION("""COMPUTED_VALUE"""),"CurrencyID")</f>
        <v>CurrencyID</v>
      </c>
      <c r="Z5" s="28" t="str">
        <f>IFERROR(__xludf.DUMMYFUNCTION("""COMPUTED_VALUE"""),"Currency")</f>
        <v>Currency</v>
      </c>
      <c r="AA5" s="28" t="str">
        <f>IFERROR(__xludf.DUMMYFUNCTION("""COMPUTED_VALUE"""),"AUECID")</f>
        <v>AUECID</v>
      </c>
      <c r="AB5" s="28" t="str">
        <f>IFERROR(__xludf.DUMMYFUNCTION("""COMPUTED_VALUE"""),"NotionalValue")</f>
        <v>NotionalValue</v>
      </c>
      <c r="AC5" s="28" t="str">
        <f>IFERROR(__xludf.DUMMYFUNCTION("""COMPUTED_VALUE"""),"Multiplier")</f>
        <v>Multiplier</v>
      </c>
      <c r="AD5" s="28" t="str">
        <f>IFERROR(__xludf.DUMMYFUNCTION("""COMPUTED_VALUE"""),"TimeOfSaveUTC")</f>
        <v>TimeOfSaveUTC</v>
      </c>
      <c r="AE5" s="28" t="str">
        <f>IFERROR(__xludf.DUMMYFUNCTION("""COMPUTED_VALUE"""),"Closing Position Type")</f>
        <v>Closing Position Type</v>
      </c>
      <c r="AF5" s="28" t="str">
        <f>IFERROR(__xludf.DUMMYFUNCTION("""COMPUTED_VALUE"""),"Closing Mode")</f>
        <v>Closing Mode</v>
      </c>
      <c r="AG5" s="28" t="str">
        <f>IFERROR(__xludf.DUMMYFUNCTION("""COMPUTED_VALUE"""),"StrategyID")</f>
        <v>StrategyID</v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7"/>
      <c r="C6" s="7"/>
      <c r="D6" s="13" t="s">
        <v>18</v>
      </c>
      <c r="E6" s="7"/>
      <c r="F6" s="7"/>
      <c r="G6" s="13"/>
      <c r="H6" s="13" t="s">
        <v>19</v>
      </c>
      <c r="I6" s="13">
        <v>5000.0</v>
      </c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UnwindClosing!$4:$4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26" width="14.43"/>
    <col customWidth="1" min="27" max="27" width="16.71"/>
    <col customWidth="1" min="28" max="154" width="14.43"/>
  </cols>
  <sheetData>
    <row r="1" ht="15.75" customHeight="1">
      <c r="A1" s="17"/>
      <c r="B1" s="3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21</v>
      </c>
      <c r="D3" s="8" t="s">
        <v>7</v>
      </c>
      <c r="E3" s="21" t="s">
        <v>29</v>
      </c>
      <c r="F3" s="8" t="s">
        <v>14</v>
      </c>
      <c r="G3" s="15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IFERROR(__xludf.DUMMYFUNCTION("""COMPUTED_VALUE"""),"Account")</f>
        <v>Account</v>
      </c>
      <c r="C5" s="26" t="str">
        <f>IFERROR(__xludf.DUMMYFUNCTION("""COMPUTED_VALUE"""),"Asset Class")</f>
        <v>Asset Class</v>
      </c>
      <c r="D5" s="26" t="str">
        <f>IFERROR(__xludf.DUMMYFUNCTION("""COMPUTED_VALUE"""),"checkBox")</f>
        <v>checkBox</v>
      </c>
      <c r="E5" s="26" t="str">
        <f>IFERROR(__xludf.DUMMYFUNCTION("""COMPUTED_VALUE"""),"Close Date")</f>
        <v>Close Date</v>
      </c>
      <c r="F5" s="27" t="str">
        <f>IFERROR(__xludf.DUMMYFUNCTION("""COMPUTED_VALUE"""),"ClosedAveragePrice")</f>
        <v>ClosedAveragePrice</v>
      </c>
      <c r="G5" s="26" t="str">
        <f>IFERROR(__xludf.DUMMYFUNCTION("""COMPUTED_VALUE"""),"ClosedQty")</f>
        <v>ClosedQty</v>
      </c>
      <c r="H5" s="26" t="str">
        <f>IFERROR(__xludf.DUMMYFUNCTION("""COMPUTED_VALUE"""),"Closing Method")</f>
        <v>Closing Method</v>
      </c>
      <c r="I5" s="26" t="str">
        <f>IFERROR(__xludf.DUMMYFUNCTION("""COMPUTED_VALUE"""),"ClosingID")</f>
        <v>ClosingID</v>
      </c>
      <c r="J5" s="26" t="str">
        <f>IFERROR(__xludf.DUMMYFUNCTION("""COMPUTED_VALUE"""),"ClosingMode")</f>
        <v>ClosingMode</v>
      </c>
      <c r="K5" s="26" t="str">
        <f>IFERROR(__xludf.DUMMYFUNCTION("""COMPUTED_VALUE"""),"ClosingPositionTag")</f>
        <v>ClosingPositionTag</v>
      </c>
      <c r="L5" s="26" t="str">
        <f>IFERROR(__xludf.DUMMYFUNCTION("""COMPUTED_VALUE"""),"ClosingSide")</f>
        <v>ClosingSide</v>
      </c>
      <c r="M5" s="26" t="str">
        <f>IFERROR(__xludf.DUMMYFUNCTION("""COMPUTED_VALUE"""),"ClosingTotalCommissionandFees")</f>
        <v>ClosingTotalCommissionandFees</v>
      </c>
      <c r="N5" s="26" t="str">
        <f>IFERROR(__xludf.DUMMYFUNCTION("""COMPUTED_VALUE"""),"CostBasisGrossPNL")</f>
        <v>CostBasisGrossPNL</v>
      </c>
      <c r="O5" s="26" t="str">
        <f>IFERROR(__xludf.DUMMYFUNCTION("""COMPUTED_VALUE"""),"Currency")</f>
        <v>Currency</v>
      </c>
      <c r="P5" s="26" t="str">
        <f>IFERROR(__xludf.DUMMYFUNCTION("""COMPUTED_VALUE"""),"CurrencyID")</f>
        <v>CurrencyID</v>
      </c>
      <c r="Q5" s="26" t="str">
        <f>IFERROR(__xludf.DUMMYFUNCTION("""COMPUTED_VALUE"""),"Exchange")</f>
        <v>Exchange</v>
      </c>
      <c r="R5" s="26" t="str">
        <f>IFERROR(__xludf.DUMMYFUNCTION("""COMPUTED_VALUE"""),"NotionalChange")</f>
        <v>NotionalChange</v>
      </c>
      <c r="S5" s="26" t="str">
        <f>IFERROR(__xludf.DUMMYFUNCTION("""COMPUTED_VALUE"""),"OpenAveragePrice")</f>
        <v>OpenAveragePrice</v>
      </c>
      <c r="T5" s="28" t="str">
        <f>IFERROR(__xludf.DUMMYFUNCTION("""COMPUTED_VALUE"""),"Original Purchase Date")</f>
        <v>Original Purchase Date</v>
      </c>
      <c r="U5" s="28" t="str">
        <f>IFERROR(__xludf.DUMMYFUNCTION("""COMPUTED_VALUE"""),"Position Type")</f>
        <v>Position Type</v>
      </c>
      <c r="V5" s="28" t="str">
        <f>IFERROR(__xludf.DUMMYFUNCTION("""COMPUTED_VALUE"""),"PositionSide")</f>
        <v>PositionSide</v>
      </c>
      <c r="W5" s="28" t="str">
        <f>IFERROR(__xludf.DUMMYFUNCTION("""COMPUTED_VALUE"""),"PositionTotalCommissionandFees")</f>
        <v>PositionTotalCommissionandFees</v>
      </c>
      <c r="X5" s="28" t="str">
        <f>IFERROR(__xludf.DUMMYFUNCTION("""COMPUTED_VALUE"""),"Realized PNL(C.B.)")</f>
        <v>Realized PNL(C.B.)</v>
      </c>
      <c r="Y5" s="28" t="str">
        <f>IFERROR(__xludf.DUMMYFUNCTION("""COMPUTED_VALUE"""),"Side")</f>
        <v>Side</v>
      </c>
      <c r="Z5" s="28" t="str">
        <f>IFERROR(__xludf.DUMMYFUNCTION("""COMPUTED_VALUE"""),"Strategy")</f>
        <v>Strategy</v>
      </c>
      <c r="AA5" s="28" t="str">
        <f>IFERROR(__xludf.DUMMYFUNCTION("""COMPUTED_VALUE"""),"Symbol")</f>
        <v>Symbol</v>
      </c>
      <c r="AB5" s="28" t="str">
        <f>IFERROR(__xludf.DUMMYFUNCTION("""COMPUTED_VALUE"""),"Taxlot ID")</f>
        <v>Taxlot ID</v>
      </c>
      <c r="AC5" s="28" t="str">
        <f>IFERROR(__xludf.DUMMYFUNCTION("""COMPUTED_VALUE"""),"UnderlyingName")</f>
        <v>UnderlyingName</v>
      </c>
      <c r="AD5" s="28" t="str">
        <f>IFERROR(__xludf.DUMMYFUNCTION("""COMPUTED_VALUE"""),"")</f>
        <v/>
      </c>
      <c r="AE5" s="28" t="str">
        <f>IFERROR(__xludf.DUMMYFUNCTION("""COMPUTED_VALUE"""),"")</f>
        <v/>
      </c>
      <c r="AF5" s="28" t="str">
        <f>IFERROR(__xludf.DUMMYFUNCTION("""COMPUTED_VALUE"""),"")</f>
        <v/>
      </c>
      <c r="AG5" s="28" t="str">
        <f>IFERROR(__xludf.DUMMYFUNCTION("""COMPUTED_VALUE"""),"")</f>
        <v/>
      </c>
      <c r="AH5" s="28" t="str">
        <f>IFERROR(__xludf.DUMMYFUNCTION("""COMPUTED_VALUE"""),"")</f>
        <v/>
      </c>
      <c r="AI5" s="28" t="str">
        <f>IFERROR(__xludf.DUMMYFUNCTION("""COMPUTED_VALUE"""),"")</f>
        <v/>
      </c>
      <c r="AJ5" s="28" t="str">
        <f>IFERROR(__xludf.DUMMYFUNCTION("""COMPUTED_VALUE"""),"")</f>
        <v/>
      </c>
      <c r="AK5" s="28" t="str">
        <f>IFERROR(__xludf.DUMMYFUNCTION("""COMPUTED_VALUE"""),"")</f>
        <v/>
      </c>
      <c r="AL5" s="28" t="str">
        <f>IFERROR(__xludf.DUMMYFUNCTION("""COMPUTED_VALUE"""),"")</f>
        <v/>
      </c>
      <c r="AM5" s="28" t="str">
        <f>IFERROR(__xludf.DUMMYFUNCTION("""COMPUTED_VALUE"""),"")</f>
        <v/>
      </c>
      <c r="AN5" s="28" t="str">
        <f>IFERROR(__xludf.DUMMYFUNCTION("""COMPUTED_VALUE"""),"")</f>
        <v/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7"/>
      <c r="B6" s="13" t="s">
        <v>18</v>
      </c>
      <c r="C6" s="13" t="s">
        <v>23</v>
      </c>
      <c r="D6" s="7"/>
      <c r="E6" s="7"/>
      <c r="F6" s="7"/>
      <c r="G6" s="13">
        <v>100.0</v>
      </c>
      <c r="H6" s="7"/>
      <c r="I6" s="7"/>
      <c r="J6" s="7"/>
      <c r="K6" s="7"/>
      <c r="L6" s="7"/>
      <c r="M6" s="7"/>
      <c r="N6" s="7"/>
      <c r="O6" s="7"/>
      <c r="AA6" s="39" t="s">
        <v>16</v>
      </c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UnWindTradeSettlement!$4:$4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3" t="s">
        <v>11</v>
      </c>
      <c r="C1" s="2"/>
      <c r="D1" s="2"/>
      <c r="E1" s="2"/>
      <c r="F1" s="2"/>
      <c r="G1" s="2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1b5S4Xpp4fgZ1ez6cK92QFnVBylqz8jhwxdAyEvwDqUI</v>
      </c>
      <c r="K2" s="19"/>
      <c r="L2" s="7"/>
      <c r="M2" s="7"/>
      <c r="N2" s="7"/>
      <c r="O2" s="7"/>
    </row>
    <row r="3" ht="15.75" customHeight="1">
      <c r="A3" s="20"/>
      <c r="B3" s="8" t="s">
        <v>4</v>
      </c>
      <c r="C3" s="21" t="s">
        <v>12</v>
      </c>
      <c r="D3" s="8" t="s">
        <v>7</v>
      </c>
      <c r="E3" s="21" t="s">
        <v>13</v>
      </c>
      <c r="F3" s="8" t="s">
        <v>14</v>
      </c>
      <c r="G3" s="15" t="s">
        <v>15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IFERROR(__xludf.DUMMYFUNCTION("""COMPUTED_VALUE"""),"")</f>
        <v/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5" t="str">
        <f>IFERROR(__xludf.DUMMYFUNCTION("TRANSPOSE(IMPORTRANGE(VLOOKUP($E$3,IMPORTRANGE('_Settings'!$B$3,$C$3&amp;""!A4:B1000""),2,FALSE),$G$3&amp;""!A4:A1000""))"),"")</f>
        <v/>
      </c>
      <c r="B5" s="26" t="str">
        <f>IFERROR(__xludf.DUMMYFUNCTION("""COMPUTED_VALUE"""),"Symbol")</f>
        <v>Symbol</v>
      </c>
      <c r="C5" s="26" t="str">
        <f>IFERROR(__xludf.DUMMYFUNCTION("""COMPUTED_VALUE"""),"Order Side")</f>
        <v>Order Side</v>
      </c>
      <c r="D5" s="26" t="str">
        <f>IFERROR(__xludf.DUMMYFUNCTION("""COMPUTED_VALUE"""),"Quantity")</f>
        <v>Quantity</v>
      </c>
      <c r="E5" s="26" t="str">
        <f>IFERROR(__xludf.DUMMYFUNCTION("""COMPUTED_VALUE"""),"TargetQuantityIn")</f>
        <v>TargetQuantityIn</v>
      </c>
      <c r="F5" s="27" t="str">
        <f>IFERROR(__xludf.DUMMYFUNCTION("""COMPUTED_VALUE"""),"AllocationMethod")</f>
        <v>AllocationMethod</v>
      </c>
      <c r="G5" s="26" t="str">
        <f>IFERROR(__xludf.DUMMYFUNCTION("""COMPUTED_VALUE"""),"Broker")</f>
        <v>Broker</v>
      </c>
      <c r="H5" s="26" t="str">
        <f>IFERROR(__xludf.DUMMYFUNCTION("""COMPUTED_VALUE"""),"TIF")</f>
        <v>TIF</v>
      </c>
      <c r="I5" s="26" t="str">
        <f>IFERROR(__xludf.DUMMYFUNCTION("""COMPUTED_VALUE"""),"Order Type")</f>
        <v>Order Type</v>
      </c>
      <c r="J5" s="26" t="str">
        <f>IFERROR(__xludf.DUMMYFUNCTION("""COMPUTED_VALUE"""),"Price")</f>
        <v>Price</v>
      </c>
      <c r="K5" s="26" t="str">
        <f>IFERROR(__xludf.DUMMYFUNCTION("""COMPUTED_VALUE"""),"Stop")</f>
        <v>Stop</v>
      </c>
      <c r="L5" s="26" t="str">
        <f>IFERROR(__xludf.DUMMYFUNCTION("""COMPUTED_VALUE"""),"Limit")</f>
        <v>Limit</v>
      </c>
      <c r="M5" s="26" t="str">
        <f>IFERROR(__xludf.DUMMYFUNCTION("""COMPUTED_VALUE"""),"Strategy")</f>
        <v>Strategy</v>
      </c>
      <c r="N5" s="26" t="str">
        <f>IFERROR(__xludf.DUMMYFUNCTION("""COMPUTED_VALUE"""),"Trade Date")</f>
        <v>Trade Date</v>
      </c>
      <c r="O5" s="26" t="str">
        <f>IFERROR(__xludf.DUMMYFUNCTION("""COMPUTED_VALUE"""),"FxRate")</f>
        <v>FxRate</v>
      </c>
      <c r="P5" s="26" t="str">
        <f>IFERROR(__xludf.DUMMYFUNCTION("""COMPUTED_VALUE"""),"Notes")</f>
        <v>Notes</v>
      </c>
      <c r="Q5" s="26" t="str">
        <f>IFERROR(__xludf.DUMMYFUNCTION("""COMPUTED_VALUE"""),"Broker Notes")</f>
        <v>Broker Notes</v>
      </c>
      <c r="R5" s="26" t="str">
        <f>IFERROR(__xludf.DUMMYFUNCTION("""COMPUTED_VALUE"""),"CommissionBasis")</f>
        <v>CommissionBasis</v>
      </c>
      <c r="S5" s="26" t="str">
        <f>IFERROR(__xludf.DUMMYFUNCTION("""COMPUTED_VALUE"""),"CommissionRate")</f>
        <v>CommissionRate</v>
      </c>
      <c r="T5" s="28" t="str">
        <f>IFERROR(__xludf.DUMMYFUNCTION("""COMPUTED_VALUE"""),"SoftBasis")</f>
        <v>SoftBasis</v>
      </c>
      <c r="U5" s="28" t="str">
        <f>IFERROR(__xludf.DUMMYFUNCTION("""COMPUTED_VALUE"""),"SoftRate")</f>
        <v>SoftRate</v>
      </c>
      <c r="V5" s="28" t="str">
        <f>IFERROR(__xludf.DUMMYFUNCTION("""COMPUTED_VALUE"""),"TradeAttribute1")</f>
        <v>TradeAttribute1</v>
      </c>
      <c r="W5" s="28" t="str">
        <f>IFERROR(__xludf.DUMMYFUNCTION("""COMPUTED_VALUE"""),"TradeAttribute2")</f>
        <v>TradeAttribute2</v>
      </c>
      <c r="X5" s="28" t="str">
        <f>IFERROR(__xludf.DUMMYFUNCTION("""COMPUTED_VALUE"""),"TradeAttribute3")</f>
        <v>TradeAttribute3</v>
      </c>
      <c r="Y5" s="28" t="str">
        <f>IFERROR(__xludf.DUMMYFUNCTION("""COMPUTED_VALUE"""),"TradeAttribute4")</f>
        <v>TradeAttribute4</v>
      </c>
      <c r="Z5" s="28" t="str">
        <f>IFERROR(__xludf.DUMMYFUNCTION("""COMPUTED_VALUE"""),"TradeAttribute5")</f>
        <v>TradeAttribute5</v>
      </c>
      <c r="AA5" s="28" t="str">
        <f>IFERROR(__xludf.DUMMYFUNCTION("""COMPUTED_VALUE"""),"TradeAttribute6")</f>
        <v>TradeAttribute6</v>
      </c>
      <c r="AB5" s="28" t="str">
        <f>IFERROR(__xludf.DUMMYFUNCTION("""COMPUTED_VALUE"""),"Venue")</f>
        <v>Venue</v>
      </c>
      <c r="AC5" s="28" t="str">
        <f>IFERROR(__xludf.DUMMYFUNCTION("""COMPUTED_VALUE"""),"ExecutionInstructions")</f>
        <v>ExecutionInstructions</v>
      </c>
      <c r="AD5" s="28" t="str">
        <f>IFERROR(__xludf.DUMMYFUNCTION("""COMPUTED_VALUE"""),"HandlingInstructions")</f>
        <v>HandlingInstructions</v>
      </c>
      <c r="AE5" s="28" t="str">
        <f>IFERROR(__xludf.DUMMYFUNCTION("""COMPUTED_VALUE"""),"Trader")</f>
        <v>Trader</v>
      </c>
      <c r="AF5" s="28" t="str">
        <f>IFERROR(__xludf.DUMMYFUNCTION("""COMPUTED_VALUE"""),"SettlementCurrency")</f>
        <v>SettlementCurrency</v>
      </c>
      <c r="AG5" s="28" t="str">
        <f>IFERROR(__xludf.DUMMYFUNCTION("""COMPUTED_VALUE"""),"SettlementFXRate")</f>
        <v>SettlementFXRate</v>
      </c>
      <c r="AH5" s="28" t="str">
        <f>IFERROR(__xludf.DUMMYFUNCTION("""COMPUTED_VALUE"""),"SettlementAmount")</f>
        <v>SettlementAmount</v>
      </c>
      <c r="AI5" s="28" t="str">
        <f>IFERROR(__xludf.DUMMYFUNCTION("""COMPUTED_VALUE"""),"SettlementFXOperator")</f>
        <v>SettlementFXOperator</v>
      </c>
      <c r="AJ5" s="28" t="str">
        <f>IFERROR(__xludf.DUMMYFUNCTION("""COMPUTED_VALUE"""),"SettleByBroker")</f>
        <v>SettleByBroker</v>
      </c>
      <c r="AK5" s="28" t="str">
        <f>IFERROR(__xludf.DUMMYFUNCTION("""COMPUTED_VALUE"""),"Account")</f>
        <v>Account</v>
      </c>
      <c r="AL5" s="28" t="str">
        <f>IFERROR(__xludf.DUMMYFUNCTION("""COMPUTED_VALUE"""),"Account %")</f>
        <v>Account %</v>
      </c>
      <c r="AM5" s="28" t="str">
        <f>IFERROR(__xludf.DUMMYFUNCTION("""COMPUTED_VALUE"""),"Deal In")</f>
        <v>Deal In</v>
      </c>
      <c r="AN5" s="28" t="str">
        <f>IFERROR(__xludf.DUMMYFUNCTION("""COMPUTED_VALUE"""),"ChkBoxBookAsSwap")</f>
        <v>ChkBoxBookAsSwap</v>
      </c>
      <c r="AO5" s="28" t="str">
        <f>IFERROR(__xludf.DUMMYFUNCTION("""COMPUTED_VALUE"""),"")</f>
        <v/>
      </c>
      <c r="AP5" s="28" t="str">
        <f>IFERROR(__xludf.DUMMYFUNCTION("""COMPUTED_VALUE"""),"")</f>
        <v/>
      </c>
      <c r="AQ5" s="28" t="str">
        <f>IFERROR(__xludf.DUMMYFUNCTION("""COMPUTED_VALUE"""),"")</f>
        <v/>
      </c>
      <c r="AR5" s="28" t="str">
        <f>IFERROR(__xludf.DUMMYFUNCTION("""COMPUTED_VALUE"""),"")</f>
        <v/>
      </c>
      <c r="AS5" s="28" t="str">
        <f>IFERROR(__xludf.DUMMYFUNCTION("""COMPUTED_VALUE"""),"")</f>
        <v/>
      </c>
      <c r="AT5" s="28" t="str">
        <f>IFERROR(__xludf.DUMMYFUNCTION("""COMPUTED_VALUE"""),"")</f>
        <v/>
      </c>
      <c r="AU5" s="28" t="str">
        <f>IFERROR(__xludf.DUMMYFUNCTION("""COMPUTED_VALUE"""),"")</f>
        <v/>
      </c>
      <c r="AV5" s="28" t="str">
        <f>IFERROR(__xludf.DUMMYFUNCTION("""COMPUTED_VALUE"""),"")</f>
        <v/>
      </c>
      <c r="AW5" s="28" t="str">
        <f>IFERROR(__xludf.DUMMYFUNCTION("""COMPUTED_VALUE"""),"")</f>
        <v/>
      </c>
      <c r="AX5" s="28" t="str">
        <f>IFERROR(__xludf.DUMMYFUNCTION("""COMPUTED_VALUE"""),"")</f>
        <v/>
      </c>
      <c r="AY5" s="28" t="str">
        <f>IFERROR(__xludf.DUMMYFUNCTION("""COMPUTED_VALUE"""),"")</f>
        <v/>
      </c>
      <c r="AZ5" s="28" t="str">
        <f>IFERROR(__xludf.DUMMYFUNCTION("""COMPUTED_VALUE"""),"")</f>
        <v/>
      </c>
      <c r="BA5" s="28" t="str">
        <f>IFERROR(__xludf.DUMMYFUNCTION("""COMPUTED_VALUE"""),"")</f>
        <v/>
      </c>
      <c r="BB5" s="28" t="str">
        <f>IFERROR(__xludf.DUMMYFUNCTION("""COMPUTED_VALUE"""),"")</f>
        <v/>
      </c>
      <c r="BC5" s="28" t="str">
        <f>IFERROR(__xludf.DUMMYFUNCTION("""COMPUTED_VALUE"""),"")</f>
        <v/>
      </c>
      <c r="BD5" s="28" t="str">
        <f>IFERROR(__xludf.DUMMYFUNCTION("""COMPUTED_VALUE"""),"")</f>
        <v/>
      </c>
      <c r="BE5" s="28" t="str">
        <f>IFERROR(__xludf.DUMMYFUNCTION("""COMPUTED_VALUE"""),"")</f>
        <v/>
      </c>
      <c r="BF5" s="28" t="str">
        <f>IFERROR(__xludf.DUMMYFUNCTION("""COMPUTED_VALUE"""),"")</f>
        <v/>
      </c>
      <c r="BG5" s="28" t="str">
        <f>IFERROR(__xludf.DUMMYFUNCTION("""COMPUTED_VALUE"""),"")</f>
        <v/>
      </c>
      <c r="BH5" s="28" t="str">
        <f>IFERROR(__xludf.DUMMYFUNCTION("""COMPUTED_VALUE"""),"")</f>
        <v/>
      </c>
      <c r="BI5" s="28" t="str">
        <f>IFERROR(__xludf.DUMMYFUNCTION("""COMPUTED_VALUE"""),"")</f>
        <v/>
      </c>
      <c r="BJ5" s="28" t="str">
        <f>IFERROR(__xludf.DUMMYFUNCTION("""COMPUTED_VALUE"""),"")</f>
        <v/>
      </c>
      <c r="BK5" s="28" t="str">
        <f>IFERROR(__xludf.DUMMYFUNCTION("""COMPUTED_VALUE"""),"")</f>
        <v/>
      </c>
      <c r="BL5" s="28" t="str">
        <f>IFERROR(__xludf.DUMMYFUNCTION("""COMPUTED_VALUE"""),"")</f>
        <v/>
      </c>
      <c r="BM5" s="28" t="str">
        <f>IFERROR(__xludf.DUMMYFUNCTION("""COMPUTED_VALUE"""),"")</f>
        <v/>
      </c>
      <c r="BN5" s="28" t="str">
        <f>IFERROR(__xludf.DUMMYFUNCTION("""COMPUTED_VALUE"""),"")</f>
        <v/>
      </c>
      <c r="BO5" s="28" t="str">
        <f>IFERROR(__xludf.DUMMYFUNCTION("""COMPUTED_VALUE"""),"")</f>
        <v/>
      </c>
      <c r="BP5" s="28" t="str">
        <f>IFERROR(__xludf.DUMMYFUNCTION("""COMPUTED_VALUE"""),"")</f>
        <v/>
      </c>
      <c r="BQ5" s="28" t="str">
        <f>IFERROR(__xludf.DUMMYFUNCTION("""COMPUTED_VALUE"""),"")</f>
        <v/>
      </c>
      <c r="BR5" s="28" t="str">
        <f>IFERROR(__xludf.DUMMYFUNCTION("""COMPUTED_VALUE"""),"")</f>
        <v/>
      </c>
      <c r="BS5" s="28" t="str">
        <f>IFERROR(__xludf.DUMMYFUNCTION("""COMPUTED_VALUE"""),"")</f>
        <v/>
      </c>
      <c r="BT5" s="28" t="str">
        <f>IFERROR(__xludf.DUMMYFUNCTION("""COMPUTED_VALUE"""),"")</f>
        <v/>
      </c>
      <c r="BU5" s="28" t="str">
        <f>IFERROR(__xludf.DUMMYFUNCTION("""COMPUTED_VALUE"""),"")</f>
        <v/>
      </c>
      <c r="BV5" s="28" t="str">
        <f>IFERROR(__xludf.DUMMYFUNCTION("""COMPUTED_VALUE"""),"")</f>
        <v/>
      </c>
      <c r="BW5" s="28" t="str">
        <f>IFERROR(__xludf.DUMMYFUNCTION("""COMPUTED_VALUE"""),"")</f>
        <v/>
      </c>
      <c r="BX5" s="28" t="str">
        <f>IFERROR(__xludf.DUMMYFUNCTION("""COMPUTED_VALUE"""),"")</f>
        <v/>
      </c>
      <c r="BY5" s="28" t="str">
        <f>IFERROR(__xludf.DUMMYFUNCTION("""COMPUTED_VALUE"""),"")</f>
        <v/>
      </c>
      <c r="BZ5" s="28" t="str">
        <f>IFERROR(__xludf.DUMMYFUNCTION("""COMPUTED_VALUE"""),"")</f>
        <v/>
      </c>
      <c r="CA5" s="28" t="str">
        <f>IFERROR(__xludf.DUMMYFUNCTION("""COMPUTED_VALUE"""),"")</f>
        <v/>
      </c>
      <c r="CB5" s="28" t="str">
        <f>IFERROR(__xludf.DUMMYFUNCTION("""COMPUTED_VALUE"""),"")</f>
        <v/>
      </c>
      <c r="CC5" s="28" t="str">
        <f>IFERROR(__xludf.DUMMYFUNCTION("""COMPUTED_VALUE"""),"")</f>
        <v/>
      </c>
      <c r="CD5" s="28" t="str">
        <f>IFERROR(__xludf.DUMMYFUNCTION("""COMPUTED_VALUE"""),"")</f>
        <v/>
      </c>
      <c r="CE5" s="28" t="str">
        <f>IFERROR(__xludf.DUMMYFUNCTION("""COMPUTED_VALUE"""),"")</f>
        <v/>
      </c>
      <c r="CF5" s="28" t="str">
        <f>IFERROR(__xludf.DUMMYFUNCTION("""COMPUTED_VALUE"""),"")</f>
        <v/>
      </c>
      <c r="CG5" s="28" t="str">
        <f>IFERROR(__xludf.DUMMYFUNCTION("""COMPUTED_VALUE"""),"")</f>
        <v/>
      </c>
      <c r="CH5" s="28" t="str">
        <f>IFERROR(__xludf.DUMMYFUNCTION("""COMPUTED_VALUE"""),"")</f>
        <v/>
      </c>
      <c r="CI5" s="28" t="str">
        <f>IFERROR(__xludf.DUMMYFUNCTION("""COMPUTED_VALUE"""),"")</f>
        <v/>
      </c>
      <c r="CJ5" s="28" t="str">
        <f>IFERROR(__xludf.DUMMYFUNCTION("""COMPUTED_VALUE"""),"")</f>
        <v/>
      </c>
      <c r="CK5" s="28" t="str">
        <f>IFERROR(__xludf.DUMMYFUNCTION("""COMPUTED_VALUE"""),"")</f>
        <v/>
      </c>
      <c r="CL5" s="28" t="str">
        <f>IFERROR(__xludf.DUMMYFUNCTION("""COMPUTED_VALUE"""),"")</f>
        <v/>
      </c>
      <c r="CM5" s="28" t="str">
        <f>IFERROR(__xludf.DUMMYFUNCTION("""COMPUTED_VALUE"""),"")</f>
        <v/>
      </c>
      <c r="CN5" s="28" t="str">
        <f>IFERROR(__xludf.DUMMYFUNCTION("""COMPUTED_VALUE"""),"")</f>
        <v/>
      </c>
      <c r="CO5" s="28" t="str">
        <f>IFERROR(__xludf.DUMMYFUNCTION("""COMPUTED_VALUE"""),"")</f>
        <v/>
      </c>
      <c r="CP5" s="28" t="str">
        <f>IFERROR(__xludf.DUMMYFUNCTION("""COMPUTED_VALUE"""),"")</f>
        <v/>
      </c>
      <c r="CQ5" s="28" t="str">
        <f>IFERROR(__xludf.DUMMYFUNCTION("""COMPUTED_VALUE"""),"")</f>
        <v/>
      </c>
      <c r="CR5" s="28" t="str">
        <f>IFERROR(__xludf.DUMMYFUNCTION("""COMPUTED_VALUE"""),"")</f>
        <v/>
      </c>
      <c r="CS5" s="28" t="str">
        <f>IFERROR(__xludf.DUMMYFUNCTION("""COMPUTED_VALUE"""),"")</f>
        <v/>
      </c>
      <c r="CT5" s="28" t="str">
        <f>IFERROR(__xludf.DUMMYFUNCTION("""COMPUTED_VALUE"""),"")</f>
        <v/>
      </c>
      <c r="CU5" s="28" t="str">
        <f>IFERROR(__xludf.DUMMYFUNCTION("""COMPUTED_VALUE"""),"")</f>
        <v/>
      </c>
      <c r="CV5" s="28" t="str">
        <f>IFERROR(__xludf.DUMMYFUNCTION("""COMPUTED_VALUE"""),"")</f>
        <v/>
      </c>
      <c r="CW5" s="28" t="str">
        <f>IFERROR(__xludf.DUMMYFUNCTION("""COMPUTED_VALUE"""),"")</f>
        <v/>
      </c>
      <c r="CX5" s="28" t="str">
        <f>IFERROR(__xludf.DUMMYFUNCTION("""COMPUTED_VALUE"""),"")</f>
        <v/>
      </c>
      <c r="CY5" s="28" t="str">
        <f>IFERROR(__xludf.DUMMYFUNCTION("""COMPUTED_VALUE"""),"")</f>
        <v/>
      </c>
      <c r="CZ5" s="28" t="str">
        <f>IFERROR(__xludf.DUMMYFUNCTION("""COMPUTED_VALUE"""),"")</f>
        <v/>
      </c>
      <c r="DA5" s="28" t="str">
        <f>IFERROR(__xludf.DUMMYFUNCTION("""COMPUTED_VALUE"""),"")</f>
        <v/>
      </c>
      <c r="DB5" s="28" t="str">
        <f>IFERROR(__xludf.DUMMYFUNCTION("""COMPUTED_VALUE"""),"")</f>
        <v/>
      </c>
      <c r="DC5" s="28" t="str">
        <f>IFERROR(__xludf.DUMMYFUNCTION("""COMPUTED_VALUE"""),"")</f>
        <v/>
      </c>
      <c r="DD5" s="28" t="str">
        <f>IFERROR(__xludf.DUMMYFUNCTION("""COMPUTED_VALUE"""),"")</f>
        <v/>
      </c>
      <c r="DE5" s="28" t="str">
        <f>IFERROR(__xludf.DUMMYFUNCTION("""COMPUTED_VALUE"""),"")</f>
        <v/>
      </c>
      <c r="DF5" s="28" t="str">
        <f>IFERROR(__xludf.DUMMYFUNCTION("""COMPUTED_VALUE"""),"")</f>
        <v/>
      </c>
      <c r="DG5" s="28" t="str">
        <f>IFERROR(__xludf.DUMMYFUNCTION("""COMPUTED_VALUE"""),"")</f>
        <v/>
      </c>
      <c r="DH5" s="28" t="str">
        <f>IFERROR(__xludf.DUMMYFUNCTION("""COMPUTED_VALUE"""),"")</f>
        <v/>
      </c>
      <c r="DI5" s="28" t="str">
        <f>IFERROR(__xludf.DUMMYFUNCTION("""COMPUTED_VALUE"""),"")</f>
        <v/>
      </c>
      <c r="DJ5" s="28" t="str">
        <f>IFERROR(__xludf.DUMMYFUNCTION("""COMPUTED_VALUE"""),"")</f>
        <v/>
      </c>
      <c r="DK5" s="28" t="str">
        <f>IFERROR(__xludf.DUMMYFUNCTION("""COMPUTED_VALUE"""),"")</f>
        <v/>
      </c>
      <c r="DL5" s="28" t="str">
        <f>IFERROR(__xludf.DUMMYFUNCTION("""COMPUTED_VALUE"""),"")</f>
        <v/>
      </c>
      <c r="DM5" s="28" t="str">
        <f>IFERROR(__xludf.DUMMYFUNCTION("""COMPUTED_VALUE"""),"")</f>
        <v/>
      </c>
      <c r="DN5" s="28" t="str">
        <f>IFERROR(__xludf.DUMMYFUNCTION("""COMPUTED_VALUE"""),"")</f>
        <v/>
      </c>
      <c r="DO5" s="28" t="str">
        <f>IFERROR(__xludf.DUMMYFUNCTION("""COMPUTED_VALUE"""),"")</f>
        <v/>
      </c>
      <c r="DP5" s="28" t="str">
        <f>IFERROR(__xludf.DUMMYFUNCTION("""COMPUTED_VALUE"""),"")</f>
        <v/>
      </c>
      <c r="DQ5" s="28" t="str">
        <f>IFERROR(__xludf.DUMMYFUNCTION("""COMPUTED_VALUE"""),"")</f>
        <v/>
      </c>
      <c r="DR5" s="28" t="str">
        <f>IFERROR(__xludf.DUMMYFUNCTION("""COMPUTED_VALUE"""),"")</f>
        <v/>
      </c>
      <c r="DS5" s="28" t="str">
        <f>IFERROR(__xludf.DUMMYFUNCTION("""COMPUTED_VALUE"""),"")</f>
        <v/>
      </c>
      <c r="DT5" s="28" t="str">
        <f>IFERROR(__xludf.DUMMYFUNCTION("""COMPUTED_VALUE"""),"")</f>
        <v/>
      </c>
      <c r="DU5" s="28" t="str">
        <f>IFERROR(__xludf.DUMMYFUNCTION("""COMPUTED_VALUE"""),"")</f>
        <v/>
      </c>
      <c r="DV5" s="28" t="str">
        <f>IFERROR(__xludf.DUMMYFUNCTION("""COMPUTED_VALUE"""),"")</f>
        <v/>
      </c>
      <c r="DW5" s="28" t="str">
        <f>IFERROR(__xludf.DUMMYFUNCTION("""COMPUTED_VALUE"""),"")</f>
        <v/>
      </c>
      <c r="DX5" s="28" t="str">
        <f>IFERROR(__xludf.DUMMYFUNCTION("""COMPUTED_VALUE"""),"")</f>
        <v/>
      </c>
      <c r="DY5" s="28" t="str">
        <f>IFERROR(__xludf.DUMMYFUNCTION("""COMPUTED_VALUE"""),"")</f>
        <v/>
      </c>
      <c r="DZ5" s="28" t="str">
        <f>IFERROR(__xludf.DUMMYFUNCTION("""COMPUTED_VALUE"""),"")</f>
        <v/>
      </c>
      <c r="EA5" s="28" t="str">
        <f>IFERROR(__xludf.DUMMYFUNCTION("""COMPUTED_VALUE"""),"")</f>
        <v/>
      </c>
      <c r="EB5" s="28" t="str">
        <f>IFERROR(__xludf.DUMMYFUNCTION("""COMPUTED_VALUE"""),"")</f>
        <v/>
      </c>
      <c r="EC5" s="28" t="str">
        <f>IFERROR(__xludf.DUMMYFUNCTION("""COMPUTED_VALUE"""),"")</f>
        <v/>
      </c>
      <c r="ED5" s="28" t="str">
        <f>IFERROR(__xludf.DUMMYFUNCTION("""COMPUTED_VALUE"""),"")</f>
        <v/>
      </c>
      <c r="EE5" s="28" t="str">
        <f>IFERROR(__xludf.DUMMYFUNCTION("""COMPUTED_VALUE"""),"")</f>
        <v/>
      </c>
      <c r="EF5" s="28" t="str">
        <f>IFERROR(__xludf.DUMMYFUNCTION("""COMPUTED_VALUE"""),"")</f>
        <v/>
      </c>
      <c r="EG5" s="28" t="str">
        <f>IFERROR(__xludf.DUMMYFUNCTION("""COMPUTED_VALUE"""),"")</f>
        <v/>
      </c>
      <c r="EH5" s="28" t="str">
        <f>IFERROR(__xludf.DUMMYFUNCTION("""COMPUTED_VALUE"""),"")</f>
        <v/>
      </c>
      <c r="EI5" s="28" t="str">
        <f>IFERROR(__xludf.DUMMYFUNCTION("""COMPUTED_VALUE"""),"")</f>
        <v/>
      </c>
      <c r="EJ5" s="28" t="str">
        <f>IFERROR(__xludf.DUMMYFUNCTION("""COMPUTED_VALUE"""),"")</f>
        <v/>
      </c>
      <c r="EK5" s="28" t="str">
        <f>IFERROR(__xludf.DUMMYFUNCTION("""COMPUTED_VALUE"""),"")</f>
        <v/>
      </c>
      <c r="EL5" s="28" t="str">
        <f>IFERROR(__xludf.DUMMYFUNCTION("""COMPUTED_VALUE"""),"")</f>
        <v/>
      </c>
      <c r="EM5" s="28" t="str">
        <f>IFERROR(__xludf.DUMMYFUNCTION("""COMPUTED_VALUE"""),"")</f>
        <v/>
      </c>
      <c r="EN5" s="28" t="str">
        <f>IFERROR(__xludf.DUMMYFUNCTION("""COMPUTED_VALUE"""),"")</f>
        <v/>
      </c>
      <c r="EO5" s="28" t="str">
        <f>IFERROR(__xludf.DUMMYFUNCTION("""COMPUTED_VALUE"""),"")</f>
        <v/>
      </c>
      <c r="EP5" s="28" t="str">
        <f>IFERROR(__xludf.DUMMYFUNCTION("""COMPUTED_VALUE"""),"")</f>
        <v/>
      </c>
      <c r="EQ5" s="28" t="str">
        <f>IFERROR(__xludf.DUMMYFUNCTION("""COMPUTED_VALUE"""),"")</f>
        <v/>
      </c>
      <c r="ER5" s="28" t="str">
        <f>IFERROR(__xludf.DUMMYFUNCTION("""COMPUTED_VALUE"""),"")</f>
        <v/>
      </c>
      <c r="ES5" s="28" t="str">
        <f>IFERROR(__xludf.DUMMYFUNCTION("""COMPUTED_VALUE"""),"")</f>
        <v/>
      </c>
      <c r="ET5" s="28" t="str">
        <f>IFERROR(__xludf.DUMMYFUNCTION("""COMPUTED_VALUE"""),"")</f>
        <v/>
      </c>
      <c r="EU5" s="28" t="str">
        <f>IFERROR(__xludf.DUMMYFUNCTION("""COMPUTED_VALUE"""),"")</f>
        <v/>
      </c>
      <c r="EV5" s="28" t="str">
        <f>IFERROR(__xludf.DUMMYFUNCTION("""COMPUTED_VALUE"""),"")</f>
        <v/>
      </c>
      <c r="EW5" s="28" t="str">
        <f>IFERROR(__xludf.DUMMYFUNCTION("""COMPUTED_VALUE"""),"")</f>
        <v/>
      </c>
      <c r="EX5" s="28" t="str">
        <f>IFERROR(__xludf.DUMMYFUNCTION("""COMPUTED_VALUE"""),"")</f>
        <v/>
      </c>
    </row>
    <row r="6" ht="15.75" customHeight="1">
      <c r="A6" s="13"/>
      <c r="B6" s="13" t="s">
        <v>30</v>
      </c>
      <c r="C6" s="7"/>
      <c r="D6" s="13" t="s">
        <v>31</v>
      </c>
      <c r="E6" s="40">
        <v>1000.0</v>
      </c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'Copy of Data'!$4:$4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