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EditOrder" sheetId="5" r:id="rId7"/>
    <sheet state="visible" name="CreateComplianceOrder" sheetId="6" r:id="rId8"/>
    <sheet state="visible" name="CreateComplianceOrder1" sheetId="7" r:id="rId9"/>
    <sheet state="visible" name="CreateComplianceOrder2" sheetId="8" r:id="rId10"/>
    <sheet state="visible" name="TradeNewSubOrder" sheetId="9" r:id="rId11"/>
    <sheet state="visible" name="AcknowledgeTrade" sheetId="10" r:id="rId12"/>
    <sheet state="visible" name="ExecuteTrade" sheetId="11" r:id="rId13"/>
    <sheet state="visible" name="EditOrder1" sheetId="12" r:id="rId14"/>
    <sheet state="visible" name="VerifyComplianceOrder" sheetId="13" r:id="rId15"/>
    <sheet state="visible" name="VerifyComplianceOrder1" sheetId="14" r:id="rId16"/>
    <sheet state="visible" name="VerifyComplianceOrder2" sheetId="15" r:id="rId17"/>
    <sheet state="visible" name="VerifyComplianceOrder3" sheetId="16" r:id="rId18"/>
    <sheet state="visible" name="VerifyComplianceOrder4" sheetId="17" r:id="rId19"/>
    <sheet state="visible" name="CreateNewSubLiveOrder" sheetId="18" r:id="rId20"/>
    <sheet state="visible" name="SelectTrade" sheetId="19" r:id="rId21"/>
    <sheet state="visible" name="CreateStageOrder1" sheetId="20" r:id="rId22"/>
    <sheet state="visible" name="TradeNewSubOrder1" sheetId="21" r:id="rId23"/>
    <sheet state="visible" name="CreateNewSubLiveOrder1" sheetId="22" r:id="rId24"/>
    <sheet state="visible" name="SelectTrade1" sheetId="23" r:id="rId25"/>
    <sheet state="visible" name="AcknowledgeTrade1" sheetId="24" r:id="rId26"/>
    <sheet state="visible" name="EditOrder2" sheetId="25" r:id="rId27"/>
    <sheet state="visible" name="CreateComplianceOrder4" sheetId="26" r:id="rId28"/>
  </sheets>
  <definedNames/>
  <calcPr/>
</workbook>
</file>

<file path=xl/sharedStrings.xml><?xml version="1.0" encoding="utf-8"?>
<sst xmlns="http://schemas.openxmlformats.org/spreadsheetml/2006/main" count="249" uniqueCount="43">
  <si>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</si>
  <si>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</si>
  <si>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</si>
  <si>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</si>
  <si>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</si>
  <si>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</si>
  <si>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</si>
  <si>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</si>
  <si>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</si>
  <si>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</si>
  <si>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</si>
  <si>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</si>
  <si>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</si>
  <si>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</si>
  <si>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</si>
  <si>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</si>
  <si>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MSFT</t>
  </si>
  <si>
    <t>Buy</t>
  </si>
  <si>
    <t>Blotter</t>
  </si>
  <si>
    <t>EditOrder</t>
  </si>
  <si>
    <t>New</t>
  </si>
  <si>
    <t>CreateComplianceOrder</t>
  </si>
  <si>
    <t>Replace</t>
  </si>
  <si>
    <t>CreateOrder</t>
  </si>
  <si>
    <t>TradeNewSubOrder</t>
  </si>
  <si>
    <t>Simulator</t>
  </si>
  <si>
    <t>AcknowledgeTrade</t>
  </si>
  <si>
    <t>ExecuteTrade</t>
  </si>
  <si>
    <t>PartiallyFilled</t>
  </si>
  <si>
    <t>VerifyComplianceOrder</t>
  </si>
  <si>
    <t>Soft</t>
  </si>
  <si>
    <t>Staging</t>
  </si>
  <si>
    <t>Enter Summary</t>
  </si>
  <si>
    <t>Allocation1-MSFT</t>
  </si>
  <si>
    <t>quantity: 2,800.00, AccountShortName: Allocation1, Symbol: MSFT</t>
  </si>
  <si>
    <t>Yes</t>
  </si>
  <si>
    <t>quantity: 5,800.00, AccountShortName: Allocation1, Symbol: MSFT</t>
  </si>
  <si>
    <t>quantity: 5,400.00, AccountShortName: Allocation1, Symbol: MSFT</t>
  </si>
  <si>
    <t>quantity: 8,200.00, AccountShortName: Allocation1, Symbol: MSFT</t>
  </si>
  <si>
    <t>Allocation1-GOOG</t>
  </si>
  <si>
    <t>CreateNewSubLiveOrder</t>
  </si>
  <si>
    <t>SelectTrade</t>
  </si>
  <si>
    <t>GOOG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</si>
</sst>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535353"/>
      </right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2000.0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13" t="s">
        <v>16</v>
      </c>
      <c r="AJ6" s="13" t="s">
        <v>17</v>
      </c>
      <c r="AK6" s="9" t="s">
        <v>20</v>
      </c>
      <c r="AL6" s="1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 t="str">
        <f>IFERROR(__xludf.DUMMYFUNCTION("""COMPUTED_VALUE"""),"EditOrder")</f>
        <v>EditOrder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2800.0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  <c r="AX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 t="str">
        <f>IFERROR(__xludf.DUMMYFUNCTION("""COMPUTED_VALUE"""),"EditOrder")</f>
        <v>EditOrder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3000.0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  <c r="AX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CreateComplianceOrder1!$4:$4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 t="str">
        <f>IFERROR(__xludf.DUMMYFUNCTION("""COMPUTED_VALUE"""),"EditOrder")</f>
        <v>EditOrder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>
        <v>2600.0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  <c r="AX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CreateComplianceOrder2!$4:$4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13" t="s">
        <v>16</v>
      </c>
      <c r="AJ6" s="13" t="s">
        <v>17</v>
      </c>
      <c r="AK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8"/>
      <c r="AJ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1"/>
      <c r="F6" s="8"/>
      <c r="G6" s="13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1000.0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13" t="s">
        <v>31</v>
      </c>
      <c r="D6" s="13" t="s">
        <v>32</v>
      </c>
      <c r="E6" s="13" t="s">
        <v>33</v>
      </c>
      <c r="F6" s="13">
        <v>2500.0</v>
      </c>
      <c r="G6" s="13">
        <v>2800.0</v>
      </c>
      <c r="H6" s="13" t="s">
        <v>34</v>
      </c>
      <c r="I6" s="8"/>
      <c r="J6" s="8"/>
      <c r="K6" s="13" t="s">
        <v>35</v>
      </c>
      <c r="L6" s="8"/>
      <c r="M6" s="13" t="s">
        <v>22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13" t="s">
        <v>31</v>
      </c>
      <c r="D6" s="13" t="s">
        <v>32</v>
      </c>
      <c r="E6" s="13" t="s">
        <v>33</v>
      </c>
      <c r="F6" s="13">
        <v>2500.0</v>
      </c>
      <c r="G6" s="13">
        <v>5800.0</v>
      </c>
      <c r="H6" s="13" t="s">
        <v>36</v>
      </c>
      <c r="I6" s="8"/>
      <c r="J6" s="8"/>
      <c r="K6" s="13" t="s">
        <v>35</v>
      </c>
      <c r="L6" s="8"/>
      <c r="M6" s="9" t="s">
        <v>23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13" t="s">
        <v>31</v>
      </c>
      <c r="D6" s="13" t="s">
        <v>32</v>
      </c>
      <c r="E6" s="13" t="s">
        <v>33</v>
      </c>
      <c r="F6" s="13">
        <v>2500.0</v>
      </c>
      <c r="G6" s="8">
        <f>5400</f>
        <v>5400</v>
      </c>
      <c r="H6" s="13" t="s">
        <v>37</v>
      </c>
      <c r="I6" s="8"/>
      <c r="J6" s="8"/>
      <c r="K6" s="13" t="s">
        <v>35</v>
      </c>
      <c r="L6" s="8"/>
      <c r="M6" s="13" t="s">
        <v>22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VerifyComplianceOrder2!$4:$4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13" t="s">
        <v>31</v>
      </c>
      <c r="D6" s="13" t="s">
        <v>32</v>
      </c>
      <c r="E6" s="13" t="s">
        <v>33</v>
      </c>
      <c r="F6" s="13">
        <v>2500.0</v>
      </c>
      <c r="G6" s="13">
        <v>8200.0</v>
      </c>
      <c r="H6" s="13" t="s">
        <v>38</v>
      </c>
      <c r="I6" s="8"/>
      <c r="J6" s="8"/>
      <c r="K6" s="13" t="s">
        <v>35</v>
      </c>
      <c r="L6" s="8"/>
      <c r="M6" s="13" t="s">
        <v>22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VerifyComplianceOrder3!$4:$4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30</v>
      </c>
      <c r="C6" s="33" t="s">
        <v>31</v>
      </c>
      <c r="D6" s="33" t="s">
        <v>32</v>
      </c>
      <c r="E6" s="33" t="s">
        <v>39</v>
      </c>
      <c r="F6" s="34">
        <v>2500.0</v>
      </c>
      <c r="G6" s="35">
        <v>2800.0</v>
      </c>
      <c r="H6" s="36"/>
      <c r="I6" s="36"/>
      <c r="J6" s="36"/>
      <c r="K6" s="33" t="s">
        <v>35</v>
      </c>
      <c r="L6" s="36"/>
      <c r="M6" s="37" t="s">
        <v>22</v>
      </c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VerifyComplianceOrder4!$4:$4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  <c r="AS6" s="9" t="s">
        <v>35</v>
      </c>
      <c r="AX6" s="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3" t="s">
        <v>17</v>
      </c>
      <c r="C6" s="38" t="s">
        <v>16</v>
      </c>
      <c r="D6" s="37"/>
      <c r="E6" s="36"/>
      <c r="F6" s="36"/>
      <c r="G6" s="35">
        <v>1000.0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42</v>
      </c>
      <c r="C6" s="13" t="s">
        <v>17</v>
      </c>
      <c r="D6" s="13">
        <v>2000.0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13" t="s">
        <v>42</v>
      </c>
      <c r="AJ6" s="13" t="s">
        <v>17</v>
      </c>
      <c r="AK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42</v>
      </c>
      <c r="C6" s="13" t="s">
        <v>17</v>
      </c>
      <c r="D6" s="13">
        <v>1000.0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  <c r="AS6" s="9" t="s">
        <v>35</v>
      </c>
      <c r="AX6" s="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CreateNewSubLiveOrder1!$4:$4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3" t="s">
        <v>17</v>
      </c>
      <c r="C6" s="39" t="s">
        <v>42</v>
      </c>
      <c r="D6" s="37"/>
      <c r="E6" s="36"/>
      <c r="F6" s="36"/>
      <c r="G6" s="35">
        <v>1000.0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3" t="s">
        <v>17</v>
      </c>
      <c r="C6" s="39" t="s">
        <v>42</v>
      </c>
      <c r="D6" s="37"/>
      <c r="E6" s="36"/>
      <c r="F6" s="36"/>
      <c r="G6" s="35">
        <v>1000.0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13" t="s">
        <v>42</v>
      </c>
      <c r="AJ6" s="13" t="s">
        <v>17</v>
      </c>
      <c r="AL6" s="13">
        <v>2000.0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 t="str">
        <f>IFERROR(__xludf.DUMMYFUNCTION("""COMPUTED_VALUE"""),"EditOrder")</f>
        <v>EditOrder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42</v>
      </c>
      <c r="C6" s="13" t="s">
        <v>17</v>
      </c>
      <c r="D6" s="13">
        <v>2800.0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  <c r="AX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CreateComplianceOrder4!$4:$4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