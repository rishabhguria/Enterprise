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4" activeTab="8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yEndCash" sheetId="8" r:id="rId8"/>
    <sheet name="CheckPortfolioManagement" sheetId="9" r:id="rId9"/>
    <sheet name="Copy of Data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E6" i="8"/>
  <c r="D6" i="8"/>
  <c r="J2" i="8"/>
  <c r="J2" i="7"/>
  <c r="J2" i="6"/>
  <c r="C6" i="5"/>
  <c r="B6" i="5"/>
  <c r="J2" i="5"/>
  <c r="N7" i="4"/>
  <c r="N6" i="4"/>
  <c r="J2" i="4"/>
  <c r="BK5" i="9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F5" i="9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E5" i="9"/>
  <c r="EW5" i="9"/>
  <c r="EO5" i="9"/>
  <c r="EG5" i="9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FC5" i="9"/>
  <c r="DI5" i="9"/>
  <c r="CC5" i="9"/>
  <c r="AW5" i="9"/>
  <c r="Q5" i="9"/>
  <c r="EU4" i="9"/>
  <c r="DO4" i="9"/>
  <c r="CI4" i="9"/>
  <c r="BC4" i="9"/>
  <c r="W4" i="9"/>
  <c r="EI5" i="8"/>
  <c r="DS5" i="8"/>
  <c r="DC5" i="8"/>
  <c r="CM5" i="8"/>
  <c r="BW5" i="8"/>
  <c r="BG5" i="8"/>
  <c r="AS5" i="8"/>
  <c r="AG5" i="8"/>
  <c r="T5" i="8"/>
  <c r="F5" i="8"/>
  <c r="ES4" i="8"/>
  <c r="EE4" i="8"/>
  <c r="DS4" i="8"/>
  <c r="DG4" i="8"/>
  <c r="CW4" i="8"/>
  <c r="CM4" i="8"/>
  <c r="CA4" i="8"/>
  <c r="BQ4" i="8"/>
  <c r="BG4" i="8"/>
  <c r="AU4" i="8"/>
  <c r="AK4" i="8"/>
  <c r="AA4" i="8"/>
  <c r="O4" i="8"/>
  <c r="E4" i="8"/>
  <c r="ET5" i="7"/>
  <c r="EK5" i="7"/>
  <c r="EA5" i="7"/>
  <c r="DR5" i="7"/>
  <c r="DI5" i="7"/>
  <c r="CZ5" i="7"/>
  <c r="CQ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EU5" i="9"/>
  <c r="DG5" i="9"/>
  <c r="CA5" i="9"/>
  <c r="AU5" i="9"/>
  <c r="O5" i="9"/>
  <c r="ES4" i="9"/>
  <c r="DM4" i="9"/>
  <c r="CG4" i="9"/>
  <c r="BA4" i="9"/>
  <c r="U4" i="9"/>
  <c r="EW5" i="8"/>
  <c r="EG5" i="8"/>
  <c r="DQ5" i="8"/>
  <c r="DA5" i="8"/>
  <c r="CK5" i="8"/>
  <c r="BU5" i="8"/>
  <c r="BE5" i="8"/>
  <c r="AR5" i="8"/>
  <c r="AD5" i="8"/>
  <c r="S5" i="8"/>
  <c r="E5" i="8"/>
  <c r="EQ4" i="8"/>
  <c r="ED4" i="8"/>
  <c r="DP4" i="8"/>
  <c r="DF4" i="8"/>
  <c r="CV4" i="8"/>
  <c r="CJ4" i="8"/>
  <c r="BZ4" i="8"/>
  <c r="BP4" i="8"/>
  <c r="BD4" i="8"/>
  <c r="AT4" i="8"/>
  <c r="AJ4" i="8"/>
  <c r="X4" i="8"/>
  <c r="N4" i="8"/>
  <c r="D4" i="8"/>
  <c r="ES5" i="7"/>
  <c r="EI5" i="7"/>
  <c r="DZ5" i="7"/>
  <c r="DQ5" i="7"/>
  <c r="DH5" i="7"/>
  <c r="CY5" i="7"/>
  <c r="CP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EM5" i="9"/>
  <c r="DA5" i="9"/>
  <c r="BU5" i="9"/>
  <c r="AO5" i="9"/>
  <c r="I5" i="9"/>
  <c r="EM4" i="9"/>
  <c r="DG4" i="9"/>
  <c r="CA4" i="9"/>
  <c r="AU4" i="9"/>
  <c r="O4" i="9"/>
  <c r="ES5" i="8"/>
  <c r="EC5" i="8"/>
  <c r="DM5" i="8"/>
  <c r="CW5" i="8"/>
  <c r="CG5" i="8"/>
  <c r="BQ5" i="8"/>
  <c r="BB5" i="8"/>
  <c r="AQ5" i="8"/>
  <c r="AC5" i="8"/>
  <c r="Q5" i="8"/>
  <c r="D5" i="8"/>
  <c r="EN4" i="8"/>
  <c r="EC4" i="8"/>
  <c r="DO4" i="8"/>
  <c r="DE4" i="8"/>
  <c r="CU4" i="8"/>
  <c r="CI4" i="8"/>
  <c r="BY4" i="8"/>
  <c r="BO4" i="8"/>
  <c r="BC4" i="8"/>
  <c r="AS4" i="8"/>
  <c r="AI4" i="8"/>
  <c r="W4" i="8"/>
  <c r="M4" i="8"/>
  <c r="C4" i="8"/>
  <c r="EQ5" i="7"/>
  <c r="EH5" i="7"/>
  <c r="DY5" i="7"/>
  <c r="DP5" i="7"/>
  <c r="DG5" i="7"/>
  <c r="CX5" i="7"/>
  <c r="CO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EE5" i="9"/>
  <c r="CY5" i="9"/>
  <c r="BS5" i="9"/>
  <c r="AM5" i="9"/>
  <c r="G5" i="9"/>
  <c r="EK4" i="9"/>
  <c r="DE4" i="9"/>
  <c r="BY4" i="9"/>
  <c r="AS4" i="9"/>
  <c r="M4" i="9"/>
  <c r="ER5" i="8"/>
  <c r="EB5" i="8"/>
  <c r="DL5" i="8"/>
  <c r="CV5" i="8"/>
  <c r="CF5" i="8"/>
  <c r="BP5" i="8"/>
  <c r="BA5" i="8"/>
  <c r="AO5" i="8"/>
  <c r="AB5" i="8"/>
  <c r="N5" i="8"/>
  <c r="C5" i="8"/>
  <c r="EM4" i="8"/>
  <c r="EA4" i="8"/>
  <c r="DN4" i="8"/>
  <c r="DD4" i="8"/>
  <c r="CR4" i="8"/>
  <c r="CH4" i="8"/>
  <c r="BX4" i="8"/>
  <c r="BL4" i="8"/>
  <c r="BB4" i="8"/>
  <c r="AR4" i="8"/>
  <c r="AF4" i="8"/>
  <c r="V4" i="8"/>
  <c r="L4" i="8"/>
  <c r="EP5" i="7"/>
  <c r="EG5" i="7"/>
  <c r="DX5" i="7"/>
  <c r="DO5" i="7"/>
  <c r="DF5" i="7"/>
  <c r="CW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DY5" i="9"/>
  <c r="CS5" i="9"/>
  <c r="BM5" i="9"/>
  <c r="AG5" i="9"/>
  <c r="A5" i="9"/>
  <c r="EE4" i="9"/>
  <c r="CY4" i="9"/>
  <c r="BS4" i="9"/>
  <c r="AM4" i="9"/>
  <c r="G4" i="9"/>
  <c r="EQ5" i="8"/>
  <c r="EA5" i="8"/>
  <c r="DK5" i="8"/>
  <c r="CU5" i="8"/>
  <c r="CE5" i="8"/>
  <c r="BO5" i="8"/>
  <c r="AZ5" i="8"/>
  <c r="AL5" i="8"/>
  <c r="AA5" i="8"/>
  <c r="M5" i="8"/>
  <c r="A5" i="8"/>
  <c r="EL4" i="8"/>
  <c r="DX4" i="8"/>
  <c r="DM4" i="8"/>
  <c r="DC4" i="8"/>
  <c r="CQ4" i="8"/>
  <c r="CG4" i="8"/>
  <c r="BW4" i="8"/>
  <c r="BK4" i="8"/>
  <c r="BA4" i="8"/>
  <c r="AQ4" i="8"/>
  <c r="AE4" i="8"/>
  <c r="U4" i="8"/>
  <c r="K4" i="8"/>
  <c r="EX5" i="7"/>
  <c r="EO5" i="7"/>
  <c r="EF5" i="7"/>
  <c r="DW5" i="7"/>
  <c r="DN5" i="7"/>
  <c r="DE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DW5" i="9"/>
  <c r="CQ5" i="9"/>
  <c r="AE5" i="9"/>
  <c r="FI4" i="9"/>
  <c r="EC4" i="9"/>
  <c r="CW4" i="9"/>
  <c r="BQ4" i="9"/>
  <c r="AK4" i="9"/>
  <c r="E4" i="9"/>
  <c r="EO5" i="8"/>
  <c r="DY5" i="8"/>
  <c r="DI5" i="8"/>
  <c r="CS5" i="8"/>
  <c r="CC5" i="8"/>
  <c r="BM5" i="8"/>
  <c r="AY5" i="8"/>
  <c r="AK5" i="8"/>
  <c r="Y5" i="8"/>
  <c r="L5" i="8"/>
  <c r="EV4" i="8"/>
  <c r="EK4" i="8"/>
  <c r="DW4" i="8"/>
  <c r="DL4" i="8"/>
  <c r="CZ4" i="8"/>
  <c r="CP4" i="8"/>
  <c r="CF4" i="8"/>
  <c r="BT4" i="8"/>
  <c r="BJ4" i="8"/>
  <c r="AZ4" i="8"/>
  <c r="AN4" i="8"/>
  <c r="AD4" i="8"/>
  <c r="T4" i="8"/>
  <c r="H4" i="8"/>
  <c r="EW5" i="7"/>
  <c r="EN5" i="7"/>
  <c r="EE5" i="7"/>
  <c r="DV5" i="7"/>
  <c r="DM5" i="7"/>
  <c r="DC5" i="7"/>
  <c r="CT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DQ5" i="9"/>
  <c r="CK5" i="9"/>
  <c r="BE5" i="9"/>
  <c r="Y5" i="9"/>
  <c r="FC4" i="9"/>
  <c r="DW4" i="9"/>
  <c r="CQ4" i="9"/>
  <c r="BK4" i="9"/>
  <c r="AE4" i="9"/>
  <c r="EK5" i="8"/>
  <c r="DU5" i="8"/>
  <c r="DE5" i="8"/>
  <c r="CO5" i="8"/>
  <c r="BY5" i="8"/>
  <c r="BI5" i="8"/>
  <c r="AW5" i="8"/>
  <c r="AJ5" i="8"/>
  <c r="V5" i="8"/>
  <c r="K5" i="8"/>
  <c r="EU4" i="8"/>
  <c r="EI4" i="8"/>
  <c r="DV4" i="8"/>
  <c r="DK4" i="8"/>
  <c r="CY4" i="8"/>
  <c r="CO4" i="8"/>
  <c r="CE4" i="8"/>
  <c r="BS4" i="8"/>
  <c r="BI4" i="8"/>
  <c r="AY4" i="8"/>
  <c r="AM4" i="8"/>
  <c r="AC4" i="8"/>
  <c r="S4" i="8"/>
  <c r="G4" i="8"/>
  <c r="EV5" i="7"/>
  <c r="EM5" i="7"/>
  <c r="ED5" i="7"/>
  <c r="DU5" i="7"/>
  <c r="DK5" i="7"/>
  <c r="DB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DO5" i="9"/>
  <c r="CI5" i="9"/>
  <c r="BC5" i="9"/>
  <c r="W5" i="9"/>
  <c r="FA4" i="9"/>
  <c r="DU4" i="9"/>
  <c r="CO4" i="9"/>
  <c r="BI4" i="9"/>
  <c r="AC4" i="9"/>
  <c r="EJ5" i="8"/>
  <c r="DT5" i="8"/>
  <c r="DD5" i="8"/>
  <c r="CN5" i="8"/>
  <c r="BX5" i="8"/>
  <c r="BH5" i="8"/>
  <c r="AT5" i="8"/>
  <c r="AI5" i="8"/>
  <c r="U5" i="8"/>
  <c r="I5" i="8"/>
  <c r="ET4" i="8"/>
  <c r="EF4" i="8"/>
  <c r="DU4" i="8"/>
  <c r="DH4" i="8"/>
  <c r="CX4" i="8"/>
  <c r="CN4" i="8"/>
  <c r="CB4" i="8"/>
  <c r="BR4" i="8"/>
  <c r="BH4" i="8"/>
  <c r="AV4" i="8"/>
  <c r="AL4" i="8"/>
  <c r="AB4" i="8"/>
  <c r="P4" i="8"/>
  <c r="F4" i="8"/>
  <c r="EU5" i="7"/>
  <c r="EL5" i="7"/>
  <c r="EC5" i="7"/>
  <c r="DS5" i="7"/>
  <c r="DJ5" i="7"/>
  <c r="DA5" i="7"/>
  <c r="CR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BY5" i="5"/>
  <c r="AW5" i="5"/>
  <c r="AG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BW5" i="5"/>
  <c r="AS5" i="5"/>
  <c r="AF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BQ5" i="5"/>
  <c r="AR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BO5" i="5"/>
  <c r="AQ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BI5" i="5"/>
  <c r="AO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BG5" i="5"/>
  <c r="AK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BA5" i="5"/>
  <c r="AJ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AY5" i="5"/>
  <c r="AI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A839" i="1"/>
  <c r="D838" i="1"/>
  <c r="G837" i="1"/>
  <c r="J836" i="1"/>
  <c r="L835" i="1"/>
  <c r="C835" i="1"/>
  <c r="F834" i="1"/>
  <c r="I833" i="1"/>
  <c r="L832" i="1"/>
  <c r="C832" i="1"/>
  <c r="F831" i="1"/>
  <c r="H830" i="1"/>
  <c r="K829" i="1"/>
  <c r="B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B840" i="1"/>
  <c r="L838" i="1"/>
  <c r="C838" i="1"/>
  <c r="F837" i="1"/>
  <c r="H836" i="1"/>
  <c r="K835" i="1"/>
  <c r="B835" i="1"/>
  <c r="E834" i="1"/>
  <c r="H833" i="1"/>
  <c r="K832" i="1"/>
  <c r="B832" i="1"/>
  <c r="D831" i="1"/>
  <c r="G830" i="1"/>
  <c r="J829" i="1"/>
  <c r="A829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J839" i="1"/>
  <c r="K838" i="1"/>
  <c r="B838" i="1"/>
  <c r="D837" i="1"/>
  <c r="G836" i="1"/>
  <c r="J835" i="1"/>
  <c r="A835" i="1"/>
  <c r="D834" i="1"/>
  <c r="G833" i="1"/>
  <c r="J832" i="1"/>
  <c r="L831" i="1"/>
  <c r="C831" i="1"/>
  <c r="F830" i="1"/>
  <c r="I829" i="1"/>
  <c r="L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I839" i="1"/>
  <c r="J838" i="1"/>
  <c r="L837" i="1"/>
  <c r="C837" i="1"/>
  <c r="F836" i="1"/>
  <c r="I835" i="1"/>
  <c r="L834" i="1"/>
  <c r="C834" i="1"/>
  <c r="F833" i="1"/>
  <c r="H832" i="1"/>
  <c r="K831" i="1"/>
  <c r="B831" i="1"/>
  <c r="E830" i="1"/>
  <c r="H829" i="1"/>
  <c r="K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G839" i="1"/>
  <c r="H838" i="1"/>
  <c r="K837" i="1"/>
  <c r="B837" i="1"/>
  <c r="E836" i="1"/>
  <c r="H835" i="1"/>
  <c r="K834" i="1"/>
  <c r="B834" i="1"/>
  <c r="D833" i="1"/>
  <c r="G832" i="1"/>
  <c r="J831" i="1"/>
  <c r="A831" i="1"/>
  <c r="D830" i="1"/>
  <c r="G829" i="1"/>
  <c r="J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F839" i="1"/>
  <c r="G838" i="1"/>
  <c r="J837" i="1"/>
  <c r="A837" i="1"/>
  <c r="D836" i="1"/>
  <c r="G835" i="1"/>
  <c r="J834" i="1"/>
  <c r="L833" i="1"/>
  <c r="C833" i="1"/>
  <c r="F832" i="1"/>
  <c r="I831" i="1"/>
  <c r="L830" i="1"/>
  <c r="C830" i="1"/>
  <c r="F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C839" i="1"/>
  <c r="F838" i="1"/>
  <c r="I837" i="1"/>
  <c r="L836" i="1"/>
  <c r="C836" i="1"/>
  <c r="F835" i="1"/>
  <c r="H834" i="1"/>
  <c r="K833" i="1"/>
  <c r="B833" i="1"/>
  <c r="E832" i="1"/>
  <c r="H831" i="1"/>
  <c r="K830" i="1"/>
  <c r="B830" i="1"/>
  <c r="D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B839" i="1"/>
  <c r="E838" i="1"/>
  <c r="H837" i="1"/>
  <c r="K836" i="1"/>
  <c r="B836" i="1"/>
  <c r="D835" i="1"/>
  <c r="G834" i="1"/>
  <c r="J833" i="1"/>
  <c r="A833" i="1"/>
  <c r="D832" i="1"/>
  <c r="G831" i="1"/>
  <c r="J830" i="1"/>
  <c r="L829" i="1"/>
  <c r="C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F755" i="1"/>
  <c r="G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E755" i="1"/>
  <c r="F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D755" i="1"/>
  <c r="B754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C755" i="1"/>
  <c r="A754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B755" i="1"/>
  <c r="L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754" i="1"/>
  <c r="K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754" i="1"/>
  <c r="J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J673" i="1"/>
  <c r="D672" i="1"/>
  <c r="A671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I673" i="1"/>
  <c r="J671" i="1"/>
  <c r="L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H673" i="1"/>
  <c r="I671" i="1"/>
  <c r="J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B673" i="1"/>
  <c r="H671" i="1"/>
  <c r="I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A673" i="1"/>
  <c r="F671" i="1"/>
  <c r="H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L672" i="1"/>
  <c r="E671" i="1"/>
  <c r="F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F672" i="1"/>
  <c r="D671" i="1"/>
  <c r="E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E672" i="1"/>
  <c r="B671" i="1"/>
  <c r="D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J591" i="1"/>
  <c r="D590" i="1"/>
  <c r="E588" i="1"/>
  <c r="L586" i="1"/>
  <c r="K585" i="1"/>
  <c r="B585" i="1"/>
  <c r="E584" i="1"/>
  <c r="H583" i="1"/>
  <c r="K582" i="1"/>
  <c r="A582" i="1"/>
  <c r="D581" i="1"/>
  <c r="G580" i="1"/>
  <c r="J579" i="1"/>
  <c r="A579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I591" i="1"/>
  <c r="J589" i="1"/>
  <c r="D588" i="1"/>
  <c r="K586" i="1"/>
  <c r="J585" i="1"/>
  <c r="A585" i="1"/>
  <c r="D584" i="1"/>
  <c r="G583" i="1"/>
  <c r="I582" i="1"/>
  <c r="L581" i="1"/>
  <c r="C581" i="1"/>
  <c r="F580" i="1"/>
  <c r="I579" i="1"/>
  <c r="L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H591" i="1"/>
  <c r="I589" i="1"/>
  <c r="J587" i="1"/>
  <c r="G586" i="1"/>
  <c r="I585" i="1"/>
  <c r="L584" i="1"/>
  <c r="C584" i="1"/>
  <c r="E583" i="1"/>
  <c r="H582" i="1"/>
  <c r="K581" i="1"/>
  <c r="B581" i="1"/>
  <c r="E580" i="1"/>
  <c r="H579" i="1"/>
  <c r="K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91" i="1"/>
  <c r="H589" i="1"/>
  <c r="I587" i="1"/>
  <c r="F586" i="1"/>
  <c r="H585" i="1"/>
  <c r="K584" i="1"/>
  <c r="A584" i="1"/>
  <c r="D583" i="1"/>
  <c r="G582" i="1"/>
  <c r="J581" i="1"/>
  <c r="A581" i="1"/>
  <c r="D580" i="1"/>
  <c r="G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A591" i="1"/>
  <c r="B589" i="1"/>
  <c r="H587" i="1"/>
  <c r="E586" i="1"/>
  <c r="G585" i="1"/>
  <c r="I584" i="1"/>
  <c r="L583" i="1"/>
  <c r="C583" i="1"/>
  <c r="F582" i="1"/>
  <c r="I581" i="1"/>
  <c r="L580" i="1"/>
  <c r="C580" i="1"/>
  <c r="E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90" i="1"/>
  <c r="A589" i="1"/>
  <c r="C587" i="1"/>
  <c r="D586" i="1"/>
  <c r="E585" i="1"/>
  <c r="H584" i="1"/>
  <c r="K583" i="1"/>
  <c r="B583" i="1"/>
  <c r="E582" i="1"/>
  <c r="H581" i="1"/>
  <c r="K580" i="1"/>
  <c r="A580" i="1"/>
  <c r="D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F590" i="1"/>
  <c r="L588" i="1"/>
  <c r="B587" i="1"/>
  <c r="C586" i="1"/>
  <c r="D585" i="1"/>
  <c r="G584" i="1"/>
  <c r="J583" i="1"/>
  <c r="A583" i="1"/>
  <c r="D582" i="1"/>
  <c r="G581" i="1"/>
  <c r="I580" i="1"/>
  <c r="L579" i="1"/>
  <c r="C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E590" i="1"/>
  <c r="F588" i="1"/>
  <c r="A587" i="1"/>
  <c r="L585" i="1"/>
  <c r="C585" i="1"/>
  <c r="F584" i="1"/>
  <c r="I583" i="1"/>
  <c r="L582" i="1"/>
  <c r="C582" i="1"/>
  <c r="E581" i="1"/>
  <c r="H580" i="1"/>
  <c r="K579" i="1"/>
  <c r="B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I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G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J91" i="1"/>
  <c r="C87" i="1"/>
  <c r="C85" i="1"/>
  <c r="H83" i="1"/>
  <c r="D82" i="1"/>
  <c r="L80" i="1"/>
  <c r="J79" i="1"/>
  <c r="K78" i="1"/>
  <c r="A78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B45" i="1"/>
  <c r="J41" i="1"/>
  <c r="B41" i="1"/>
  <c r="F40" i="1"/>
  <c r="J39" i="1"/>
  <c r="B39" i="1"/>
  <c r="J37" i="1"/>
  <c r="F36" i="1"/>
  <c r="B35" i="1"/>
  <c r="J31" i="1"/>
  <c r="J27" i="1"/>
  <c r="B23" i="1"/>
  <c r="J19" i="1"/>
  <c r="J15" i="1"/>
  <c r="B13" i="1"/>
  <c r="F8" i="1"/>
  <c r="B5" i="1"/>
  <c r="B91" i="1"/>
  <c r="B87" i="1"/>
  <c r="B85" i="1"/>
  <c r="E83" i="1"/>
  <c r="A82" i="1"/>
  <c r="I80" i="1"/>
  <c r="H79" i="1"/>
  <c r="J78" i="1"/>
  <c r="K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90" i="1"/>
  <c r="G86" i="1"/>
  <c r="L84" i="1"/>
  <c r="C83" i="1"/>
  <c r="K81" i="1"/>
  <c r="G80" i="1"/>
  <c r="G79" i="1"/>
  <c r="I78" i="1"/>
  <c r="J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64" i="1"/>
  <c r="L49" i="1"/>
  <c r="L45" i="1"/>
  <c r="L41" i="1"/>
  <c r="D39" i="1"/>
  <c r="F38" i="1"/>
  <c r="J33" i="1"/>
  <c r="F28" i="1"/>
  <c r="F24" i="1"/>
  <c r="F20" i="1"/>
  <c r="B15" i="1"/>
  <c r="J9" i="1"/>
  <c r="J5" i="1"/>
  <c r="J89" i="1"/>
  <c r="F86" i="1"/>
  <c r="G84" i="1"/>
  <c r="B83" i="1"/>
  <c r="J81" i="1"/>
  <c r="F80" i="1"/>
  <c r="F79" i="1"/>
  <c r="G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J4" i="1"/>
  <c r="D65" i="1"/>
  <c r="L51" i="1"/>
  <c r="D45" i="1"/>
  <c r="L39" i="1"/>
  <c r="L35" i="1"/>
  <c r="H32" i="1"/>
  <c r="D29" i="1"/>
  <c r="L25" i="1"/>
  <c r="H22" i="1"/>
  <c r="D19" i="1"/>
  <c r="L15" i="1"/>
  <c r="D13" i="1"/>
  <c r="D9" i="1"/>
  <c r="H6" i="1"/>
  <c r="H4" i="1"/>
  <c r="J43" i="1"/>
  <c r="B37" i="1"/>
  <c r="F34" i="1"/>
  <c r="J29" i="1"/>
  <c r="F26" i="1"/>
  <c r="F22" i="1"/>
  <c r="J17" i="1"/>
  <c r="F14" i="1"/>
  <c r="F10" i="1"/>
  <c r="F6" i="1"/>
  <c r="B89" i="1"/>
  <c r="D86" i="1"/>
  <c r="F84" i="1"/>
  <c r="L82" i="1"/>
  <c r="H81" i="1"/>
  <c r="D80" i="1"/>
  <c r="E79" i="1"/>
  <c r="F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L65" i="1"/>
  <c r="D51" i="1"/>
  <c r="L43" i="1"/>
  <c r="H38" i="1"/>
  <c r="D35" i="1"/>
  <c r="D31" i="1"/>
  <c r="L27" i="1"/>
  <c r="D25" i="1"/>
  <c r="L21" i="1"/>
  <c r="H18" i="1"/>
  <c r="D15" i="1"/>
  <c r="H12" i="1"/>
  <c r="L9" i="1"/>
  <c r="D7" i="1"/>
  <c r="J45" i="1"/>
  <c r="J35" i="1"/>
  <c r="F32" i="1"/>
  <c r="B29" i="1"/>
  <c r="B27" i="1"/>
  <c r="J23" i="1"/>
  <c r="B21" i="1"/>
  <c r="B17" i="1"/>
  <c r="F12" i="1"/>
  <c r="J7" i="1"/>
  <c r="F88" i="1"/>
  <c r="K85" i="1"/>
  <c r="D84" i="1"/>
  <c r="I82" i="1"/>
  <c r="E81" i="1"/>
  <c r="B80" i="1"/>
  <c r="C79" i="1"/>
  <c r="D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A4" i="1"/>
  <c r="D63" i="1"/>
  <c r="H56" i="1"/>
  <c r="H54" i="1"/>
  <c r="H52" i="1"/>
  <c r="H48" i="1"/>
  <c r="D47" i="1"/>
  <c r="H44" i="1"/>
  <c r="H40" i="1"/>
  <c r="H36" i="1"/>
  <c r="D33" i="1"/>
  <c r="L29" i="1"/>
  <c r="H26" i="1"/>
  <c r="D23" i="1"/>
  <c r="L19" i="1"/>
  <c r="H16" i="1"/>
  <c r="L11" i="1"/>
  <c r="H8" i="1"/>
  <c r="L5" i="1"/>
  <c r="F44" i="1"/>
  <c r="B33" i="1"/>
  <c r="B25" i="1"/>
  <c r="F18" i="1"/>
  <c r="J13" i="1"/>
  <c r="B9" i="1"/>
  <c r="F4" i="1"/>
  <c r="K87" i="1"/>
  <c r="J85" i="1"/>
  <c r="K83" i="1"/>
  <c r="G82" i="1"/>
  <c r="C81" i="1"/>
  <c r="A80" i="1"/>
  <c r="B79" i="1"/>
  <c r="C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L63" i="1"/>
  <c r="H50" i="1"/>
  <c r="D43" i="1"/>
  <c r="L37" i="1"/>
  <c r="H34" i="1"/>
  <c r="L31" i="1"/>
  <c r="H28" i="1"/>
  <c r="H24" i="1"/>
  <c r="D21" i="1"/>
  <c r="D17" i="1"/>
  <c r="L13" i="1"/>
  <c r="D11" i="1"/>
  <c r="L7" i="1"/>
  <c r="B43" i="1"/>
  <c r="F30" i="1"/>
  <c r="B19" i="1"/>
  <c r="B11" i="1"/>
  <c r="J87" i="1"/>
  <c r="H85" i="1"/>
  <c r="J83" i="1"/>
  <c r="F82" i="1"/>
  <c r="B81" i="1"/>
  <c r="K79" i="1"/>
  <c r="L78" i="1"/>
  <c r="B78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H62" i="1"/>
  <c r="L61" i="1"/>
  <c r="D61" i="1"/>
  <c r="H60" i="1"/>
  <c r="L59" i="1"/>
  <c r="D59" i="1"/>
  <c r="H58" i="1"/>
  <c r="L57" i="1"/>
  <c r="D57" i="1"/>
  <c r="L55" i="1"/>
  <c r="D55" i="1"/>
  <c r="L53" i="1"/>
  <c r="D53" i="1"/>
  <c r="D49" i="1"/>
  <c r="L47" i="1"/>
  <c r="H46" i="1"/>
  <c r="H42" i="1"/>
  <c r="D41" i="1"/>
  <c r="D37" i="1"/>
  <c r="L33" i="1"/>
  <c r="H30" i="1"/>
  <c r="D27" i="1"/>
  <c r="L23" i="1"/>
  <c r="H20" i="1"/>
  <c r="L17" i="1"/>
  <c r="H14" i="1"/>
  <c r="H10" i="1"/>
  <c r="D5" i="1"/>
  <c r="F42" i="1"/>
  <c r="B31" i="1"/>
  <c r="J25" i="1"/>
  <c r="J21" i="1"/>
  <c r="F16" i="1"/>
  <c r="J11" i="1"/>
  <c r="B7" i="1"/>
</calcChain>
</file>

<file path=xl/sharedStrings.xml><?xml version="1.0" encoding="utf-8"?>
<sst xmlns="http://schemas.openxmlformats.org/spreadsheetml/2006/main" count="202" uniqueCount="74">
  <si>
    <t>Settings</t>
  </si>
  <si>
    <t>Master Data Info</t>
  </si>
  <si>
    <t>Modules Info</t>
  </si>
  <si>
    <t>Modules</t>
  </si>
  <si>
    <t>Module</t>
  </si>
  <si>
    <t>Step</t>
  </si>
  <si>
    <t>Module Step Setting File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</si>
  <si>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</si>
  <si>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</si>
  <si>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</si>
  <si>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</si>
  <si>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</si>
  <si>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</si>
  <si>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</si>
  <si>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</si>
  <si>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CreateDoneAwayOrder</t>
  </si>
  <si>
    <t>Data Format</t>
  </si>
  <si>
    <t>Input Format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</si>
  <si>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</si>
  <si>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</si>
  <si>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</si>
  <si>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</si>
  <si>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</si>
  <si>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</si>
  <si>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UpdateMarkPrice</t>
  </si>
  <si>
    <t>PricingInput</t>
  </si>
  <si>
    <t>ES M5</t>
  </si>
  <si>
    <t>ES Z3</t>
  </si>
  <si>
    <t>GeneralLedger</t>
  </si>
  <si>
    <t>GetDayEndCash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</si>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</sst>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6" fillId="0" borderId="0" xfId="0" applyFont="1" applyAlignment="1"/>
    <xf numFmtId="0" fontId="7" fillId="3" borderId="4" xfId="0" applyFont="1" applyFill="1" applyBorder="1" applyAlignment="1"/>
    <xf numFmtId="0" fontId="6" fillId="0" borderId="0" xfId="0" applyFont="1" applyAlignment="1"/>
    <xf numFmtId="0" fontId="8" fillId="3" borderId="4" xfId="0" applyFont="1" applyFill="1" applyBorder="1" applyAlignment="1"/>
    <xf numFmtId="0" fontId="2" fillId="0" borderId="0" xfId="0" applyFont="1" applyAlignment="1"/>
    <xf numFmtId="0" fontId="7" fillId="3" borderId="4" xfId="0" applyFont="1" applyFill="1" applyBorder="1" applyAlignment="1"/>
    <xf numFmtId="0" fontId="9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5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4" fontId="4" fillId="0" borderId="5" xfId="0" applyNumberFormat="1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6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0" fontId="6" fillId="0" borderId="0" xfId="0" applyFont="1" applyAlignment="1"/>
    <xf numFmtId="4" fontId="3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6" fillId="0" borderId="0" xfId="0" applyNumberFormat="1" applyFont="1" applyAlignment="1"/>
    <xf numFmtId="4" fontId="8" fillId="0" borderId="0" xfId="0" applyNumberFormat="1" applyFont="1" applyAlignment="1"/>
    <xf numFmtId="4" fontId="2" fillId="0" borderId="0" xfId="0" applyNumberFormat="1" applyFont="1"/>
    <xf numFmtId="4" fontId="5" fillId="3" borderId="0" xfId="0" applyNumberFormat="1" applyFont="1" applyFill="1" applyAlignment="1"/>
    <xf numFmtId="4" fontId="5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5" fillId="5" borderId="0" xfId="0" applyNumberFormat="1" applyFont="1" applyFill="1" applyAlignment="1"/>
    <xf numFmtId="4" fontId="5" fillId="5" borderId="4" xfId="0" applyNumberFormat="1" applyFont="1" applyFill="1" applyBorder="1" applyAlignment="1"/>
    <xf numFmtId="4" fontId="5" fillId="5" borderId="4" xfId="0" applyNumberFormat="1" applyFont="1" applyFill="1" applyBorder="1" applyAlignment="1"/>
    <xf numFmtId="4" fontId="10" fillId="5" borderId="0" xfId="0" applyNumberFormat="1" applyFont="1" applyFill="1"/>
    <xf numFmtId="4" fontId="6" fillId="0" borderId="0" xfId="0" applyNumberFormat="1" applyFont="1" applyAlignment="1"/>
    <xf numFmtId="4" fontId="1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7" t="s">
        <v>2</v>
      </c>
      <c r="B1" s="58"/>
      <c r="C1" s="58"/>
      <c r="D1" s="58"/>
      <c r="E1" s="58"/>
      <c r="F1" s="59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3</v>
      </c>
      <c r="B3" s="3"/>
      <c r="C3" s="4"/>
      <c r="D3" s="4"/>
      <c r="E3" s="4"/>
      <c r="F3" s="4"/>
    </row>
    <row r="4" spans="1:12" ht="15.75" customHeight="1">
      <c r="A4" s="6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6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1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0</v>
      </c>
      <c r="B1" s="58"/>
      <c r="C1" s="59"/>
    </row>
    <row r="2" spans="1:3" ht="15.75" customHeight="1">
      <c r="A2" s="6"/>
      <c r="B2" s="6"/>
      <c r="C2" s="6"/>
    </row>
    <row r="3" spans="1:3" ht="15.75" customHeight="1">
      <c r="A3" s="2" t="s">
        <v>6</v>
      </c>
      <c r="B3" s="8" t="s">
        <v>7</v>
      </c>
      <c r="C3" s="6"/>
    </row>
    <row r="4" spans="1:3" ht="15.75" customHeight="1">
      <c r="A4" s="5" t="s">
        <v>9</v>
      </c>
      <c r="B4" s="8" t="s">
        <v>10</v>
      </c>
      <c r="C4" s="6"/>
    </row>
    <row r="5" spans="1:3" ht="15.75" customHeight="1">
      <c r="A5" s="9"/>
      <c r="B5" s="6"/>
      <c r="C5" s="6"/>
    </row>
    <row r="6" spans="1:3" ht="15.75" customHeight="1">
      <c r="A6" s="9"/>
      <c r="B6" s="6"/>
      <c r="C6" s="6"/>
    </row>
    <row r="7" spans="1:3" ht="15.75" customHeight="1">
      <c r="A7" s="9"/>
      <c r="B7" s="6"/>
      <c r="C7" s="6"/>
    </row>
    <row r="8" spans="1:3" ht="15.75" customHeight="1">
      <c r="A8" s="9"/>
      <c r="B8" s="6"/>
      <c r="C8" s="6"/>
    </row>
    <row r="9" spans="1:3" ht="15.75" customHeight="1">
      <c r="A9" s="9"/>
      <c r="B9" s="6"/>
      <c r="C9" s="6"/>
    </row>
    <row r="10" spans="1:3" ht="15.75" customHeight="1">
      <c r="A10" s="9"/>
      <c r="B10" s="6"/>
      <c r="C10" s="6"/>
    </row>
    <row r="11" spans="1:3" ht="15.75" customHeight="1">
      <c r="A11" s="9"/>
      <c r="B11" s="6"/>
      <c r="C11" s="6"/>
    </row>
    <row r="12" spans="1:3" ht="15.75" customHeight="1">
      <c r="A12" s="9"/>
      <c r="B12" s="6"/>
      <c r="C12" s="6"/>
    </row>
    <row r="13" spans="1:3" ht="15.75" customHeight="1">
      <c r="A13" s="9"/>
      <c r="B13" s="6"/>
      <c r="C13" s="6"/>
    </row>
    <row r="14" spans="1:3" ht="15.75" customHeight="1">
      <c r="A14" s="9"/>
      <c r="B14" s="6"/>
      <c r="C14" s="6"/>
    </row>
    <row r="15" spans="1:3" ht="15.75" customHeight="1">
      <c r="A15" s="9"/>
      <c r="B15" s="6"/>
      <c r="C15" s="6"/>
    </row>
    <row r="16" spans="1:3" ht="15.75" customHeight="1">
      <c r="A16" s="9"/>
      <c r="B16" s="6"/>
      <c r="C16" s="6"/>
    </row>
    <row r="17" spans="1:3" ht="15.75" customHeight="1">
      <c r="A17" s="9"/>
      <c r="B17" s="6"/>
      <c r="C17" s="6"/>
    </row>
    <row r="18" spans="1:3" ht="15.75" customHeight="1">
      <c r="A18" s="9"/>
      <c r="B18" s="6"/>
      <c r="C18" s="6"/>
    </row>
    <row r="19" spans="1:3" ht="15.75" customHeight="1">
      <c r="A19" s="9"/>
      <c r="B19" s="6"/>
      <c r="C19" s="6"/>
    </row>
    <row r="20" spans="1:3" ht="15.75" customHeight="1">
      <c r="A20" s="9"/>
      <c r="B20" s="6"/>
      <c r="C20" s="6"/>
    </row>
    <row r="21" spans="1:3" ht="15.75" customHeight="1">
      <c r="A21" s="9"/>
      <c r="B21" s="6"/>
      <c r="C21" s="6"/>
    </row>
    <row r="22" spans="1:3" ht="15.75" customHeight="1">
      <c r="A22" s="9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1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5" t="s">
        <v>4</v>
      </c>
      <c r="B3" s="7" t="s">
        <v>5</v>
      </c>
      <c r="C3" s="7" t="s">
        <v>8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13</v>
      </c>
      <c r="D3" s="2" t="s">
        <v>5</v>
      </c>
      <c r="E3" s="17" t="s">
        <v>15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26" t="s">
        <v>19</v>
      </c>
      <c r="D6" s="27">
        <v>100</v>
      </c>
      <c r="E6" s="26"/>
      <c r="F6" s="26" t="s">
        <v>20</v>
      </c>
      <c r="G6" s="26"/>
      <c r="H6" s="26"/>
      <c r="I6" s="26"/>
      <c r="J6" s="28">
        <v>20</v>
      </c>
      <c r="K6" s="26"/>
      <c r="L6" s="26"/>
      <c r="M6" s="26"/>
      <c r="N6" s="29">
        <f t="shared" ref="N6:N7" ca="1" si="0">TODAY()-1</f>
        <v>44411</v>
      </c>
      <c r="O6" s="26"/>
      <c r="P6" s="26"/>
      <c r="Q6" s="26"/>
      <c r="R6" s="26" t="s">
        <v>21</v>
      </c>
      <c r="S6" s="28">
        <v>20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154" ht="15.75" customHeight="1">
      <c r="A7" s="6"/>
      <c r="B7" s="8" t="s">
        <v>22</v>
      </c>
      <c r="C7" s="30" t="s">
        <v>23</v>
      </c>
      <c r="D7" s="31">
        <v>100</v>
      </c>
      <c r="E7" s="30"/>
      <c r="F7" s="30" t="s">
        <v>20</v>
      </c>
      <c r="G7" s="30"/>
      <c r="H7" s="30"/>
      <c r="I7" s="30"/>
      <c r="J7" s="31">
        <v>30</v>
      </c>
      <c r="K7" s="30"/>
      <c r="L7" s="30"/>
      <c r="M7" s="30"/>
      <c r="N7" s="32">
        <f t="shared" ca="1" si="0"/>
        <v>44411</v>
      </c>
      <c r="O7" s="30"/>
      <c r="P7" s="30"/>
      <c r="Q7" s="30"/>
      <c r="R7" s="30" t="s">
        <v>21</v>
      </c>
      <c r="S7" s="31">
        <v>30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12</v>
      </c>
      <c r="D3" s="2" t="s">
        <v>5</v>
      </c>
      <c r="E3" s="17" t="s">
        <v>14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33">
        <f ca="1">TODAY()-1</f>
        <v>44411</v>
      </c>
      <c r="C6" s="33">
        <f ca="1">TODAY()</f>
        <v>44412</v>
      </c>
      <c r="D6" s="34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12</v>
      </c>
      <c r="D3" s="2" t="s">
        <v>5</v>
      </c>
      <c r="E3" s="17" t="s">
        <v>24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28">
        <v>21</v>
      </c>
      <c r="D6" s="8"/>
      <c r="E6" s="35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8" t="s">
        <v>22</v>
      </c>
      <c r="C7" s="31">
        <v>32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8" t="s">
        <v>26</v>
      </c>
      <c r="C8" s="31">
        <v>198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8" t="s">
        <v>27</v>
      </c>
      <c r="C9" s="31">
        <v>135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25</v>
      </c>
      <c r="D3" s="2" t="s">
        <v>5</v>
      </c>
      <c r="E3" s="17" t="s">
        <v>25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 t="str">
        <f ca="1">IFERROR(__xludf.DUMMYFUNCTION("""COMPUTED_VALUE"""),"")</f>
        <v/>
      </c>
      <c r="G4" s="19" t="str">
        <f ca="1">IFERROR(__xludf.DUMMYFUNCTION("""COMPUTED_VALUE"""),"")</f>
        <v/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28">
        <v>199</v>
      </c>
      <c r="D6" s="8"/>
      <c r="E6" s="35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8" t="s">
        <v>22</v>
      </c>
      <c r="C7" s="31">
        <v>134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8" t="s">
        <v>26</v>
      </c>
      <c r="C8" s="31">
        <v>21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8" t="s">
        <v>27</v>
      </c>
      <c r="C9" s="31">
        <v>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28</v>
      </c>
      <c r="D3" s="2" t="s">
        <v>5</v>
      </c>
      <c r="E3" s="17" t="s">
        <v>29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34" t="s">
        <v>30</v>
      </c>
      <c r="C6" s="26" t="s">
        <v>20</v>
      </c>
      <c r="D6" s="33">
        <f t="shared" ref="D6:E6" ca="1" si="0">TODAY()-1</f>
        <v>44411</v>
      </c>
      <c r="E6" s="33">
        <f t="shared" ca="1" si="0"/>
        <v>44411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M10" sqref="BM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4" width="14.42578125" customWidth="1"/>
    <col min="15" max="15" width="18.28515625" customWidth="1"/>
    <col min="16" max="62" width="14.42578125" customWidth="1"/>
    <col min="63" max="63" width="23.140625" customWidth="1"/>
    <col min="64" max="112" width="14.42578125" customWidth="1"/>
    <col min="113" max="113" width="27.7109375" customWidth="1"/>
    <col min="114" max="166" width="14.42578125" customWidth="1"/>
  </cols>
  <sheetData>
    <row r="1" spans="1:166" ht="15.75" customHeight="1">
      <c r="A1" s="36"/>
      <c r="B1" s="61" t="s">
        <v>11</v>
      </c>
      <c r="C1" s="58"/>
      <c r="D1" s="58"/>
      <c r="E1" s="58"/>
      <c r="F1" s="58"/>
      <c r="G1" s="58"/>
      <c r="H1" s="59"/>
      <c r="I1" s="36"/>
      <c r="J1" s="36"/>
      <c r="K1" s="36"/>
      <c r="L1" s="36"/>
      <c r="M1" s="36"/>
      <c r="N1" s="36"/>
      <c r="O1" s="36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</row>
    <row r="2" spans="1:166" ht="15.75" customHeight="1">
      <c r="A2" s="38"/>
      <c r="B2" s="38"/>
      <c r="C2" s="38"/>
      <c r="D2" s="38"/>
      <c r="E2" s="38"/>
      <c r="F2" s="38"/>
      <c r="G2" s="38"/>
      <c r="H2" s="38"/>
      <c r="I2" s="38"/>
      <c r="J2" s="39" t="e">
        <f>VLOOKUP($E$3,_MasterData!B4:D1000,3,FALSE)</f>
        <v>#N/A</v>
      </c>
      <c r="K2" s="39"/>
      <c r="L2" s="38"/>
      <c r="M2" s="38"/>
      <c r="N2" s="38"/>
      <c r="O2" s="38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</row>
    <row r="3" spans="1:166" ht="15.75" customHeight="1">
      <c r="A3" s="41"/>
      <c r="B3" s="42" t="s">
        <v>4</v>
      </c>
      <c r="C3" s="43" t="s">
        <v>31</v>
      </c>
      <c r="D3" s="42" t="s">
        <v>5</v>
      </c>
      <c r="E3" s="43" t="s">
        <v>32</v>
      </c>
      <c r="F3" s="42" t="s">
        <v>16</v>
      </c>
      <c r="G3" s="44" t="s">
        <v>17</v>
      </c>
      <c r="H3" s="42"/>
      <c r="I3" s="41"/>
      <c r="J3" s="41"/>
      <c r="K3" s="41"/>
      <c r="L3" s="41"/>
      <c r="M3" s="41"/>
      <c r="N3" s="41"/>
      <c r="O3" s="41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</row>
    <row r="4" spans="1:166" ht="15.75" customHeight="1">
      <c r="A4" s="46"/>
      <c r="B4" s="46" t="str">
        <f ca="1">IFERROR(__xludf.DUMMYFUNCTION("IF(C3="""","""",Transpose(IMPORTRANGE('_Settings'!$B$3,C3&amp;""!A4:A1000"")))"),"CheckDashboardPM")</f>
        <v>CheckDashboardPM</v>
      </c>
      <c r="C4" s="46" t="str">
        <f ca="1">IFERROR(__xludf.DUMMYFUNCTION("""COMPUTED_VALUE"""),"CheckPortfolioManagement")</f>
        <v>CheckPortfolioManagement</v>
      </c>
      <c r="D4" s="46" t="str">
        <f ca="1">IFERROR(__xludf.DUMMYFUNCTION("""COMPUTED_VALUE"""),"OpenPSTFromPM")</f>
        <v>OpenPSTFromPM</v>
      </c>
      <c r="E4" s="46" t="str">
        <f ca="1">IFERROR(__xludf.DUMMYFUNCTION("""COMPUTED_VALUE"""),"ClosePM")</f>
        <v>ClosePM</v>
      </c>
      <c r="F4" s="46" t="str">
        <f ca="1">IFERROR(__xludf.DUMMYFUNCTION("""COMPUTED_VALUE"""),"FilterPM")</f>
        <v>FilterPM</v>
      </c>
      <c r="G4" s="46" t="str">
        <f ca="1">IFERROR(__xludf.DUMMYFUNCTION("""COMPUTED_VALUE"""),"GroupRowPM")</f>
        <v>GroupRowPM</v>
      </c>
      <c r="H4" s="46" t="str">
        <f ca="1">IFERROR(__xludf.DUMMYFUNCTION("""COMPUTED_VALUE"""),"CheckDashboardWithPM")</f>
        <v>CheckDashboardWithPM</v>
      </c>
      <c r="I4" s="46" t="str">
        <f ca="1">IFERROR(__xludf.DUMMYFUNCTION("""COMPUTED_VALUE"""),"RemoveFilterPM")</f>
        <v>RemoveFilterPM</v>
      </c>
      <c r="J4" s="46" t="str">
        <f ca="1">IFERROR(__xludf.DUMMYFUNCTION("""COMPUTED_VALUE"""),"CheckSummaryRowsPM")</f>
        <v>CheckSummaryRowsPM</v>
      </c>
      <c r="K4" s="46" t="str">
        <f ca="1">IFERROR(__xludf.DUMMYFUNCTION("""COMPUTED_VALUE"""),"OpenPTTFromPM")</f>
        <v>OpenPTTFromPM</v>
      </c>
      <c r="L4" s="46" t="str">
        <f ca="1">IFERROR(__xludf.DUMMYFUNCTION("""COMPUTED_VALUE"""),"OpenCreateTransactionFromPM")</f>
        <v>OpenCreateTransactionFromPM</v>
      </c>
      <c r="M4" s="46" t="str">
        <f ca="1">IFERROR(__xludf.DUMMYFUNCTION("""COMPUTED_VALUE"""),"OpenClosingFromPM")</f>
        <v>OpenClosingFromPM</v>
      </c>
      <c r="N4" s="46" t="str">
        <f ca="1">IFERROR(__xludf.DUMMYFUNCTION("""COMPUTED_VALUE"""),"OpenCorporateActionFromPM")</f>
        <v>OpenCorporateActionFromPM</v>
      </c>
      <c r="O4" s="46" t="str">
        <f ca="1">IFERROR(__xludf.DUMMYFUNCTION("""COMPUTED_VALUE"""),"OpenDailyValuationFromPM")</f>
        <v>OpenDailyValuationFromPM</v>
      </c>
      <c r="P4" s="47" t="str">
        <f ca="1">IFERROR(__xludf.DUMMYFUNCTION("""COMPUTED_VALUE"""),"ClosePositionFromPM")</f>
        <v>ClosePositionFromPM</v>
      </c>
      <c r="Q4" s="47" t="str">
        <f ca="1">IFERROR(__xludf.DUMMYFUNCTION("""COMPUTED_VALUE"""),"ShowSummaryToolFromPM")</f>
        <v>ShowSummaryToolFromPM</v>
      </c>
      <c r="R4" s="47" t="str">
        <f ca="1">IFERROR(__xludf.DUMMYFUNCTION("""COMPUTED_VALUE"""),"HideSummaryToolFromPM")</f>
        <v>HideSummaryToolFromPM</v>
      </c>
      <c r="S4" s="47" t="str">
        <f ca="1">IFERROR(__xludf.DUMMYFUNCTION("""COMPUTED_VALUE"""),"CloseAccountPositionFromPM")</f>
        <v>CloseAccountPositionFromPM</v>
      </c>
      <c r="T4" s="47" t="str">
        <f ca="1">IFERROR(__xludf.DUMMYFUNCTION("""COMPUTED_VALUE"""),"CloseSelectedTaxlotsFromPM")</f>
        <v>CloseSelectedTaxlotsFromPM</v>
      </c>
      <c r="U4" s="47" t="str">
        <f ca="1">IFERROR(__xludf.DUMMYFUNCTION("""COMPUTED_VALUE"""),"ExpandCollapsePM")</f>
        <v>ExpandCollapsePM</v>
      </c>
      <c r="V4" s="47" t="str">
        <f ca="1">IFERROR(__xludf.DUMMYFUNCTION("""COMPUTED_VALUE"""),"AddCustomViewPM")</f>
        <v>AddCustomViewPM</v>
      </c>
      <c r="W4" s="47" t="str">
        <f ca="1">IFERROR(__xludf.DUMMYFUNCTION("""COMPUTED_VALUE"""),"AddCustomViewRightClickPM")</f>
        <v>AddCustomViewRightClickPM</v>
      </c>
      <c r="X4" s="47" t="str">
        <f ca="1">IFERROR(__xludf.DUMMYFUNCTION("""COMPUTED_VALUE"""),"RenameCustomViewPM")</f>
        <v>RenameCustomViewPM</v>
      </c>
      <c r="Y4" s="47" t="str">
        <f ca="1">IFERROR(__xludf.DUMMYFUNCTION("""COMPUTED_VALUE"""),"DeleteCustomViewPM")</f>
        <v>DeleteCustomViewPM</v>
      </c>
      <c r="Z4" s="47" t="str">
        <f ca="1">IFERROR(__xludf.DUMMYFUNCTION("""COMPUTED_VALUE"""),"")</f>
        <v/>
      </c>
      <c r="AA4" s="47" t="str">
        <f ca="1">IFERROR(__xludf.DUMMYFUNCTION("""COMPUTED_VALUE"""),"")</f>
        <v/>
      </c>
      <c r="AB4" s="47" t="str">
        <f ca="1">IFERROR(__xludf.DUMMYFUNCTION("""COMPUTED_VALUE"""),"")</f>
        <v/>
      </c>
      <c r="AC4" s="47" t="str">
        <f ca="1">IFERROR(__xludf.DUMMYFUNCTION("""COMPUTED_VALUE"""),"")</f>
        <v/>
      </c>
      <c r="AD4" s="47" t="str">
        <f ca="1">IFERROR(__xludf.DUMMYFUNCTION("""COMPUTED_VALUE"""),"")</f>
        <v/>
      </c>
      <c r="AE4" s="47" t="str">
        <f ca="1">IFERROR(__xludf.DUMMYFUNCTION("""COMPUTED_VALUE"""),"")</f>
        <v/>
      </c>
      <c r="AF4" s="47" t="str">
        <f ca="1">IFERROR(__xludf.DUMMYFUNCTION("""COMPUTED_VALUE"""),"")</f>
        <v/>
      </c>
      <c r="AG4" s="47" t="str">
        <f ca="1">IFERROR(__xludf.DUMMYFUNCTION("""COMPUTED_VALUE"""),"")</f>
        <v/>
      </c>
      <c r="AH4" s="47" t="str">
        <f ca="1">IFERROR(__xludf.DUMMYFUNCTION("""COMPUTED_VALUE"""),"")</f>
        <v/>
      </c>
      <c r="AI4" s="47" t="str">
        <f ca="1">IFERROR(__xludf.DUMMYFUNCTION("""COMPUTED_VALUE"""),"")</f>
        <v/>
      </c>
      <c r="AJ4" s="47" t="str">
        <f ca="1">IFERROR(__xludf.DUMMYFUNCTION("""COMPUTED_VALUE"""),"")</f>
        <v/>
      </c>
      <c r="AK4" s="47" t="str">
        <f ca="1">IFERROR(__xludf.DUMMYFUNCTION("""COMPUTED_VALUE"""),"")</f>
        <v/>
      </c>
      <c r="AL4" s="47" t="str">
        <f ca="1">IFERROR(__xludf.DUMMYFUNCTION("""COMPUTED_VALUE"""),"")</f>
        <v/>
      </c>
      <c r="AM4" s="47" t="str">
        <f ca="1">IFERROR(__xludf.DUMMYFUNCTION("""COMPUTED_VALUE"""),"")</f>
        <v/>
      </c>
      <c r="AN4" s="47" t="str">
        <f ca="1">IFERROR(__xludf.DUMMYFUNCTION("""COMPUTED_VALUE"""),"")</f>
        <v/>
      </c>
      <c r="AO4" s="47" t="str">
        <f ca="1">IFERROR(__xludf.DUMMYFUNCTION("""COMPUTED_VALUE"""),"")</f>
        <v/>
      </c>
      <c r="AP4" s="47" t="str">
        <f ca="1">IFERROR(__xludf.DUMMYFUNCTION("""COMPUTED_VALUE"""),"")</f>
        <v/>
      </c>
      <c r="AQ4" s="47" t="str">
        <f ca="1">IFERROR(__xludf.DUMMYFUNCTION("""COMPUTED_VALUE"""),"")</f>
        <v/>
      </c>
      <c r="AR4" s="47" t="str">
        <f ca="1">IFERROR(__xludf.DUMMYFUNCTION("""COMPUTED_VALUE"""),"")</f>
        <v/>
      </c>
      <c r="AS4" s="47" t="str">
        <f ca="1">IFERROR(__xludf.DUMMYFUNCTION("""COMPUTED_VALUE"""),"")</f>
        <v/>
      </c>
      <c r="AT4" s="47" t="str">
        <f ca="1">IFERROR(__xludf.DUMMYFUNCTION("""COMPUTED_VALUE"""),"")</f>
        <v/>
      </c>
      <c r="AU4" s="47" t="str">
        <f ca="1">IFERROR(__xludf.DUMMYFUNCTION("""COMPUTED_VALUE"""),"")</f>
        <v/>
      </c>
      <c r="AV4" s="47" t="str">
        <f ca="1">IFERROR(__xludf.DUMMYFUNCTION("""COMPUTED_VALUE"""),"")</f>
        <v/>
      </c>
      <c r="AW4" s="47" t="str">
        <f ca="1">IFERROR(__xludf.DUMMYFUNCTION("""COMPUTED_VALUE"""),"")</f>
        <v/>
      </c>
      <c r="AX4" s="47" t="str">
        <f ca="1">IFERROR(__xludf.DUMMYFUNCTION("""COMPUTED_VALUE"""),"")</f>
        <v/>
      </c>
      <c r="AY4" s="47" t="str">
        <f ca="1">IFERROR(__xludf.DUMMYFUNCTION("""COMPUTED_VALUE"""),"")</f>
        <v/>
      </c>
      <c r="AZ4" s="47" t="str">
        <f ca="1">IFERROR(__xludf.DUMMYFUNCTION("""COMPUTED_VALUE"""),"")</f>
        <v/>
      </c>
      <c r="BA4" s="47" t="str">
        <f ca="1">IFERROR(__xludf.DUMMYFUNCTION("""COMPUTED_VALUE"""),"")</f>
        <v/>
      </c>
      <c r="BB4" s="47" t="str">
        <f ca="1">IFERROR(__xludf.DUMMYFUNCTION("""COMPUTED_VALUE"""),"")</f>
        <v/>
      </c>
      <c r="BC4" s="47" t="str">
        <f ca="1">IFERROR(__xludf.DUMMYFUNCTION("""COMPUTED_VALUE"""),"")</f>
        <v/>
      </c>
      <c r="BD4" s="47" t="str">
        <f ca="1">IFERROR(__xludf.DUMMYFUNCTION("""COMPUTED_VALUE"""),"")</f>
        <v/>
      </c>
      <c r="BE4" s="47" t="str">
        <f ca="1">IFERROR(__xludf.DUMMYFUNCTION("""COMPUTED_VALUE"""),"")</f>
        <v/>
      </c>
      <c r="BF4" s="47" t="str">
        <f ca="1">IFERROR(__xludf.DUMMYFUNCTION("""COMPUTED_VALUE"""),"")</f>
        <v/>
      </c>
      <c r="BG4" s="47" t="str">
        <f ca="1">IFERROR(__xludf.DUMMYFUNCTION("""COMPUTED_VALUE"""),"")</f>
        <v/>
      </c>
      <c r="BH4" s="47" t="str">
        <f ca="1">IFERROR(__xludf.DUMMYFUNCTION("""COMPUTED_VALUE"""),"")</f>
        <v/>
      </c>
      <c r="BI4" s="47" t="str">
        <f ca="1">IFERROR(__xludf.DUMMYFUNCTION("""COMPUTED_VALUE"""),"")</f>
        <v/>
      </c>
      <c r="BJ4" s="47" t="str">
        <f ca="1">IFERROR(__xludf.DUMMYFUNCTION("""COMPUTED_VALUE"""),"")</f>
        <v/>
      </c>
      <c r="BK4" s="47" t="str">
        <f ca="1">IFERROR(__xludf.DUMMYFUNCTION("""COMPUTED_VALUE"""),"")</f>
        <v/>
      </c>
      <c r="BL4" s="47" t="str">
        <f ca="1">IFERROR(__xludf.DUMMYFUNCTION("""COMPUTED_VALUE"""),"")</f>
        <v/>
      </c>
      <c r="BM4" s="47" t="str">
        <f ca="1">IFERROR(__xludf.DUMMYFUNCTION("""COMPUTED_VALUE"""),"")</f>
        <v/>
      </c>
      <c r="BN4" s="47" t="str">
        <f ca="1">IFERROR(__xludf.DUMMYFUNCTION("""COMPUTED_VALUE"""),"")</f>
        <v/>
      </c>
      <c r="BO4" s="47" t="str">
        <f ca="1">IFERROR(__xludf.DUMMYFUNCTION("""COMPUTED_VALUE"""),"")</f>
        <v/>
      </c>
      <c r="BP4" s="47" t="str">
        <f ca="1">IFERROR(__xludf.DUMMYFUNCTION("""COMPUTED_VALUE"""),"")</f>
        <v/>
      </c>
      <c r="BQ4" s="47" t="str">
        <f ca="1">IFERROR(__xludf.DUMMYFUNCTION("""COMPUTED_VALUE"""),"")</f>
        <v/>
      </c>
      <c r="BR4" s="47" t="str">
        <f ca="1">IFERROR(__xludf.DUMMYFUNCTION("""COMPUTED_VALUE"""),"")</f>
        <v/>
      </c>
      <c r="BS4" s="47" t="str">
        <f ca="1">IFERROR(__xludf.DUMMYFUNCTION("""COMPUTED_VALUE"""),"")</f>
        <v/>
      </c>
      <c r="BT4" s="47" t="str">
        <f ca="1">IFERROR(__xludf.DUMMYFUNCTION("""COMPUTED_VALUE"""),"")</f>
        <v/>
      </c>
      <c r="BU4" s="47" t="str">
        <f ca="1">IFERROR(__xludf.DUMMYFUNCTION("""COMPUTED_VALUE"""),"")</f>
        <v/>
      </c>
      <c r="BV4" s="47" t="str">
        <f ca="1">IFERROR(__xludf.DUMMYFUNCTION("""COMPUTED_VALUE"""),"")</f>
        <v/>
      </c>
      <c r="BW4" s="47" t="str">
        <f ca="1">IFERROR(__xludf.DUMMYFUNCTION("""COMPUTED_VALUE"""),"")</f>
        <v/>
      </c>
      <c r="BX4" s="47" t="str">
        <f ca="1">IFERROR(__xludf.DUMMYFUNCTION("""COMPUTED_VALUE"""),"")</f>
        <v/>
      </c>
      <c r="BY4" s="47" t="str">
        <f ca="1">IFERROR(__xludf.DUMMYFUNCTION("""COMPUTED_VALUE"""),"")</f>
        <v/>
      </c>
      <c r="BZ4" s="47" t="str">
        <f ca="1">IFERROR(__xludf.DUMMYFUNCTION("""COMPUTED_VALUE"""),"")</f>
        <v/>
      </c>
      <c r="CA4" s="47" t="str">
        <f ca="1">IFERROR(__xludf.DUMMYFUNCTION("""COMPUTED_VALUE"""),"")</f>
        <v/>
      </c>
      <c r="CB4" s="47" t="str">
        <f ca="1">IFERROR(__xludf.DUMMYFUNCTION("""COMPUTED_VALUE"""),"")</f>
        <v/>
      </c>
      <c r="CC4" s="47" t="str">
        <f ca="1">IFERROR(__xludf.DUMMYFUNCTION("""COMPUTED_VALUE"""),"")</f>
        <v/>
      </c>
      <c r="CD4" s="47" t="str">
        <f ca="1">IFERROR(__xludf.DUMMYFUNCTION("""COMPUTED_VALUE"""),"")</f>
        <v/>
      </c>
      <c r="CE4" s="47" t="str">
        <f ca="1">IFERROR(__xludf.DUMMYFUNCTION("""COMPUTED_VALUE"""),"")</f>
        <v/>
      </c>
      <c r="CF4" s="47" t="str">
        <f ca="1">IFERROR(__xludf.DUMMYFUNCTION("""COMPUTED_VALUE"""),"")</f>
        <v/>
      </c>
      <c r="CG4" s="47" t="str">
        <f ca="1">IFERROR(__xludf.DUMMYFUNCTION("""COMPUTED_VALUE"""),"")</f>
        <v/>
      </c>
      <c r="CH4" s="47" t="str">
        <f ca="1">IFERROR(__xludf.DUMMYFUNCTION("""COMPUTED_VALUE"""),"")</f>
        <v/>
      </c>
      <c r="CI4" s="47" t="str">
        <f ca="1">IFERROR(__xludf.DUMMYFUNCTION("""COMPUTED_VALUE"""),"")</f>
        <v/>
      </c>
      <c r="CJ4" s="47" t="str">
        <f ca="1">IFERROR(__xludf.DUMMYFUNCTION("""COMPUTED_VALUE"""),"")</f>
        <v/>
      </c>
      <c r="CK4" s="47" t="str">
        <f ca="1">IFERROR(__xludf.DUMMYFUNCTION("""COMPUTED_VALUE"""),"")</f>
        <v/>
      </c>
      <c r="CL4" s="47" t="str">
        <f ca="1">IFERROR(__xludf.DUMMYFUNCTION("""COMPUTED_VALUE"""),"")</f>
        <v/>
      </c>
      <c r="CM4" s="47" t="str">
        <f ca="1">IFERROR(__xludf.DUMMYFUNCTION("""COMPUTED_VALUE"""),"")</f>
        <v/>
      </c>
      <c r="CN4" s="47" t="str">
        <f ca="1">IFERROR(__xludf.DUMMYFUNCTION("""COMPUTED_VALUE"""),"")</f>
        <v/>
      </c>
      <c r="CO4" s="47" t="str">
        <f ca="1">IFERROR(__xludf.DUMMYFUNCTION("""COMPUTED_VALUE"""),"")</f>
        <v/>
      </c>
      <c r="CP4" s="47" t="str">
        <f ca="1">IFERROR(__xludf.DUMMYFUNCTION("""COMPUTED_VALUE"""),"")</f>
        <v/>
      </c>
      <c r="CQ4" s="47" t="str">
        <f ca="1">IFERROR(__xludf.DUMMYFUNCTION("""COMPUTED_VALUE"""),"")</f>
        <v/>
      </c>
      <c r="CR4" s="47" t="str">
        <f ca="1">IFERROR(__xludf.DUMMYFUNCTION("""COMPUTED_VALUE"""),"")</f>
        <v/>
      </c>
      <c r="CS4" s="47" t="str">
        <f ca="1">IFERROR(__xludf.DUMMYFUNCTION("""COMPUTED_VALUE"""),"")</f>
        <v/>
      </c>
      <c r="CT4" s="47" t="str">
        <f ca="1">IFERROR(__xludf.DUMMYFUNCTION("""COMPUTED_VALUE"""),"")</f>
        <v/>
      </c>
      <c r="CU4" s="47" t="str">
        <f ca="1">IFERROR(__xludf.DUMMYFUNCTION("""COMPUTED_VALUE"""),"")</f>
        <v/>
      </c>
      <c r="CV4" s="47" t="str">
        <f ca="1">IFERROR(__xludf.DUMMYFUNCTION("""COMPUTED_VALUE"""),"")</f>
        <v/>
      </c>
      <c r="CW4" s="47" t="str">
        <f ca="1">IFERROR(__xludf.DUMMYFUNCTION("""COMPUTED_VALUE"""),"")</f>
        <v/>
      </c>
      <c r="CX4" s="47" t="str">
        <f ca="1">IFERROR(__xludf.DUMMYFUNCTION("""COMPUTED_VALUE"""),"")</f>
        <v/>
      </c>
      <c r="CY4" s="47" t="str">
        <f ca="1">IFERROR(__xludf.DUMMYFUNCTION("""COMPUTED_VALUE"""),"")</f>
        <v/>
      </c>
      <c r="CZ4" s="47" t="str">
        <f ca="1">IFERROR(__xludf.DUMMYFUNCTION("""COMPUTED_VALUE"""),"")</f>
        <v/>
      </c>
      <c r="DA4" s="47" t="str">
        <f ca="1">IFERROR(__xludf.DUMMYFUNCTION("""COMPUTED_VALUE"""),"")</f>
        <v/>
      </c>
      <c r="DB4" s="47" t="str">
        <f ca="1">IFERROR(__xludf.DUMMYFUNCTION("""COMPUTED_VALUE"""),"")</f>
        <v/>
      </c>
      <c r="DC4" s="47" t="str">
        <f ca="1">IFERROR(__xludf.DUMMYFUNCTION("""COMPUTED_VALUE"""),"")</f>
        <v/>
      </c>
      <c r="DD4" s="47" t="str">
        <f ca="1">IFERROR(__xludf.DUMMYFUNCTION("""COMPUTED_VALUE"""),"")</f>
        <v/>
      </c>
      <c r="DE4" s="47" t="str">
        <f ca="1">IFERROR(__xludf.DUMMYFUNCTION("""COMPUTED_VALUE"""),"")</f>
        <v/>
      </c>
      <c r="DF4" s="47" t="str">
        <f ca="1">IFERROR(__xludf.DUMMYFUNCTION("""COMPUTED_VALUE"""),"")</f>
        <v/>
      </c>
      <c r="DG4" s="47" t="str">
        <f ca="1">IFERROR(__xludf.DUMMYFUNCTION("""COMPUTED_VALUE"""),"")</f>
        <v/>
      </c>
      <c r="DH4" s="47" t="str">
        <f ca="1">IFERROR(__xludf.DUMMYFUNCTION("""COMPUTED_VALUE"""),"")</f>
        <v/>
      </c>
      <c r="DI4" s="47" t="str">
        <f ca="1">IFERROR(__xludf.DUMMYFUNCTION("""COMPUTED_VALUE"""),"")</f>
        <v/>
      </c>
      <c r="DJ4" s="47" t="str">
        <f ca="1">IFERROR(__xludf.DUMMYFUNCTION("""COMPUTED_VALUE"""),"")</f>
        <v/>
      </c>
      <c r="DK4" s="47" t="str">
        <f ca="1">IFERROR(__xludf.DUMMYFUNCTION("""COMPUTED_VALUE"""),"")</f>
        <v/>
      </c>
      <c r="DL4" s="47" t="str">
        <f ca="1">IFERROR(__xludf.DUMMYFUNCTION("""COMPUTED_VALUE"""),"")</f>
        <v/>
      </c>
      <c r="DM4" s="47" t="str">
        <f ca="1">IFERROR(__xludf.DUMMYFUNCTION("""COMPUTED_VALUE"""),"")</f>
        <v/>
      </c>
      <c r="DN4" s="47" t="str">
        <f ca="1">IFERROR(__xludf.DUMMYFUNCTION("""COMPUTED_VALUE"""),"")</f>
        <v/>
      </c>
      <c r="DO4" s="47" t="str">
        <f ca="1">IFERROR(__xludf.DUMMYFUNCTION("""COMPUTED_VALUE"""),"")</f>
        <v/>
      </c>
      <c r="DP4" s="47" t="str">
        <f ca="1">IFERROR(__xludf.DUMMYFUNCTION("""COMPUTED_VALUE"""),"")</f>
        <v/>
      </c>
      <c r="DQ4" s="47" t="str">
        <f ca="1">IFERROR(__xludf.DUMMYFUNCTION("""COMPUTED_VALUE"""),"")</f>
        <v/>
      </c>
      <c r="DR4" s="47" t="str">
        <f ca="1">IFERROR(__xludf.DUMMYFUNCTION("""COMPUTED_VALUE"""),"")</f>
        <v/>
      </c>
      <c r="DS4" s="47" t="str">
        <f ca="1">IFERROR(__xludf.DUMMYFUNCTION("""COMPUTED_VALUE"""),"")</f>
        <v/>
      </c>
      <c r="DT4" s="47" t="str">
        <f ca="1">IFERROR(__xludf.DUMMYFUNCTION("""COMPUTED_VALUE"""),"")</f>
        <v/>
      </c>
      <c r="DU4" s="47" t="str">
        <f ca="1">IFERROR(__xludf.DUMMYFUNCTION("""COMPUTED_VALUE"""),"")</f>
        <v/>
      </c>
      <c r="DV4" s="47" t="str">
        <f ca="1">IFERROR(__xludf.DUMMYFUNCTION("""COMPUTED_VALUE"""),"")</f>
        <v/>
      </c>
      <c r="DW4" s="47" t="str">
        <f ca="1">IFERROR(__xludf.DUMMYFUNCTION("""COMPUTED_VALUE"""),"")</f>
        <v/>
      </c>
      <c r="DX4" s="47" t="str">
        <f ca="1">IFERROR(__xludf.DUMMYFUNCTION("""COMPUTED_VALUE"""),"")</f>
        <v/>
      </c>
      <c r="DY4" s="47" t="str">
        <f ca="1">IFERROR(__xludf.DUMMYFUNCTION("""COMPUTED_VALUE"""),"")</f>
        <v/>
      </c>
      <c r="DZ4" s="47" t="str">
        <f ca="1">IFERROR(__xludf.DUMMYFUNCTION("""COMPUTED_VALUE"""),"")</f>
        <v/>
      </c>
      <c r="EA4" s="47" t="str">
        <f ca="1">IFERROR(__xludf.DUMMYFUNCTION("""COMPUTED_VALUE"""),"")</f>
        <v/>
      </c>
      <c r="EB4" s="47" t="str">
        <f ca="1">IFERROR(__xludf.DUMMYFUNCTION("""COMPUTED_VALUE"""),"")</f>
        <v/>
      </c>
      <c r="EC4" s="47" t="str">
        <f ca="1">IFERROR(__xludf.DUMMYFUNCTION("""COMPUTED_VALUE"""),"")</f>
        <v/>
      </c>
      <c r="ED4" s="47" t="str">
        <f ca="1">IFERROR(__xludf.DUMMYFUNCTION("""COMPUTED_VALUE"""),"")</f>
        <v/>
      </c>
      <c r="EE4" s="47" t="str">
        <f ca="1">IFERROR(__xludf.DUMMYFUNCTION("""COMPUTED_VALUE"""),"")</f>
        <v/>
      </c>
      <c r="EF4" s="47" t="str">
        <f ca="1">IFERROR(__xludf.DUMMYFUNCTION("""COMPUTED_VALUE"""),"")</f>
        <v/>
      </c>
      <c r="EG4" s="47" t="str">
        <f ca="1">IFERROR(__xludf.DUMMYFUNCTION("""COMPUTED_VALUE"""),"")</f>
        <v/>
      </c>
      <c r="EH4" s="47" t="str">
        <f ca="1">IFERROR(__xludf.DUMMYFUNCTION("""COMPUTED_VALUE"""),"")</f>
        <v/>
      </c>
      <c r="EI4" s="47" t="str">
        <f ca="1">IFERROR(__xludf.DUMMYFUNCTION("""COMPUTED_VALUE"""),"")</f>
        <v/>
      </c>
      <c r="EJ4" s="47" t="str">
        <f ca="1">IFERROR(__xludf.DUMMYFUNCTION("""COMPUTED_VALUE"""),"")</f>
        <v/>
      </c>
      <c r="EK4" s="47" t="str">
        <f ca="1">IFERROR(__xludf.DUMMYFUNCTION("""COMPUTED_VALUE"""),"")</f>
        <v/>
      </c>
      <c r="EL4" s="47" t="str">
        <f ca="1">IFERROR(__xludf.DUMMYFUNCTION("""COMPUTED_VALUE"""),"")</f>
        <v/>
      </c>
      <c r="EM4" s="47" t="str">
        <f ca="1">IFERROR(__xludf.DUMMYFUNCTION("""COMPUTED_VALUE"""),"")</f>
        <v/>
      </c>
      <c r="EN4" s="47" t="str">
        <f ca="1">IFERROR(__xludf.DUMMYFUNCTION("""COMPUTED_VALUE"""),"")</f>
        <v/>
      </c>
      <c r="EO4" s="47" t="str">
        <f ca="1">IFERROR(__xludf.DUMMYFUNCTION("""COMPUTED_VALUE"""),"")</f>
        <v/>
      </c>
      <c r="EP4" s="47" t="str">
        <f ca="1">IFERROR(__xludf.DUMMYFUNCTION("""COMPUTED_VALUE"""),"")</f>
        <v/>
      </c>
      <c r="EQ4" s="47" t="str">
        <f ca="1">IFERROR(__xludf.DUMMYFUNCTION("""COMPUTED_VALUE"""),"")</f>
        <v/>
      </c>
      <c r="ER4" s="47" t="str">
        <f ca="1">IFERROR(__xludf.DUMMYFUNCTION("""COMPUTED_VALUE"""),"")</f>
        <v/>
      </c>
      <c r="ES4" s="47" t="str">
        <f ca="1">IFERROR(__xludf.DUMMYFUNCTION("""COMPUTED_VALUE"""),"")</f>
        <v/>
      </c>
      <c r="ET4" s="47" t="str">
        <f ca="1">IFERROR(__xludf.DUMMYFUNCTION("""COMPUTED_VALUE"""),"")</f>
        <v/>
      </c>
      <c r="EU4" s="47" t="str">
        <f ca="1">IFERROR(__xludf.DUMMYFUNCTION("""COMPUTED_VALUE"""),"")</f>
        <v/>
      </c>
      <c r="EV4" s="47" t="str">
        <f ca="1">IFERROR(__xludf.DUMMYFUNCTION("""COMPUTED_VALUE"""),"")</f>
        <v/>
      </c>
      <c r="EW4" s="47" t="str">
        <f ca="1">IFERROR(__xludf.DUMMYFUNCTION("""COMPUTED_VALUE"""),"")</f>
        <v/>
      </c>
      <c r="EX4" s="47" t="str">
        <f ca="1">IFERROR(__xludf.DUMMYFUNCTION("""COMPUTED_VALUE"""),"")</f>
        <v/>
      </c>
      <c r="EY4" s="47" t="str">
        <f ca="1">IFERROR(__xludf.DUMMYFUNCTION("""COMPUTED_VALUE"""),"")</f>
        <v/>
      </c>
      <c r="EZ4" s="47" t="str">
        <f ca="1">IFERROR(__xludf.DUMMYFUNCTION("""COMPUTED_VALUE"""),"")</f>
        <v/>
      </c>
      <c r="FA4" s="47" t="str">
        <f ca="1">IFERROR(__xludf.DUMMYFUNCTION("""COMPUTED_VALUE"""),"")</f>
        <v/>
      </c>
      <c r="FB4" s="47" t="str">
        <f ca="1">IFERROR(__xludf.DUMMYFUNCTION("""COMPUTED_VALUE"""),"")</f>
        <v/>
      </c>
      <c r="FC4" s="47" t="str">
        <f ca="1">IFERROR(__xludf.DUMMYFUNCTION("""COMPUTED_VALUE"""),"")</f>
        <v/>
      </c>
      <c r="FD4" s="47" t="str">
        <f ca="1">IFERROR(__xludf.DUMMYFUNCTION("""COMPUTED_VALUE"""),"")</f>
        <v/>
      </c>
      <c r="FE4" s="47" t="str">
        <f ca="1">IFERROR(__xludf.DUMMYFUNCTION("""COMPUTED_VALUE"""),"")</f>
        <v/>
      </c>
      <c r="FF4" s="47" t="str">
        <f ca="1">IFERROR(__xludf.DUMMYFUNCTION("""COMPUTED_VALUE"""),"")</f>
        <v/>
      </c>
      <c r="FG4" s="47" t="str">
        <f ca="1">IFERROR(__xludf.DUMMYFUNCTION("""COMPUTED_VALUE"""),"")</f>
        <v/>
      </c>
      <c r="FH4" s="47" t="str">
        <f ca="1">IFERROR(__xludf.DUMMYFUNCTION("""COMPUTED_VALUE"""),"")</f>
        <v/>
      </c>
      <c r="FI4" s="47" t="str">
        <f ca="1">IFERROR(__xludf.DUMMYFUNCTION("""COMPUTED_VALUE"""),"")</f>
        <v/>
      </c>
      <c r="FJ4" s="47" t="str">
        <f ca="1">IFERROR(__xludf.DUMMYFUNCTION("""COMPUTED_VALUE"""),"")</f>
        <v/>
      </c>
    </row>
    <row r="5" spans="1:166" ht="15.75" customHeight="1">
      <c r="A5" s="48" t="str">
        <f ca="1">IFERROR(__xludf.DUMMYFUNCTION("TRANSPOSE(IMPORTRANGE(VLOOKUP($E$3,IMPORTRANGE('_Settings'!$B$3,$C$3&amp;""!A4:B1000""),2,FALSE),$G$3&amp;""!A4:A1000""))"),"")</f>
        <v/>
      </c>
      <c r="B5" s="49" t="str">
        <f ca="1">IFERROR(__xludf.DUMMYFUNCTION("""COMPUTED_VALUE"""),"Trade Date")</f>
        <v>Trade Date</v>
      </c>
      <c r="C5" s="49" t="str">
        <f ca="1">IFERROR(__xludf.DUMMYFUNCTION("""COMPUTED_VALUE"""),"Symbol")</f>
        <v>Symbol</v>
      </c>
      <c r="D5" s="49" t="str">
        <f ca="1">IFERROR(__xludf.DUMMYFUNCTION("""COMPUTED_VALUE"""),"Position")</f>
        <v>Position</v>
      </c>
      <c r="E5" s="49" t="str">
        <f ca="1">IFERROR(__xludf.DUMMYFUNCTION("""COMPUTED_VALUE"""),"Account")</f>
        <v>Account</v>
      </c>
      <c r="F5" s="50" t="str">
        <f ca="1">IFERROR(__xludf.DUMMYFUNCTION("""COMPUTED_VALUE"""),"MasterFund")</f>
        <v>MasterFund</v>
      </c>
      <c r="G5" s="49" t="str">
        <f ca="1">IFERROR(__xludf.DUMMYFUNCTION("""COMPUTED_VALUE"""),"Cost Basis")</f>
        <v>Cost Basis</v>
      </c>
      <c r="H5" s="49" t="str">
        <f ca="1">IFERROR(__xludf.DUMMYFUNCTION("""COMPUTED_VALUE"""),"Position Side")</f>
        <v>Position Side</v>
      </c>
      <c r="I5" s="49" t="str">
        <f ca="1">IFERROR(__xludf.DUMMYFUNCTION("""COMPUTED_VALUE"""),"Market Value (Base)")</f>
        <v>Market Value (Base)</v>
      </c>
      <c r="J5" s="49" t="str">
        <f ca="1">IFERROR(__xludf.DUMMYFUNCTION("""COMPUTED_VALUE"""),"% Day P&amp;L (Gross MV)")</f>
        <v>% Day P&amp;L (Gross MV)</v>
      </c>
      <c r="K5" s="49" t="str">
        <f ca="1">IFERROR(__xludf.DUMMYFUNCTION("""COMPUTED_VALUE"""),"Net Exposure (Base)")</f>
        <v>Net Exposure (Base)</v>
      </c>
      <c r="L5" s="49" t="str">
        <f ca="1">IFERROR(__xludf.DUMMYFUNCTION("""COMPUTED_VALUE"""),"Beta Adj. Gross Exposure (Base)")</f>
        <v>Beta Adj. Gross Exposure (Base)</v>
      </c>
      <c r="M5" s="49" t="str">
        <f ca="1">IFERROR(__xludf.DUMMYFUNCTION("""COMPUTED_VALUE"""),"Beta Adj. Gross Exposure (Underlying) (Base)")</f>
        <v>Beta Adj. Gross Exposure (Underlying) (Base)</v>
      </c>
      <c r="N5" s="49" t="str">
        <f ca="1">IFERROR(__xludf.DUMMYFUNCTION("""COMPUTED_VALUE"""),"Day P&amp;L (Base)")</f>
        <v>Day P&amp;L (Base)</v>
      </c>
      <c r="O5" s="49" t="str">
        <f ca="1">IFERROR(__xludf.DUMMYFUNCTION("""COMPUTED_VALUE"""),"Security Name")</f>
        <v>Security Name</v>
      </c>
      <c r="P5" s="49" t="str">
        <f ca="1">IFERROR(__xludf.DUMMYFUNCTION("""COMPUTED_VALUE"""),"Closing Mark")</f>
        <v>Closing Mark</v>
      </c>
      <c r="Q5" s="49" t="str">
        <f ca="1">IFERROR(__xludf.DUMMYFUNCTION("""COMPUTED_VALUE"""),"Cost Basis P&amp;L (Base)")</f>
        <v>Cost Basis P&amp;L (Base)</v>
      </c>
      <c r="R5" s="49" t="str">
        <f ca="1">IFERROR(__xludf.DUMMYFUNCTION("""COMPUTED_VALUE"""),"Prime Broker")</f>
        <v>Prime Broker</v>
      </c>
      <c r="S5" s="49" t="str">
        <f ca="1">IFERROR(__xludf.DUMMYFUNCTION("""COMPUTED_VALUE"""),"Strategy")</f>
        <v>Strategy</v>
      </c>
      <c r="T5" s="51" t="str">
        <f ca="1">IFERROR(__xludf.DUMMYFUNCTION("""COMPUTED_VALUE"""),"Asset Class")</f>
        <v>Asset Class</v>
      </c>
      <c r="U5" s="51" t="str">
        <f ca="1">IFERROR(__xludf.DUMMYFUNCTION("""COMPUTED_VALUE"""),"Underlying")</f>
        <v>Underlying</v>
      </c>
      <c r="V5" s="51" t="str">
        <f ca="1">IFERROR(__xludf.DUMMYFUNCTION("""COMPUTED_VALUE"""),"Exchange")</f>
        <v>Exchange</v>
      </c>
      <c r="W5" s="51" t="str">
        <f ca="1">IFERROR(__xludf.DUMMYFUNCTION("""COMPUTED_VALUE"""),"Trade Currency")</f>
        <v>Trade Currency</v>
      </c>
      <c r="X5" s="51" t="str">
        <f ca="1">IFERROR(__xludf.DUMMYFUNCTION("""COMPUTED_VALUE"""),"Multiplier")</f>
        <v>Multiplier</v>
      </c>
      <c r="Y5" s="51" t="str">
        <f ca="1">IFERROR(__xludf.DUMMYFUNCTION("""COMPUTED_VALUE"""),"FX Rate")</f>
        <v>FX Rate</v>
      </c>
      <c r="Z5" s="51" t="str">
        <f ca="1">IFERROR(__xludf.DUMMYFUNCTION("""COMPUTED_VALUE"""),"Vs Currency")</f>
        <v>Vs Currency</v>
      </c>
      <c r="AA5" s="51" t="str">
        <f ca="1">IFERROR(__xludf.DUMMYFUNCTION("""COMPUTED_VALUE"""),"Lead Currency")</f>
        <v>Lead Currency</v>
      </c>
      <c r="AB5" s="51" t="str">
        <f ca="1">IFERROR(__xludf.DUMMYFUNCTION("""COMPUTED_VALUE"""),"Dividend Yield (%)")</f>
        <v>Dividend Yield (%)</v>
      </c>
      <c r="AC5" s="51" t="str">
        <f ca="1">IFERROR(__xludf.DUMMYFUNCTION("""COMPUTED_VALUE"""),"% Change")</f>
        <v>% Change</v>
      </c>
      <c r="AD5" s="51" t="str">
        <f ca="1">IFERROR(__xludf.DUMMYFUNCTION("""COMPUTED_VALUE"""),"Net Exposure (Local)")</f>
        <v>Net Exposure (Local)</v>
      </c>
      <c r="AE5" s="51" t="str">
        <f ca="1">IFERROR(__xludf.DUMMYFUNCTION("""COMPUTED_VALUE"""),"Exposure (Local)")</f>
        <v>Exposure (Local)</v>
      </c>
      <c r="AF5" s="51" t="str">
        <f ca="1">IFERROR(__xludf.DUMMYFUNCTION("""COMPUTED_VALUE"""),"Delta Adj. Position")</f>
        <v>Delta Adj. Position</v>
      </c>
      <c r="AG5" s="51" t="str">
        <f ca="1">IFERROR(__xludf.DUMMYFUNCTION("""COMPUTED_VALUE"""),"Exposure (Base)")</f>
        <v>Exposure (Base)</v>
      </c>
      <c r="AH5" s="51" t="str">
        <f ca="1">IFERROR(__xludf.DUMMYFUNCTION("""COMPUTED_VALUE"""),"Beta Adj. Exposure (Local)")</f>
        <v>Beta Adj. Exposure (Local)</v>
      </c>
      <c r="AI5" s="51" t="str">
        <f ca="1">IFERROR(__xludf.DUMMYFUNCTION("""COMPUTED_VALUE"""),"Beta Adj. Exposure (Base)")</f>
        <v>Beta Adj. Exposure (Base)</v>
      </c>
      <c r="AJ5" s="51" t="str">
        <f ca="1">IFERROR(__xludf.DUMMYFUNCTION("""COMPUTED_VALUE"""),"Exposure (BP)(Base)")</f>
        <v>Exposure (BP)(Base)</v>
      </c>
      <c r="AK5" s="51" t="str">
        <f ca="1">IFERROR(__xludf.DUMMYFUNCTION("""COMPUTED_VALUE"""),"Day P&amp;L (Local)")</f>
        <v>Day P&amp;L (Local)</v>
      </c>
      <c r="AL5" s="51" t="str">
        <f ca="1">IFERROR(__xludf.DUMMYFUNCTION("""COMPUTED_VALUE"""),"Delta")</f>
        <v>Delta</v>
      </c>
      <c r="AM5" s="51" t="str">
        <f ca="1">IFERROR(__xludf.DUMMYFUNCTION("""COMPUTED_VALUE"""),"Leveraged Factor")</f>
        <v>Leveraged Factor</v>
      </c>
      <c r="AN5" s="51" t="str">
        <f ca="1">IFERROR(__xludf.DUMMYFUNCTION("""COMPUTED_VALUE"""),"Order Side")</f>
        <v>Order Side</v>
      </c>
      <c r="AO5" s="51" t="str">
        <f ca="1">IFERROR(__xludf.DUMMYFUNCTION("""COMPUTED_VALUE"""),"Master Strategy")</f>
        <v>Master Strategy</v>
      </c>
      <c r="AP5" s="51" t="str">
        <f ca="1">IFERROR(__xludf.DUMMYFUNCTION("""COMPUTED_VALUE"""),"Transaction Side")</f>
        <v>Transaction Side</v>
      </c>
      <c r="AQ5" s="51" t="str">
        <f ca="1">IFERROR(__xludf.DUMMYFUNCTION("""COMPUTED_VALUE"""),"Underlying Symbol")</f>
        <v>Underlying Symbol</v>
      </c>
      <c r="AR5" s="51" t="str">
        <f ca="1">IFERROR(__xludf.DUMMYFUNCTION("""COMPUTED_VALUE"""),"Underlying Price")</f>
        <v>Underlying Price</v>
      </c>
      <c r="AS5" s="51" t="str">
        <f ca="1">IFERROR(__xludf.DUMMYFUNCTION("""COMPUTED_VALUE"""),"Side Multiplier")</f>
        <v>Side Multiplier</v>
      </c>
      <c r="AT5" s="51" t="str">
        <f ca="1">IFERROR(__xludf.DUMMYFUNCTION("""COMPUTED_VALUE"""),"Description")</f>
        <v>Description</v>
      </c>
      <c r="AU5" s="51" t="str">
        <f ca="1">IFERROR(__xludf.DUMMYFUNCTION("""COMPUTED_VALUE"""),"Internal Comments")</f>
        <v>Internal Comments</v>
      </c>
      <c r="AV5" s="51" t="str">
        <f ca="1">IFERROR(__xludf.DUMMYFUNCTION("""COMPUTED_VALUE"""),"FX Rate On Trade Date")</f>
        <v>FX Rate On Trade Date</v>
      </c>
      <c r="AW5" s="51" t="str">
        <f ca="1">IFERROR(__xludf.DUMMYFUNCTION("""COMPUTED_VALUE"""),"Cost Basis P&amp;L (Local)")</f>
        <v>Cost Basis P&amp;L (Local)</v>
      </c>
      <c r="AX5" s="51" t="str">
        <f ca="1">IFERROR(__xludf.DUMMYFUNCTION("""COMPUTED_VALUE"""),"Day Interest")</f>
        <v>Day Interest</v>
      </c>
      <c r="AY5" s="51" t="str">
        <f ca="1">IFERROR(__xludf.DUMMYFUNCTION("""COMPUTED_VALUE"""),"Total Interest")</f>
        <v>Total Interest</v>
      </c>
      <c r="AZ5" s="51" t="str">
        <f ca="1">IFERROR(__xludf.DUMMYFUNCTION("""COMPUTED_VALUE"""),"Market Value (Local)")</f>
        <v>Market Value (Local)</v>
      </c>
      <c r="BA5" s="51" t="str">
        <f ca="1">IFERROR(__xludf.DUMMYFUNCTION("""COMPUTED_VALUE"""),"% Gain/Loss Day")</f>
        <v>% Gain/Loss Day</v>
      </c>
      <c r="BB5" s="51" t="str">
        <f ca="1">IFERROR(__xludf.DUMMYFUNCTION("""COMPUTED_VALUE"""),"Update Time (Last Price)")</f>
        <v>Update Time (Last Price)</v>
      </c>
      <c r="BC5" s="51" t="str">
        <f ca="1">IFERROR(__xludf.DUMMYFUNCTION("""COMPUTED_VALUE"""),"Beta")</f>
        <v>Beta</v>
      </c>
      <c r="BD5" s="51" t="str">
        <f ca="1">IFERROR(__xludf.DUMMYFUNCTION("""COMPUTED_VALUE"""),"Cash Impact (Local)")</f>
        <v>Cash Impact (Local)</v>
      </c>
      <c r="BE5" s="51" t="str">
        <f ca="1">IFERROR(__xludf.DUMMYFUNCTION("""COMPUTED_VALUE"""),"User Asset")</f>
        <v>User Asset</v>
      </c>
      <c r="BF5" s="51" t="str">
        <f ca="1">IFERROR(__xludf.DUMMYFUNCTION("""COMPUTED_VALUE"""),"Security Type")</f>
        <v>Security Type</v>
      </c>
      <c r="BG5" s="51" t="str">
        <f ca="1">IFERROR(__xludf.DUMMYFUNCTION("""COMPUTED_VALUE"""),"Sector")</f>
        <v>Sector</v>
      </c>
      <c r="BH5" s="51" t="str">
        <f ca="1">IFERROR(__xludf.DUMMYFUNCTION("""COMPUTED_VALUE"""),"Sub Sector")</f>
        <v>Sub Sector</v>
      </c>
      <c r="BI5" s="51" t="str">
        <f ca="1">IFERROR(__xludf.DUMMYFUNCTION("""COMPUTED_VALUE"""),"Country")</f>
        <v>Country</v>
      </c>
      <c r="BJ5" s="51" t="str">
        <f ca="1">IFERROR(__xludf.DUMMYFUNCTION("""COMPUTED_VALUE"""),"Market Cap")</f>
        <v>Market Cap</v>
      </c>
      <c r="BK5" s="51" t="str">
        <f ca="1">IFERROR(__xludf.DUMMYFUNCTION("""COMPUTED_VALUE"""),"Shares Outstanding (MM)")</f>
        <v>Shares Outstanding (MM)</v>
      </c>
      <c r="BL5" s="51" t="str">
        <f ca="1">IFERROR(__xludf.DUMMYFUNCTION("""COMPUTED_VALUE"""),"Avg Volume 20 Day")</f>
        <v>Avg Volume 20 Day</v>
      </c>
      <c r="BM5" s="51" t="str">
        <f ca="1">IFERROR(__xludf.DUMMYFUNCTION("""COMPUTED_VALUE"""),"% Avg Volume (Delta Adj.)")</f>
        <v>% Avg Volume (Delta Adj.)</v>
      </c>
      <c r="BN5" s="51" t="str">
        <f ca="1">IFERROR(__xludf.DUMMYFUNCTION("""COMPUTED_VALUE"""),"Ex Dividend Date")</f>
        <v>Ex Dividend Date</v>
      </c>
      <c r="BO5" s="51" t="str">
        <f ca="1">IFERROR(__xludf.DUMMYFUNCTION("""COMPUTED_VALUE"""),"Cash Impact (Base)")</f>
        <v>Cash Impact (Base)</v>
      </c>
      <c r="BP5" s="51" t="str">
        <f ca="1">IFERROR(__xludf.DUMMYFUNCTION("""COMPUTED_VALUE"""),"Volatility (%)")</f>
        <v>Volatility (%)</v>
      </c>
      <c r="BQ5" s="51" t="str">
        <f ca="1">IFERROR(__xludf.DUMMYFUNCTION("""COMPUTED_VALUE"""),"User")</f>
        <v>User</v>
      </c>
      <c r="BR5" s="51" t="str">
        <f ca="1">IFERROR(__xludf.DUMMYFUNCTION("""COMPUTED_VALUE"""),"Broker")</f>
        <v>Broker</v>
      </c>
      <c r="BS5" s="51" t="str">
        <f ca="1">IFERROR(__xludf.DUMMYFUNCTION("""COMPUTED_VALUE"""),"Earned Dividend (Local)")</f>
        <v>Earned Dividend (Local)</v>
      </c>
      <c r="BT5" s="51" t="str">
        <f ca="1">IFERROR(__xludf.DUMMYFUNCTION("""COMPUTED_VALUE"""),"Earned Dividend (Base)")</f>
        <v>Earned Dividend (Base)</v>
      </c>
      <c r="BU5" s="51" t="str">
        <f ca="1">IFERROR(__xludf.DUMMYFUNCTION("""COMPUTED_VALUE"""),"Put/Call")</f>
        <v>Put/Call</v>
      </c>
      <c r="BV5" s="51" t="str">
        <f ca="1">IFERROR(__xludf.DUMMYFUNCTION("""COMPUTED_VALUE"""),"Expiration Date")</f>
        <v>Expiration Date</v>
      </c>
      <c r="BW5" s="51" t="str">
        <f ca="1">IFERROR(__xludf.DUMMYFUNCTION("""COMPUTED_VALUE"""),"Strike Price")</f>
        <v>Strike Price</v>
      </c>
      <c r="BX5" s="51" t="str">
        <f ca="1">IFERROR(__xludf.DUMMYFUNCTION("""COMPUTED_VALUE"""),"Gross Exposure (Base)")</f>
        <v>Gross Exposure (Base)</v>
      </c>
      <c r="BY5" s="51" t="str">
        <f ca="1">IFERROR(__xludf.DUMMYFUNCTION("""COMPUTED_VALUE"""),"Gross Market Value (Base)")</f>
        <v>Gross Market Value (Base)</v>
      </c>
      <c r="BZ5" s="51" t="str">
        <f ca="1">IFERROR(__xludf.DUMMYFUNCTION("""COMPUTED_VALUE"""),"Px Selected Feed (Local)")</f>
        <v>Px Selected Feed (Local)</v>
      </c>
      <c r="CA5" s="51" t="str">
        <f ca="1">IFERROR(__xludf.DUMMYFUNCTION("""COMPUTED_VALUE"""),"Px Selected Feed (Base)")</f>
        <v>Px Selected Feed (Base)</v>
      </c>
      <c r="CB5" s="51" t="str">
        <f ca="1">IFERROR(__xludf.DUMMYFUNCTION("""COMPUTED_VALUE"""),"Settlement Date")</f>
        <v>Settlement Date</v>
      </c>
      <c r="CC5" s="51" t="str">
        <f ca="1">IFERROR(__xludf.DUMMYFUNCTION("""COMPUTED_VALUE"""),"% Avg Volume")</f>
        <v>% Avg Volume</v>
      </c>
      <c r="CD5" s="51" t="str">
        <f ca="1">IFERROR(__xludf.DUMMYFUNCTION("""COMPUTED_VALUE"""),"Day P&amp;L (Base)(Price Gain)")</f>
        <v>Day P&amp;L (Base)(Price Gain)</v>
      </c>
      <c r="CE5" s="51" t="str">
        <f ca="1">IFERROR(__xludf.DUMMYFUNCTION("""COMPUTED_VALUE"""),"Day P&amp;L (Base)(FX Gain)")</f>
        <v>Day P&amp;L (Base)(FX Gain)</v>
      </c>
      <c r="CF5" s="51" t="str">
        <f ca="1">IFERROR(__xludf.DUMMYFUNCTION("""COMPUTED_VALUE"""),"Cost Basis P&amp;L (Base)(FX Gain)")</f>
        <v>Cost Basis P&amp;L (Base)(FX Gain)</v>
      </c>
      <c r="CG5" s="51" t="str">
        <f ca="1">IFERROR(__xludf.DUMMYFUNCTION("""COMPUTED_VALUE"""),"Cost Basis P&amp;L (Base)(Price Gain)")</f>
        <v>Cost Basis P&amp;L (Base)(Price Gain)</v>
      </c>
      <c r="CH5" s="51" t="str">
        <f ca="1">IFERROR(__xludf.DUMMYFUNCTION("""COMPUTED_VALUE"""),"% Gain/Loss Cost")</f>
        <v>% Gain/Loss Cost</v>
      </c>
      <c r="CI5" s="51" t="str">
        <f ca="1">IFERROR(__xludf.DUMMYFUNCTION("""COMPUTED_VALUE"""),"Underlying Value (Options)")</f>
        <v>Underlying Value (Options)</v>
      </c>
      <c r="CJ5" s="51" t="str">
        <f ca="1">IFERROR(__xludf.DUMMYFUNCTION("""COMPUTED_VALUE"""),"Avg Volume 20 Day (Underlying Symbol)")</f>
        <v>Avg Volume 20 Day (Underlying Symbol)</v>
      </c>
      <c r="CK5" s="51" t="str">
        <f ca="1">IFERROR(__xludf.DUMMYFUNCTION("""COMPUTED_VALUE"""),"IsStaleData")</f>
        <v>IsStaleData</v>
      </c>
      <c r="CL5" s="51" t="str">
        <f ca="1">IFERROR(__xludf.DUMMYFUNCTION("""COMPUTED_VALUE"""),"IDCO")</f>
        <v>IDCO</v>
      </c>
      <c r="CM5" s="51" t="str">
        <f ca="1">IFERROR(__xludf.DUMMYFUNCTION("""COMPUTED_VALUE"""),"OSI")</f>
        <v>OSI</v>
      </c>
      <c r="CN5" s="51" t="str">
        <f ca="1">IFERROR(__xludf.DUMMYFUNCTION("""COMPUTED_VALUE"""),"SEDOL")</f>
        <v>SEDOL</v>
      </c>
      <c r="CO5" s="51" t="str">
        <f ca="1">IFERROR(__xludf.DUMMYFUNCTION("""COMPUTED_VALUE"""),"CUSIP")</f>
        <v>CUSIP</v>
      </c>
      <c r="CP5" s="51" t="str">
        <f ca="1">IFERROR(__xludf.DUMMYFUNCTION("""COMPUTED_VALUE"""),"Bloomberg")</f>
        <v>Bloomberg</v>
      </c>
      <c r="CQ5" s="51" t="str">
        <f ca="1">IFERROR(__xludf.DUMMYFUNCTION("""COMPUTED_VALUE"""),"ISIN")</f>
        <v>ISIN</v>
      </c>
      <c r="CR5" s="51" t="str">
        <f ca="1">IFERROR(__xludf.DUMMYFUNCTION("""COMPUTED_VALUE"""),"Start Trade Date")</f>
        <v>Start Trade Date</v>
      </c>
      <c r="CS5" s="51" t="str">
        <f ca="1">IFERROR(__xludf.DUMMYFUNCTION("""COMPUTED_VALUE"""),"Cost Basis (Break Even)")</f>
        <v>Cost Basis (Break Even)</v>
      </c>
      <c r="CT5" s="51" t="str">
        <f ca="1">IFERROR(__xludf.DUMMYFUNCTION("""COMPUTED_VALUE"""),"Trade Attribute 3")</f>
        <v>Trade Attribute 3</v>
      </c>
      <c r="CU5" s="51" t="str">
        <f ca="1">IFERROR(__xludf.DUMMYFUNCTION("""COMPUTED_VALUE"""),"Trade Attribute 4")</f>
        <v>Trade Attribute 4</v>
      </c>
      <c r="CV5" s="51" t="str">
        <f ca="1">IFERROR(__xludf.DUMMYFUNCTION("""COMPUTED_VALUE"""),"Trade Attribute 5")</f>
        <v>Trade Attribute 5</v>
      </c>
      <c r="CW5" s="51" t="str">
        <f ca="1">IFERROR(__xludf.DUMMYFUNCTION("""COMPUTED_VALUE"""),"Trade Attribute 6")</f>
        <v>Trade Attribute 6</v>
      </c>
      <c r="CX5" s="51" t="str">
        <f ca="1">IFERROR(__xludf.DUMMYFUNCTION("""COMPUTED_VALUE"""),"Proxy Symbol")</f>
        <v>Proxy Symbol</v>
      </c>
      <c r="CY5" s="51" t="str">
        <f ca="1">IFERROR(__xludf.DUMMYFUNCTION("""COMPUTED_VALUE"""),"Pricing Source")</f>
        <v>Pricing Source</v>
      </c>
      <c r="CZ5" s="51" t="str">
        <f ca="1">IFERROR(__xludf.DUMMYFUNCTION("""COMPUTED_VALUE"""),"Delta Source")</f>
        <v>Delta Source</v>
      </c>
      <c r="DA5" s="51" t="str">
        <f ca="1">IFERROR(__xludf.DUMMYFUNCTION("""COMPUTED_VALUE"""),"Gross Exposure (Local)")</f>
        <v>Gross Exposure (Local)</v>
      </c>
      <c r="DB5" s="51" t="str">
        <f ca="1">IFERROR(__xludf.DUMMYFUNCTION("""COMPUTED_VALUE"""),"% Day P&amp;L (Net MV)")</f>
        <v>% Day P&amp;L (Net MV)</v>
      </c>
      <c r="DC5" s="51" t="str">
        <f ca="1">IFERROR(__xludf.DUMMYFUNCTION("""COMPUTED_VALUE"""),"Expiration Month")</f>
        <v>Expiration Month</v>
      </c>
      <c r="DD5" s="51" t="str">
        <f ca="1">IFERROR(__xludf.DUMMYFUNCTION("""COMPUTED_VALUE"""),"Delta Adj. Position (LME)")</f>
        <v>Delta Adj. Position (LME)</v>
      </c>
      <c r="DE5" s="51" t="str">
        <f ca="1">IFERROR(__xludf.DUMMYFUNCTION("""COMPUTED_VALUE"""),"Premium")</f>
        <v>Premium</v>
      </c>
      <c r="DF5" s="51" t="str">
        <f ca="1">IFERROR(__xludf.DUMMYFUNCTION("""COMPUTED_VALUE"""),"Premium $")</f>
        <v>Premium $</v>
      </c>
      <c r="DG5" s="51" t="str">
        <f ca="1">IFERROR(__xludf.DUMMYFUNCTION("""COMPUTED_VALUE"""),"Forward Points")</f>
        <v>Forward Points</v>
      </c>
      <c r="DH5" s="51" t="str">
        <f ca="1">IFERROR(__xludf.DUMMYFUNCTION("""COMPUTED_VALUE"""),"Closing Mark (Underlying)")</f>
        <v>Closing Mark (Underlying)</v>
      </c>
      <c r="DI5" s="51" t="str">
        <f ca="1">IFERROR(__xludf.DUMMYFUNCTION("""COMPUTED_VALUE"""),"% Change (Underlying Price)")</f>
        <v>% Change (Underlying Price)</v>
      </c>
      <c r="DJ5" s="51" t="str">
        <f ca="1">IFERROR(__xludf.DUMMYFUNCTION("""COMPUTED_VALUE"""),"Transaction Type")</f>
        <v>Transaction Type</v>
      </c>
      <c r="DK5" s="51" t="str">
        <f ca="1">IFERROR(__xludf.DUMMYFUNCTION("""COMPUTED_VALUE"""),"Closing Market Value (Local)")</f>
        <v>Closing Market Value (Local)</v>
      </c>
      <c r="DL5" s="51" t="str">
        <f ca="1">IFERROR(__xludf.DUMMYFUNCTION("""COMPUTED_VALUE"""),"Closing Market Value (Base)")</f>
        <v>Closing Market Value (Base)</v>
      </c>
      <c r="DM5" s="51" t="str">
        <f ca="1">IFERROR(__xludf.DUMMYFUNCTION("""COMPUTED_VALUE"""),"Closing FX Rate")</f>
        <v>Closing FX Rate</v>
      </c>
      <c r="DN5" s="51" t="str">
        <f ca="1">IFERROR(__xludf.DUMMYFUNCTION("""COMPUTED_VALUE"""),"Change In Underlying Price")</f>
        <v>Change In Underlying Price</v>
      </c>
      <c r="DO5" s="51" t="str">
        <f ca="1">IFERROR(__xludf.DUMMYFUNCTION("""COMPUTED_VALUE"""),"RIC")</f>
        <v>RIC</v>
      </c>
      <c r="DP5" s="51" t="str">
        <f ca="1">IFERROR(__xludf.DUMMYFUNCTION("""COMPUTED_VALUE"""),"Position Side Exposure (Boxed)")</f>
        <v>Position Side Exposure (Boxed)</v>
      </c>
      <c r="DQ5" s="51" t="str">
        <f ca="1">IFERROR(__xludf.DUMMYFUNCTION("""COMPUTED_VALUE"""),"Analyst")</f>
        <v>Analyst</v>
      </c>
      <c r="DR5" s="51" t="str">
        <f ca="1">IFERROR(__xludf.DUMMYFUNCTION("""COMPUTED_VALUE"""),"Country Of Risk")</f>
        <v>Country Of Risk</v>
      </c>
      <c r="DS5" s="51" t="str">
        <f ca="1">IFERROR(__xludf.DUMMYFUNCTION("""COMPUTED_VALUE"""),"Custom UDA1")</f>
        <v>Custom UDA1</v>
      </c>
      <c r="DT5" s="51" t="str">
        <f ca="1">IFERROR(__xludf.DUMMYFUNCTION("""COMPUTED_VALUE"""),"Custom UDA2")</f>
        <v>Custom UDA2</v>
      </c>
      <c r="DU5" s="51" t="str">
        <f ca="1">IFERROR(__xludf.DUMMYFUNCTION("""COMPUTED_VALUE"""),"Custom UDA3")</f>
        <v>Custom UDA3</v>
      </c>
      <c r="DV5" s="51" t="str">
        <f ca="1">IFERROR(__xludf.DUMMYFUNCTION("""COMPUTED_VALUE"""),"Custom UDA4")</f>
        <v>Custom UDA4</v>
      </c>
      <c r="DW5" s="51" t="str">
        <f ca="1">IFERROR(__xludf.DUMMYFUNCTION("""COMPUTED_VALUE"""),"Custom UDA5")</f>
        <v>Custom UDA5</v>
      </c>
      <c r="DX5" s="51" t="str">
        <f ca="1">IFERROR(__xludf.DUMMYFUNCTION("""COMPUTED_VALUE"""),"Custom UDA6")</f>
        <v>Custom UDA6</v>
      </c>
      <c r="DY5" s="51" t="str">
        <f ca="1">IFERROR(__xludf.DUMMYFUNCTION("""COMPUTED_VALUE"""),"Custom UDA7")</f>
        <v>Custom UDA7</v>
      </c>
      <c r="DZ5" s="51" t="str">
        <f ca="1">IFERROR(__xludf.DUMMYFUNCTION("""COMPUTED_VALUE"""),"Issuer")</f>
        <v>Issuer</v>
      </c>
      <c r="EA5" s="51" t="str">
        <f ca="1">IFERROR(__xludf.DUMMYFUNCTION("""COMPUTED_VALUE"""),"Liquid Tag")</f>
        <v>Liquid Tag</v>
      </c>
      <c r="EB5" s="51" t="str">
        <f ca="1">IFERROR(__xludf.DUMMYFUNCTION("""COMPUTED_VALUE"""),"Market Cap UDA")</f>
        <v>Market Cap UDA</v>
      </c>
      <c r="EC5" s="51" t="str">
        <f ca="1">IFERROR(__xludf.DUMMYFUNCTION("""COMPUTED_VALUE"""),"Region")</f>
        <v>Region</v>
      </c>
      <c r="ED5" s="51" t="str">
        <f ca="1">IFERROR(__xludf.DUMMYFUNCTION("""COMPUTED_VALUE"""),"Risk Currency")</f>
        <v>Risk Currency</v>
      </c>
      <c r="EE5" s="51" t="str">
        <f ca="1">IFERROR(__xludf.DUMMYFUNCTION("""COMPUTED_VALUE"""),"UCITS Eligible Tag")</f>
        <v>UCITS Eligible Tag</v>
      </c>
      <c r="EF5" s="51" t="str">
        <f ca="1">IFERROR(__xludf.DUMMYFUNCTION("""COMPUTED_VALUE"""),"FX Rate (Display)")</f>
        <v>FX Rate (Display)</v>
      </c>
      <c r="EG5" s="51" t="str">
        <f ca="1">IFERROR(__xludf.DUMMYFUNCTION("""COMPUTED_VALUE"""),"% Net Exposure (Base)")</f>
        <v>% Net Exposure (Base)</v>
      </c>
      <c r="EH5" s="51" t="str">
        <f ca="1">IFERROR(__xludf.DUMMYFUNCTION("""COMPUTED_VALUE"""),"% Gross Exposure (Base)")</f>
        <v>% Gross Exposure (Base)</v>
      </c>
      <c r="EI5" s="51" t="str">
        <f ca="1">IFERROR(__xludf.DUMMYFUNCTION("""COMPUTED_VALUE"""),"% Exposure (Base)")</f>
        <v>% Exposure (Base)</v>
      </c>
      <c r="EJ5" s="51" t="str">
        <f ca="1">IFERROR(__xludf.DUMMYFUNCTION("""COMPUTED_VALUE"""),"% Gross Exposure (Underlying) (Base)")</f>
        <v>% Gross Exposure (Underlying) (Base)</v>
      </c>
      <c r="EK5" s="51" t="str">
        <f ca="1">IFERROR(__xludf.DUMMYFUNCTION("""COMPUTED_VALUE"""),"% Beta Adj. Gross Exposure (Base)")</f>
        <v>% Beta Adj. Gross Exposure (Base)</v>
      </c>
      <c r="EL5" s="51" t="str">
        <f ca="1">IFERROR(__xludf.DUMMYFUNCTION("""COMPUTED_VALUE"""),"Position Side Exposure (Underlying)")</f>
        <v>Position Side Exposure (Underlying)</v>
      </c>
      <c r="EM5" s="51" t="str">
        <f ca="1">IFERROR(__xludf.DUMMYFUNCTION("""COMPUTED_VALUE"""),"Gross Exposure (Underlying) (Base)")</f>
        <v>Gross Exposure (Underlying) (Base)</v>
      </c>
      <c r="EN5" s="51" t="str">
        <f ca="1">IFERROR(__xludf.DUMMYFUNCTION("""COMPUTED_VALUE"""),"Gross Exposure (Underlying)")</f>
        <v>Gross Exposure (Underlying)</v>
      </c>
      <c r="EO5" s="51" t="str">
        <f ca="1">IFERROR(__xludf.DUMMYFUNCTION("""COMPUTED_VALUE"""),"Day Return")</f>
        <v>Day Return</v>
      </c>
      <c r="EP5" s="51" t="str">
        <f ca="1">IFERROR(__xludf.DUMMYFUNCTION("""COMPUTED_VALUE"""),"Start of Day NAV")</f>
        <v>Start of Day NAV</v>
      </c>
      <c r="EQ5" s="51" t="str">
        <f ca="1">IFERROR(__xludf.DUMMYFUNCTION("""COMPUTED_VALUE"""),"% Gross Market Value (Base)")</f>
        <v>% Gross Market Value (Base)</v>
      </c>
      <c r="ER5" s="51" t="str">
        <f ca="1">IFERROR(__xludf.DUMMYFUNCTION("""COMPUTED_VALUE"""),"Beta Adj. Gross Exposure (Underlying) (Local)")</f>
        <v>Beta Adj. Gross Exposure (Underlying) (Local)</v>
      </c>
      <c r="ES5" s="51" t="str">
        <f ca="1">IFERROR(__xludf.DUMMYFUNCTION("""COMPUTED_VALUE"""),"NAV")</f>
        <v>NAV</v>
      </c>
      <c r="ET5" s="51" t="str">
        <f ca="1">IFERROR(__xludf.DUMMYFUNCTION("""COMPUTED_VALUE"""),"% P&amp;L Contribution")</f>
        <v>% P&amp;L Contribution</v>
      </c>
      <c r="EU5" s="51" t="str">
        <f ca="1">IFERROR(__xludf.DUMMYFUNCTION("""COMPUTED_VALUE"""),"% Net Market Value (Base)")</f>
        <v>% Net Market Value (Base)</v>
      </c>
      <c r="EV5" s="51" t="str">
        <f ca="1">IFERROR(__xludf.DUMMYFUNCTION("""COMPUTED_VALUE"""),"Position Side Exposure")</f>
        <v>Position Side Exposure</v>
      </c>
      <c r="EW5" s="51" t="str">
        <f ca="1">IFERROR(__xludf.DUMMYFUNCTION("""COMPUTED_VALUE"""),"NAV (Touch)")</f>
        <v>NAV (Touch)</v>
      </c>
      <c r="EX5" s="51" t="str">
        <f ca="1">IFERROR(__xludf.DUMMYFUNCTION("""COMPUTED_VALUE"""),"IgnorePropertyChangeEvents")</f>
        <v>IgnorePropertyChangeEvents</v>
      </c>
      <c r="EY5" s="51" t="str">
        <f ca="1">IFERROR(__xludf.DUMMYFUNCTION("""COMPUTED_VALUE"""),"Trade Attribute 1")</f>
        <v>Trade Attribute 1</v>
      </c>
      <c r="EZ5" s="51" t="str">
        <f ca="1">IFERROR(__xludf.DUMMYFUNCTION("""COMPUTED_VALUE"""),"Trade Attribute 2")</f>
        <v>Trade Attribute 2</v>
      </c>
      <c r="FA5" s="51" t="str">
        <f ca="1">IFERROR(__xludf.DUMMYFUNCTION("""COMPUTED_VALUE"""),"")</f>
        <v/>
      </c>
      <c r="FB5" s="51" t="str">
        <f ca="1">IFERROR(__xludf.DUMMYFUNCTION("""COMPUTED_VALUE"""),"")</f>
        <v/>
      </c>
      <c r="FC5" s="51" t="str">
        <f ca="1">IFERROR(__xludf.DUMMYFUNCTION("""COMPUTED_VALUE"""),"")</f>
        <v/>
      </c>
      <c r="FD5" s="51" t="str">
        <f ca="1">IFERROR(__xludf.DUMMYFUNCTION("""COMPUTED_VALUE"""),"")</f>
        <v/>
      </c>
      <c r="FE5" s="51" t="str">
        <f ca="1">IFERROR(__xludf.DUMMYFUNCTION("""COMPUTED_VALUE"""),"")</f>
        <v/>
      </c>
      <c r="FF5" s="51" t="str">
        <f ca="1">IFERROR(__xludf.DUMMYFUNCTION("""COMPUTED_VALUE"""),"")</f>
        <v/>
      </c>
      <c r="FG5" s="51" t="str">
        <f ca="1">IFERROR(__xludf.DUMMYFUNCTION("""COMPUTED_VALUE"""),"")</f>
        <v/>
      </c>
      <c r="FH5" s="51" t="str">
        <f ca="1">IFERROR(__xludf.DUMMYFUNCTION("""COMPUTED_VALUE"""),"")</f>
        <v/>
      </c>
      <c r="FI5" s="51" t="str">
        <f ca="1">IFERROR(__xludf.DUMMYFUNCTION("""COMPUTED_VALUE"""),"")</f>
        <v/>
      </c>
      <c r="FJ5" s="51" t="str">
        <f ca="1">IFERROR(__xludf.DUMMYFUNCTION("""COMPUTED_VALUE"""),"")</f>
        <v/>
      </c>
    </row>
    <row r="6" spans="1:166" ht="15.75" customHeight="1">
      <c r="A6" s="52"/>
      <c r="B6" s="52"/>
      <c r="C6" s="53" t="s">
        <v>18</v>
      </c>
      <c r="D6" s="54">
        <v>100</v>
      </c>
      <c r="E6" s="53" t="s">
        <v>20</v>
      </c>
      <c r="F6" s="53" t="s">
        <v>30</v>
      </c>
      <c r="G6" s="54">
        <v>20</v>
      </c>
      <c r="H6" s="53" t="s">
        <v>33</v>
      </c>
      <c r="I6" s="54">
        <v>995000</v>
      </c>
      <c r="J6" s="55">
        <v>89.45</v>
      </c>
      <c r="K6" s="54">
        <v>0</v>
      </c>
      <c r="L6" s="54">
        <v>0</v>
      </c>
      <c r="M6" s="54">
        <v>0</v>
      </c>
      <c r="N6" s="54">
        <v>890000</v>
      </c>
      <c r="O6" s="53" t="s">
        <v>34</v>
      </c>
      <c r="P6" s="54">
        <v>21</v>
      </c>
      <c r="Q6" s="54">
        <v>895000</v>
      </c>
      <c r="R6" s="53" t="s">
        <v>35</v>
      </c>
      <c r="S6" s="53" t="s">
        <v>36</v>
      </c>
      <c r="T6" s="53" t="s">
        <v>37</v>
      </c>
      <c r="U6" s="53" t="s">
        <v>38</v>
      </c>
      <c r="V6" s="53" t="s">
        <v>39</v>
      </c>
      <c r="W6" s="53" t="s">
        <v>40</v>
      </c>
      <c r="X6" s="54">
        <v>50</v>
      </c>
      <c r="Y6" s="54">
        <v>1</v>
      </c>
      <c r="Z6" s="53" t="s">
        <v>41</v>
      </c>
      <c r="AA6" s="53" t="s">
        <v>41</v>
      </c>
      <c r="AB6" s="54">
        <v>0</v>
      </c>
      <c r="AC6" s="55">
        <v>847.62</v>
      </c>
      <c r="AD6" s="54">
        <v>0</v>
      </c>
      <c r="AE6" s="54">
        <v>5000</v>
      </c>
      <c r="AF6" s="54">
        <v>0</v>
      </c>
      <c r="AG6" s="54">
        <v>105000</v>
      </c>
      <c r="AH6" s="54">
        <v>0</v>
      </c>
      <c r="AI6" s="54">
        <v>0</v>
      </c>
      <c r="AJ6" s="54">
        <v>0</v>
      </c>
      <c r="AK6" s="54">
        <v>890000</v>
      </c>
      <c r="AL6" s="54">
        <v>0</v>
      </c>
      <c r="AM6" s="54">
        <v>1</v>
      </c>
      <c r="AN6" s="53" t="s">
        <v>42</v>
      </c>
      <c r="AO6" s="53" t="s">
        <v>41</v>
      </c>
      <c r="AP6" s="53" t="s">
        <v>33</v>
      </c>
      <c r="AQ6" s="53" t="s">
        <v>26</v>
      </c>
      <c r="AR6" s="54">
        <v>21</v>
      </c>
      <c r="AS6" s="54">
        <v>1</v>
      </c>
      <c r="AT6" s="53" t="s">
        <v>43</v>
      </c>
      <c r="AU6" s="53" t="s">
        <v>44</v>
      </c>
      <c r="AV6" s="54">
        <v>1</v>
      </c>
      <c r="AW6" s="54">
        <v>895000</v>
      </c>
      <c r="AX6" s="54">
        <v>0</v>
      </c>
      <c r="AY6" s="54">
        <v>0</v>
      </c>
      <c r="AZ6" s="54">
        <v>995000</v>
      </c>
      <c r="BA6" s="54">
        <v>890</v>
      </c>
      <c r="BB6" s="53"/>
      <c r="BC6" s="54">
        <v>1</v>
      </c>
      <c r="BD6" s="54">
        <v>0</v>
      </c>
      <c r="BE6" s="53" t="s">
        <v>45</v>
      </c>
      <c r="BF6" s="53" t="s">
        <v>46</v>
      </c>
      <c r="BG6" s="53" t="s">
        <v>47</v>
      </c>
      <c r="BH6" s="53" t="s">
        <v>48</v>
      </c>
      <c r="BI6" s="54"/>
      <c r="BJ6" s="54">
        <v>0</v>
      </c>
      <c r="BK6" s="54">
        <v>0</v>
      </c>
      <c r="BL6" s="54">
        <v>0</v>
      </c>
      <c r="BM6" s="54">
        <v>0</v>
      </c>
      <c r="BN6" s="53"/>
      <c r="BO6" s="54">
        <v>0</v>
      </c>
      <c r="BP6" s="55">
        <v>10000</v>
      </c>
      <c r="BQ6" s="53" t="s">
        <v>49</v>
      </c>
      <c r="BR6" s="53" t="s">
        <v>50</v>
      </c>
      <c r="BS6" s="54">
        <v>0</v>
      </c>
      <c r="BT6" s="54">
        <v>0</v>
      </c>
      <c r="BU6" s="53" t="s">
        <v>51</v>
      </c>
      <c r="BV6" s="53"/>
      <c r="BW6" s="54">
        <v>2000</v>
      </c>
      <c r="BX6" s="54">
        <v>0</v>
      </c>
      <c r="BY6" s="54">
        <v>995000</v>
      </c>
      <c r="BZ6" s="54">
        <v>199</v>
      </c>
      <c r="CA6" s="54">
        <v>199</v>
      </c>
      <c r="CB6" s="53"/>
      <c r="CC6" s="54">
        <v>0</v>
      </c>
      <c r="CD6" s="54">
        <v>890000</v>
      </c>
      <c r="CE6" s="54">
        <v>0</v>
      </c>
      <c r="CF6" s="54">
        <v>0</v>
      </c>
      <c r="CG6" s="54">
        <v>895000</v>
      </c>
      <c r="CH6" s="54">
        <v>895</v>
      </c>
      <c r="CI6" s="54">
        <v>105000</v>
      </c>
      <c r="CJ6" s="54">
        <v>0</v>
      </c>
      <c r="CK6" s="56" t="b">
        <v>0</v>
      </c>
      <c r="CL6" s="53" t="s">
        <v>41</v>
      </c>
      <c r="CM6" s="53" t="s">
        <v>41</v>
      </c>
      <c r="CN6" s="53" t="s">
        <v>41</v>
      </c>
      <c r="CO6" s="53" t="s">
        <v>41</v>
      </c>
      <c r="CP6" s="53" t="s">
        <v>41</v>
      </c>
      <c r="CQ6" s="53" t="s">
        <v>41</v>
      </c>
      <c r="CR6" s="54"/>
      <c r="CS6" s="54">
        <v>20</v>
      </c>
      <c r="CT6" s="53" t="s">
        <v>41</v>
      </c>
      <c r="CU6" s="53" t="s">
        <v>41</v>
      </c>
      <c r="CV6" s="53" t="s">
        <v>41</v>
      </c>
      <c r="CW6" s="53" t="s">
        <v>41</v>
      </c>
      <c r="CX6" s="53" t="s">
        <v>41</v>
      </c>
      <c r="CY6" s="53" t="s">
        <v>52</v>
      </c>
      <c r="CZ6" s="53" t="s">
        <v>53</v>
      </c>
      <c r="DA6" s="54">
        <v>0</v>
      </c>
      <c r="DB6" s="55">
        <v>89.45</v>
      </c>
      <c r="DC6" s="54"/>
      <c r="DD6" s="54">
        <v>0</v>
      </c>
      <c r="DE6" s="54">
        <v>199</v>
      </c>
      <c r="DF6" s="54">
        <v>995000</v>
      </c>
      <c r="DG6" s="54">
        <v>0</v>
      </c>
      <c r="DH6" s="54">
        <v>198</v>
      </c>
      <c r="DI6" s="55">
        <v>-89.39</v>
      </c>
      <c r="DJ6" s="53" t="s">
        <v>42</v>
      </c>
      <c r="DK6" s="54">
        <v>105000</v>
      </c>
      <c r="DL6" s="54">
        <v>105000</v>
      </c>
      <c r="DM6" s="54">
        <v>1</v>
      </c>
      <c r="DN6" s="54">
        <v>-177</v>
      </c>
      <c r="DO6" s="53" t="s">
        <v>41</v>
      </c>
      <c r="DP6" s="53" t="s">
        <v>33</v>
      </c>
      <c r="DQ6" s="53" t="s">
        <v>54</v>
      </c>
      <c r="DR6" s="53" t="s">
        <v>55</v>
      </c>
      <c r="DS6" s="53" t="s">
        <v>56</v>
      </c>
      <c r="DT6" s="53" t="s">
        <v>57</v>
      </c>
      <c r="DU6" s="53" t="s">
        <v>58</v>
      </c>
      <c r="DV6" s="53" t="s">
        <v>59</v>
      </c>
      <c r="DW6" s="53" t="s">
        <v>60</v>
      </c>
      <c r="DX6" s="53" t="s">
        <v>61</v>
      </c>
      <c r="DY6" s="53" t="s">
        <v>62</v>
      </c>
      <c r="DZ6" s="53" t="s">
        <v>34</v>
      </c>
      <c r="EA6" s="53" t="s">
        <v>63</v>
      </c>
      <c r="EB6" s="53" t="s">
        <v>64</v>
      </c>
      <c r="EC6" s="53" t="s">
        <v>65</v>
      </c>
      <c r="ED6" s="53" t="s">
        <v>40</v>
      </c>
      <c r="EE6" s="53" t="s">
        <v>66</v>
      </c>
      <c r="EF6" s="54">
        <v>0</v>
      </c>
      <c r="EG6" s="54">
        <v>0</v>
      </c>
      <c r="EH6" s="54">
        <v>0</v>
      </c>
      <c r="EI6" s="55">
        <v>28</v>
      </c>
      <c r="EJ6" s="54">
        <v>0</v>
      </c>
      <c r="EK6" s="54">
        <v>0</v>
      </c>
      <c r="EL6" s="53" t="s">
        <v>33</v>
      </c>
      <c r="EM6" s="54">
        <v>0</v>
      </c>
      <c r="EN6" s="54">
        <v>0</v>
      </c>
      <c r="EO6" s="54">
        <v>0</v>
      </c>
      <c r="EP6" s="54">
        <v>-5050</v>
      </c>
      <c r="EQ6" s="55">
        <v>265.37</v>
      </c>
      <c r="ER6" s="54">
        <v>0</v>
      </c>
      <c r="ES6" s="54">
        <v>374950</v>
      </c>
      <c r="ET6" s="55">
        <v>237.36</v>
      </c>
      <c r="EU6" s="55">
        <v>265.37</v>
      </c>
      <c r="EV6" s="53" t="s">
        <v>33</v>
      </c>
      <c r="EW6" s="54">
        <v>374950</v>
      </c>
      <c r="EX6" s="56" t="b">
        <v>0</v>
      </c>
      <c r="EY6" s="53" t="s">
        <v>41</v>
      </c>
      <c r="EZ6" s="53" t="s">
        <v>41</v>
      </c>
      <c r="FA6" s="40"/>
      <c r="FB6" s="40"/>
      <c r="FC6" s="40"/>
      <c r="FD6" s="40"/>
      <c r="FE6" s="40"/>
      <c r="FF6" s="40"/>
      <c r="FG6" s="40"/>
      <c r="FH6" s="40"/>
      <c r="FI6" s="40"/>
      <c r="FJ6" s="40"/>
    </row>
    <row r="7" spans="1:166" ht="15.75" customHeight="1">
      <c r="A7" s="38"/>
      <c r="B7" s="38"/>
      <c r="C7" s="53" t="s">
        <v>22</v>
      </c>
      <c r="D7" s="54">
        <v>-100</v>
      </c>
      <c r="E7" s="53" t="s">
        <v>20</v>
      </c>
      <c r="F7" s="53" t="s">
        <v>30</v>
      </c>
      <c r="G7" s="54">
        <v>30</v>
      </c>
      <c r="H7" s="53" t="s">
        <v>67</v>
      </c>
      <c r="I7" s="54">
        <v>-670000</v>
      </c>
      <c r="J7" s="55">
        <v>-76.12</v>
      </c>
      <c r="K7" s="54">
        <v>0</v>
      </c>
      <c r="L7" s="54">
        <v>0</v>
      </c>
      <c r="M7" s="54">
        <v>0</v>
      </c>
      <c r="N7" s="54">
        <v>-510000</v>
      </c>
      <c r="O7" s="53" t="s">
        <v>68</v>
      </c>
      <c r="P7" s="54">
        <v>32</v>
      </c>
      <c r="Q7" s="54">
        <v>-520000</v>
      </c>
      <c r="R7" s="53" t="s">
        <v>35</v>
      </c>
      <c r="S7" s="53" t="s">
        <v>36</v>
      </c>
      <c r="T7" s="53" t="s">
        <v>37</v>
      </c>
      <c r="U7" s="53" t="s">
        <v>38</v>
      </c>
      <c r="V7" s="53" t="s">
        <v>39</v>
      </c>
      <c r="W7" s="53" t="s">
        <v>40</v>
      </c>
      <c r="X7" s="54">
        <v>50</v>
      </c>
      <c r="Y7" s="54">
        <v>1</v>
      </c>
      <c r="Z7" s="53" t="s">
        <v>41</v>
      </c>
      <c r="AA7" s="53" t="s">
        <v>41</v>
      </c>
      <c r="AB7" s="54">
        <v>0</v>
      </c>
      <c r="AC7" s="54">
        <v>318.75</v>
      </c>
      <c r="AD7" s="54">
        <v>0</v>
      </c>
      <c r="AE7" s="54">
        <v>-5000</v>
      </c>
      <c r="AF7" s="54">
        <v>0</v>
      </c>
      <c r="AG7" s="54">
        <v>-155000</v>
      </c>
      <c r="AH7" s="54">
        <v>0</v>
      </c>
      <c r="AI7" s="54">
        <v>0</v>
      </c>
      <c r="AJ7" s="54">
        <v>0</v>
      </c>
      <c r="AK7" s="54">
        <v>-510000</v>
      </c>
      <c r="AL7" s="54">
        <v>0</v>
      </c>
      <c r="AM7" s="54">
        <v>1</v>
      </c>
      <c r="AN7" s="53" t="s">
        <v>69</v>
      </c>
      <c r="AO7" s="53" t="s">
        <v>41</v>
      </c>
      <c r="AP7" s="53" t="s">
        <v>33</v>
      </c>
      <c r="AQ7" s="53" t="s">
        <v>27</v>
      </c>
      <c r="AR7" s="54">
        <v>31</v>
      </c>
      <c r="AS7" s="54">
        <v>-1</v>
      </c>
      <c r="AT7" s="53" t="s">
        <v>43</v>
      </c>
      <c r="AU7" s="53" t="s">
        <v>44</v>
      </c>
      <c r="AV7" s="54">
        <v>1</v>
      </c>
      <c r="AW7" s="54">
        <v>-520000</v>
      </c>
      <c r="AX7" s="54">
        <v>0</v>
      </c>
      <c r="AY7" s="54">
        <v>0</v>
      </c>
      <c r="AZ7" s="54">
        <v>-670000</v>
      </c>
      <c r="BA7" s="54">
        <v>-340</v>
      </c>
      <c r="BB7" s="53"/>
      <c r="BC7" s="54">
        <v>1</v>
      </c>
      <c r="BD7" s="54">
        <v>0</v>
      </c>
      <c r="BE7" s="53" t="s">
        <v>70</v>
      </c>
      <c r="BF7" s="53" t="s">
        <v>46</v>
      </c>
      <c r="BG7" s="53" t="s">
        <v>47</v>
      </c>
      <c r="BH7" s="53" t="s">
        <v>48</v>
      </c>
      <c r="BI7" s="54"/>
      <c r="BJ7" s="54">
        <v>0</v>
      </c>
      <c r="BK7" s="54">
        <v>0</v>
      </c>
      <c r="BL7" s="54">
        <v>0</v>
      </c>
      <c r="BM7" s="54">
        <v>0</v>
      </c>
      <c r="BN7" s="53"/>
      <c r="BO7" s="54">
        <v>0</v>
      </c>
      <c r="BP7" s="54">
        <v>0</v>
      </c>
      <c r="BQ7" s="53" t="s">
        <v>49</v>
      </c>
      <c r="BR7" s="53" t="s">
        <v>50</v>
      </c>
      <c r="BS7" s="54">
        <v>0</v>
      </c>
      <c r="BT7" s="54">
        <v>0</v>
      </c>
      <c r="BU7" s="53" t="s">
        <v>71</v>
      </c>
      <c r="BV7" s="53"/>
      <c r="BW7" s="54">
        <v>1700</v>
      </c>
      <c r="BX7" s="54">
        <v>0</v>
      </c>
      <c r="BY7" s="54">
        <v>670000</v>
      </c>
      <c r="BZ7" s="54">
        <v>134</v>
      </c>
      <c r="CA7" s="54">
        <v>134</v>
      </c>
      <c r="CB7" s="53"/>
      <c r="CC7" s="54">
        <v>0</v>
      </c>
      <c r="CD7" s="54">
        <v>-510000</v>
      </c>
      <c r="CE7" s="54">
        <v>0</v>
      </c>
      <c r="CF7" s="54">
        <v>0</v>
      </c>
      <c r="CG7" s="54">
        <v>-520000</v>
      </c>
      <c r="CH7" s="55">
        <v>-346.67</v>
      </c>
      <c r="CI7" s="54">
        <v>155000</v>
      </c>
      <c r="CJ7" s="54">
        <v>0</v>
      </c>
      <c r="CK7" s="56" t="b">
        <v>0</v>
      </c>
      <c r="CL7" s="53" t="s">
        <v>41</v>
      </c>
      <c r="CM7" s="53" t="s">
        <v>41</v>
      </c>
      <c r="CN7" s="53" t="s">
        <v>41</v>
      </c>
      <c r="CO7" s="53" t="s">
        <v>41</v>
      </c>
      <c r="CP7" s="53" t="s">
        <v>41</v>
      </c>
      <c r="CQ7" s="53" t="s">
        <v>41</v>
      </c>
      <c r="CR7" s="54"/>
      <c r="CS7" s="54">
        <v>30</v>
      </c>
      <c r="CT7" s="53" t="s">
        <v>41</v>
      </c>
      <c r="CU7" s="53" t="s">
        <v>41</v>
      </c>
      <c r="CV7" s="53" t="s">
        <v>41</v>
      </c>
      <c r="CW7" s="53" t="s">
        <v>41</v>
      </c>
      <c r="CX7" s="53" t="s">
        <v>41</v>
      </c>
      <c r="CY7" s="53" t="s">
        <v>52</v>
      </c>
      <c r="CZ7" s="53" t="s">
        <v>53</v>
      </c>
      <c r="DA7" s="54">
        <v>0</v>
      </c>
      <c r="DB7" s="55">
        <v>76.12</v>
      </c>
      <c r="DC7" s="54"/>
      <c r="DD7" s="54">
        <v>0</v>
      </c>
      <c r="DE7" s="54">
        <v>-1535</v>
      </c>
      <c r="DF7" s="54">
        <v>7675000</v>
      </c>
      <c r="DG7" s="54">
        <v>0</v>
      </c>
      <c r="DH7" s="53"/>
      <c r="DI7" s="54">
        <v>0</v>
      </c>
      <c r="DJ7" s="53" t="s">
        <v>69</v>
      </c>
      <c r="DK7" s="54">
        <v>-160000</v>
      </c>
      <c r="DL7" s="54">
        <v>-160000</v>
      </c>
      <c r="DM7" s="54">
        <v>1</v>
      </c>
      <c r="DN7" s="54">
        <v>31</v>
      </c>
      <c r="DO7" s="53" t="s">
        <v>41</v>
      </c>
      <c r="DP7" s="53" t="s">
        <v>33</v>
      </c>
      <c r="DQ7" s="53" t="s">
        <v>54</v>
      </c>
      <c r="DR7" s="53" t="s">
        <v>55</v>
      </c>
      <c r="DS7" s="53" t="s">
        <v>56</v>
      </c>
      <c r="DT7" s="53" t="s">
        <v>57</v>
      </c>
      <c r="DU7" s="53" t="s">
        <v>58</v>
      </c>
      <c r="DV7" s="53" t="s">
        <v>59</v>
      </c>
      <c r="DW7" s="53" t="s">
        <v>60</v>
      </c>
      <c r="DX7" s="53" t="s">
        <v>61</v>
      </c>
      <c r="DY7" s="53" t="s">
        <v>62</v>
      </c>
      <c r="DZ7" s="53" t="s">
        <v>68</v>
      </c>
      <c r="EA7" s="53" t="s">
        <v>63</v>
      </c>
      <c r="EB7" s="53" t="s">
        <v>64</v>
      </c>
      <c r="EC7" s="53" t="s">
        <v>65</v>
      </c>
      <c r="ED7" s="53" t="s">
        <v>40</v>
      </c>
      <c r="EE7" s="53" t="s">
        <v>66</v>
      </c>
      <c r="EF7" s="54">
        <v>0</v>
      </c>
      <c r="EG7" s="54">
        <v>0</v>
      </c>
      <c r="EH7" s="54">
        <v>0</v>
      </c>
      <c r="EI7" s="55">
        <v>-41.34</v>
      </c>
      <c r="EJ7" s="54">
        <v>0</v>
      </c>
      <c r="EK7" s="54">
        <v>0</v>
      </c>
      <c r="EL7" s="53" t="s">
        <v>33</v>
      </c>
      <c r="EM7" s="54">
        <v>0</v>
      </c>
      <c r="EN7" s="54">
        <v>0</v>
      </c>
      <c r="EO7" s="54">
        <v>0</v>
      </c>
      <c r="EP7" s="54">
        <v>-5050</v>
      </c>
      <c r="EQ7" s="55">
        <v>178.69</v>
      </c>
      <c r="ER7" s="54">
        <v>0</v>
      </c>
      <c r="ES7" s="54">
        <v>374950</v>
      </c>
      <c r="ET7" s="55">
        <v>-136.02000000000001</v>
      </c>
      <c r="EU7" s="55">
        <v>-178.69</v>
      </c>
      <c r="EV7" s="53" t="s">
        <v>33</v>
      </c>
      <c r="EW7" s="54">
        <v>374950</v>
      </c>
      <c r="EX7" s="56" t="b">
        <v>0</v>
      </c>
      <c r="EY7" s="53" t="s">
        <v>41</v>
      </c>
      <c r="EZ7" s="53" t="s">
        <v>41</v>
      </c>
      <c r="FA7" s="40"/>
      <c r="FB7" s="40"/>
      <c r="FC7" s="40"/>
      <c r="FD7" s="40"/>
      <c r="FE7" s="40"/>
      <c r="FF7" s="40"/>
      <c r="FG7" s="40"/>
      <c r="FH7" s="40"/>
      <c r="FI7" s="40"/>
      <c r="FJ7" s="40"/>
    </row>
    <row r="8" spans="1:166" ht="15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</row>
    <row r="9" spans="1:166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</row>
    <row r="10" spans="1:166" ht="15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</row>
    <row r="11" spans="1:166" ht="15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</row>
    <row r="12" spans="1:166" ht="15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</row>
    <row r="13" spans="1:166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</row>
    <row r="14" spans="1:166" ht="15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</row>
    <row r="15" spans="1:166" ht="15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</row>
    <row r="16" spans="1:166" ht="15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</row>
    <row r="17" spans="1:166" ht="15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</row>
    <row r="18" spans="1:166" ht="15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</row>
    <row r="19" spans="1:166" ht="15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</row>
    <row r="20" spans="1:166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</row>
    <row r="21" spans="1:166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</row>
    <row r="22" spans="1:166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</row>
    <row r="23" spans="1:166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</row>
    <row r="24" spans="1:166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</row>
    <row r="25" spans="1:166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</row>
    <row r="26" spans="1:16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</row>
    <row r="27" spans="1:166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</row>
    <row r="28" spans="1:166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</row>
    <row r="29" spans="1:166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</row>
    <row r="30" spans="1:166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</row>
    <row r="31" spans="1:166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</row>
    <row r="32" spans="1:166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</row>
    <row r="33" spans="1:166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</row>
    <row r="34" spans="1:166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</row>
    <row r="35" spans="1:166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</row>
    <row r="36" spans="1:16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</row>
    <row r="37" spans="1:166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</row>
    <row r="38" spans="1:166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</row>
    <row r="39" spans="1:166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</row>
    <row r="40" spans="1:166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</row>
    <row r="41" spans="1:166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</row>
    <row r="42" spans="1:166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</row>
    <row r="43" spans="1:166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</row>
    <row r="44" spans="1:166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</row>
    <row r="45" spans="1:166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</row>
    <row r="46" spans="1:16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</row>
    <row r="47" spans="1:166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</row>
    <row r="48" spans="1:166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</row>
    <row r="49" spans="1:166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</row>
    <row r="50" spans="1:166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</row>
    <row r="51" spans="1:166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</row>
    <row r="52" spans="1:166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</row>
    <row r="53" spans="1:166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</row>
    <row r="54" spans="1:166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</row>
    <row r="55" spans="1:166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</row>
    <row r="56" spans="1:16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</row>
    <row r="57" spans="1:166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</row>
    <row r="58" spans="1:166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</row>
    <row r="59" spans="1:166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</row>
    <row r="60" spans="1:166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</row>
    <row r="61" spans="1:166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</row>
    <row r="62" spans="1:166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</row>
    <row r="63" spans="1:166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</row>
    <row r="64" spans="1:166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</row>
    <row r="65" spans="1:166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</row>
    <row r="66" spans="1:1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</row>
    <row r="67" spans="1:166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</row>
    <row r="68" spans="1:166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</row>
    <row r="69" spans="1:166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</row>
    <row r="70" spans="1:166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</row>
    <row r="71" spans="1:166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</row>
    <row r="72" spans="1:166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</row>
    <row r="73" spans="1:166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</row>
    <row r="74" spans="1:166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</row>
    <row r="75" spans="1:166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</row>
    <row r="76" spans="1:16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</row>
    <row r="77" spans="1:166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</row>
    <row r="78" spans="1:166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</row>
    <row r="79" spans="1:166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</row>
    <row r="80" spans="1:166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</row>
    <row r="81" spans="1:166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</row>
    <row r="82" spans="1:166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</row>
    <row r="83" spans="1:166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</row>
    <row r="84" spans="1:166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</row>
    <row r="85" spans="1:166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</row>
    <row r="86" spans="1:16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</row>
    <row r="87" spans="1:166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</row>
    <row r="88" spans="1:166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</row>
    <row r="89" spans="1:166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</row>
    <row r="90" spans="1:166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</row>
    <row r="91" spans="1:166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</row>
    <row r="92" spans="1:166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</row>
    <row r="93" spans="1:166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</row>
    <row r="94" spans="1:166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</row>
    <row r="95" spans="1:166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</row>
    <row r="96" spans="1:16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</row>
    <row r="97" spans="1:166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</row>
    <row r="98" spans="1:166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</row>
    <row r="99" spans="1:166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</row>
    <row r="100" spans="1:166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5" t="e">
        <f>VLOOKUP($E$3,_MasterData!B4:D1000,3,FALSE)</f>
        <v>#N/A</v>
      </c>
      <c r="K2" s="15"/>
      <c r="L2" s="6"/>
      <c r="M2" s="6"/>
      <c r="N2" s="6"/>
      <c r="O2" s="6"/>
    </row>
    <row r="3" spans="1:154" ht="15.75" customHeight="1">
      <c r="A3" s="16"/>
      <c r="B3" s="2" t="s">
        <v>4</v>
      </c>
      <c r="C3" s="17" t="s">
        <v>13</v>
      </c>
      <c r="D3" s="2" t="s">
        <v>5</v>
      </c>
      <c r="E3" s="17" t="s">
        <v>15</v>
      </c>
      <c r="F3" s="2" t="s">
        <v>16</v>
      </c>
      <c r="G3" s="9" t="s">
        <v>17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72</v>
      </c>
      <c r="C6" s="6"/>
      <c r="D6" s="8" t="s">
        <v>73</v>
      </c>
      <c r="E6" s="35">
        <v>1000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GetDayEndCash</vt:lpstr>
      <vt:lpstr>CheckPortfolioManagement</vt:lpstr>
      <vt:lpstr>Copy of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2021-08-04T10:53:48Z</dcterms:modified>
</cp:coreProperties>
</file>