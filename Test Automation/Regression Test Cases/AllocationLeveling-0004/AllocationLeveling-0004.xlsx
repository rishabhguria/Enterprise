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SelectUnallocatedGroup" sheetId="8" r:id="rId10"/>
    <sheet state="visible" name="EnterAllocatePreference" sheetId="9" r:id="rId11"/>
    <sheet state="visible" name="GetDataAllocation" sheetId="10" r:id="rId12"/>
    <sheet state="visible" name="CheckAllocatedGroups" sheetId="11" r:id="rId13"/>
    <sheet state="visible" name="GetDataClosing" sheetId="12" r:id="rId14"/>
    <sheet state="visible" name="VerifyLongPositionsGrid" sheetId="13" r:id="rId15"/>
    <sheet state="visible" name="GetActivityData" sheetId="14" r:id="rId16"/>
    <sheet state="visible" name="VerifyActivity" sheetId="15" r:id="rId17"/>
    <sheet state="visible" name="CheckPortfolioManagement" sheetId="16" r:id="rId18"/>
    <sheet state="visible" name="SetGeneralPreferences" sheetId="17" r:id="rId19"/>
  </sheets>
  <definedNames/>
  <calcPr/>
</workbook>
</file>

<file path=xl/sharedStrings.xml><?xml version="1.0" encoding="utf-8"?>
<sst xmlns="http://schemas.openxmlformats.org/spreadsheetml/2006/main" count="310" uniqueCount="53">
  <si>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</si>
  <si>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</si>
  <si>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</si>
  <si>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</si>
  <si>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</si>
  <si>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</si>
  <si>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</si>
  <si>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</si>
  <si>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</si>
  <si>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</si>
  <si>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</si>
  <si>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</si>
  <si>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</si>
  <si>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</si>
  <si>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</si>
  <si>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</si>
  <si>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</si>
  <si>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</si>
  <si>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</si>
  <si>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</si>
  <si>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Allocation3</t>
  </si>
  <si>
    <t>TradingTicket</t>
  </si>
  <si>
    <t>CreateDoneAwayOrder</t>
  </si>
  <si>
    <t>AAPL</t>
  </si>
  <si>
    <t>Buy</t>
  </si>
  <si>
    <t>Unallocated</t>
  </si>
  <si>
    <t>MSFT</t>
  </si>
  <si>
    <t>PricingInput</t>
  </si>
  <si>
    <t>Allocation</t>
  </si>
  <si>
    <t>SelectUnallocatedGroup</t>
  </si>
  <si>
    <t>EnterAllocatePreference</t>
  </si>
  <si>
    <t>Leveling</t>
  </si>
  <si>
    <t>Allocation1,Allocation2,Allocation3</t>
  </si>
  <si>
    <t>GetDataAllocation</t>
  </si>
  <si>
    <t>Current</t>
  </si>
  <si>
    <t>CheckAllocatedGroups</t>
  </si>
  <si>
    <t>Multiple</t>
  </si>
  <si>
    <t>Closing</t>
  </si>
  <si>
    <t>GetDataClosing</t>
  </si>
  <si>
    <t>VerifyLongPositionsGrid</t>
  </si>
  <si>
    <t>GeneralLedger</t>
  </si>
  <si>
    <t>GetActivityData</t>
  </si>
  <si>
    <t>SelectAll</t>
  </si>
  <si>
    <t>No</t>
  </si>
  <si>
    <t>Yes</t>
  </si>
  <si>
    <t>VerifyActivity</t>
  </si>
  <si>
    <t>EquityL</t>
  </si>
  <si>
    <t>PortfolioManagement</t>
  </si>
  <si>
    <t>CheckPortfolioManagement</t>
  </si>
  <si>
    <t>NewMF</t>
  </si>
  <si>
    <t>Long</t>
  </si>
  <si>
    <t>NewMF1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</si>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</sst>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45358</v>
      </c>
      <c r="C6" s="32">
        <f>TODAY()</f>
        <v>45359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18</v>
      </c>
      <c r="D8" s="13">
        <v>17500.0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13">
        <v>100.0</v>
      </c>
      <c r="F6" s="13" t="s">
        <v>17</v>
      </c>
      <c r="G6" s="8"/>
      <c r="H6" s="8"/>
      <c r="I6" s="8"/>
      <c r="J6" s="13">
        <v>4.0</v>
      </c>
      <c r="K6" s="8"/>
      <c r="L6" s="8"/>
      <c r="M6" s="8"/>
      <c r="N6" s="32">
        <f t="shared" ref="N6:N13" si="1">TODAY()</f>
        <v>45359</v>
      </c>
      <c r="O6" s="8"/>
    </row>
    <row r="7" ht="15.75" customHeight="1">
      <c r="A7" s="13"/>
      <c r="B7" s="13" t="s">
        <v>23</v>
      </c>
      <c r="C7" s="13" t="s">
        <v>24</v>
      </c>
      <c r="D7" s="13">
        <v>200.0</v>
      </c>
      <c r="E7" s="13">
        <v>200.0</v>
      </c>
      <c r="F7" s="13" t="s">
        <v>19</v>
      </c>
      <c r="G7" s="8"/>
      <c r="H7" s="8"/>
      <c r="I7" s="8"/>
      <c r="J7" s="13">
        <v>4.0</v>
      </c>
      <c r="K7" s="8"/>
      <c r="L7" s="8"/>
      <c r="M7" s="8"/>
      <c r="N7" s="32">
        <f t="shared" si="1"/>
        <v>45359</v>
      </c>
      <c r="O7" s="8"/>
    </row>
    <row r="8" ht="15.75" customHeight="1">
      <c r="A8" s="34"/>
      <c r="B8" s="35" t="s">
        <v>23</v>
      </c>
      <c r="C8" s="35" t="s">
        <v>24</v>
      </c>
      <c r="D8" s="36">
        <v>201.0</v>
      </c>
      <c r="E8" s="36">
        <v>201.0</v>
      </c>
      <c r="F8" s="37" t="s">
        <v>20</v>
      </c>
      <c r="G8" s="35"/>
      <c r="H8" s="35"/>
      <c r="I8" s="35"/>
      <c r="J8" s="38">
        <v>4.0</v>
      </c>
      <c r="K8" s="35"/>
      <c r="L8" s="35"/>
      <c r="M8" s="35"/>
      <c r="N8" s="39">
        <f t="shared" si="1"/>
        <v>45359</v>
      </c>
      <c r="O8" s="35"/>
      <c r="P8" s="35"/>
      <c r="Q8" s="35"/>
      <c r="R8" s="35"/>
      <c r="S8" s="35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0" t="s">
        <v>23</v>
      </c>
      <c r="C9" s="35" t="s">
        <v>24</v>
      </c>
      <c r="D9" s="36">
        <v>5000.0</v>
      </c>
      <c r="E9" s="36">
        <v>5000.0</v>
      </c>
      <c r="F9" s="37" t="s">
        <v>25</v>
      </c>
      <c r="G9" s="35"/>
      <c r="H9" s="35"/>
      <c r="I9" s="35"/>
      <c r="J9" s="36">
        <v>1.0</v>
      </c>
      <c r="K9" s="35"/>
      <c r="L9" s="35"/>
      <c r="M9" s="35"/>
      <c r="N9" s="39">
        <f t="shared" si="1"/>
        <v>45359</v>
      </c>
      <c r="O9" s="35"/>
      <c r="P9" s="35"/>
      <c r="Q9" s="35"/>
      <c r="R9" s="35"/>
      <c r="S9" s="35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7" t="s">
        <v>26</v>
      </c>
      <c r="C10" s="35" t="s">
        <v>24</v>
      </c>
      <c r="D10" s="36">
        <v>5000.0</v>
      </c>
      <c r="E10" s="36">
        <v>5000.0</v>
      </c>
      <c r="F10" s="37" t="s">
        <v>25</v>
      </c>
      <c r="G10" s="35"/>
      <c r="H10" s="35"/>
      <c r="I10" s="35"/>
      <c r="J10" s="36">
        <v>1.0</v>
      </c>
      <c r="K10" s="35"/>
      <c r="L10" s="35"/>
      <c r="M10" s="35"/>
      <c r="N10" s="39">
        <f t="shared" si="1"/>
        <v>45359</v>
      </c>
      <c r="O10" s="35"/>
      <c r="P10" s="35"/>
      <c r="Q10" s="35"/>
      <c r="R10" s="35"/>
      <c r="S10" s="35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13" t="s">
        <v>26</v>
      </c>
      <c r="C11" s="13" t="s">
        <v>24</v>
      </c>
      <c r="D11" s="13">
        <v>50.0</v>
      </c>
      <c r="E11" s="13">
        <v>50.0</v>
      </c>
      <c r="F11" s="13" t="s">
        <v>17</v>
      </c>
      <c r="G11" s="8"/>
      <c r="H11" s="8"/>
      <c r="I11" s="8"/>
      <c r="J11" s="13">
        <v>4.0</v>
      </c>
      <c r="K11" s="8"/>
      <c r="L11" s="8"/>
      <c r="M11" s="8"/>
      <c r="N11" s="39">
        <f t="shared" si="1"/>
        <v>45359</v>
      </c>
      <c r="O11" s="8"/>
    </row>
    <row r="12" ht="15.75" customHeight="1">
      <c r="A12" s="8"/>
      <c r="B12" s="13" t="s">
        <v>26</v>
      </c>
      <c r="C12" s="13" t="s">
        <v>24</v>
      </c>
      <c r="D12" s="13">
        <v>200.0</v>
      </c>
      <c r="E12" s="13">
        <v>200.0</v>
      </c>
      <c r="F12" s="13" t="s">
        <v>19</v>
      </c>
      <c r="G12" s="8"/>
      <c r="H12" s="8"/>
      <c r="I12" s="8"/>
      <c r="J12" s="13">
        <v>4.0</v>
      </c>
      <c r="K12" s="8"/>
      <c r="L12" s="8"/>
      <c r="M12" s="8"/>
      <c r="N12" s="39">
        <f t="shared" si="1"/>
        <v>45359</v>
      </c>
      <c r="O12" s="8"/>
    </row>
    <row r="13" ht="15.75" customHeight="1">
      <c r="A13" s="8"/>
      <c r="B13" s="13" t="s">
        <v>26</v>
      </c>
      <c r="C13" s="13" t="s">
        <v>24</v>
      </c>
      <c r="D13" s="13">
        <v>125.0</v>
      </c>
      <c r="E13" s="13">
        <v>125.0</v>
      </c>
      <c r="F13" s="13" t="s">
        <v>20</v>
      </c>
      <c r="G13" s="8"/>
      <c r="H13" s="8"/>
      <c r="I13" s="8"/>
      <c r="J13" s="13">
        <v>4.0</v>
      </c>
      <c r="K13" s="8"/>
      <c r="L13" s="8"/>
      <c r="M13" s="8"/>
      <c r="N13" s="39">
        <f t="shared" si="1"/>
        <v>45359</v>
      </c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4.0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4.0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5000.0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24</v>
      </c>
      <c r="D7" s="13">
        <v>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24.63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0</v>
      </c>
      <c r="E6" s="13" t="b">
        <v>0</v>
      </c>
      <c r="F6" s="8"/>
      <c r="G6" s="13"/>
      <c r="H6" s="13" t="s">
        <v>31</v>
      </c>
      <c r="I6" s="13" t="s">
        <v>32</v>
      </c>
      <c r="J6" s="8"/>
      <c r="K6" s="13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13">
        <v>5000.0</v>
      </c>
      <c r="F6" s="8"/>
      <c r="G6" s="8"/>
      <c r="H6" s="8"/>
      <c r="I6" s="8"/>
      <c r="J6" s="8"/>
      <c r="K6" s="13">
        <v>1.0</v>
      </c>
      <c r="L6" s="13">
        <v>1.0</v>
      </c>
      <c r="M6" s="8"/>
      <c r="N6" s="8"/>
      <c r="O6" s="8"/>
      <c r="AE6" s="13">
        <v>5000.0</v>
      </c>
      <c r="BJ6" s="13">
        <v>5000.0</v>
      </c>
      <c r="BO6" s="9" t="s">
        <v>24</v>
      </c>
      <c r="BT6" s="9" t="s">
        <v>23</v>
      </c>
    </row>
    <row r="7" ht="15.75" customHeight="1">
      <c r="A7" s="8"/>
      <c r="B7" s="13" t="s">
        <v>36</v>
      </c>
      <c r="C7" s="8"/>
      <c r="D7" s="8"/>
      <c r="E7" s="13">
        <v>5000.0</v>
      </c>
      <c r="F7" s="8"/>
      <c r="G7" s="8"/>
      <c r="H7" s="8"/>
      <c r="I7" s="8"/>
      <c r="J7" s="8"/>
      <c r="K7" s="13">
        <v>1.0</v>
      </c>
      <c r="L7" s="13">
        <v>1.0</v>
      </c>
      <c r="M7" s="8"/>
      <c r="N7" s="8"/>
      <c r="O7" s="8"/>
      <c r="AE7" s="13">
        <v>5000.0</v>
      </c>
      <c r="BJ7" s="13">
        <v>5000.0</v>
      </c>
      <c r="BO7" s="9" t="s">
        <v>24</v>
      </c>
      <c r="BT7" s="9" t="s">
        <v>26</v>
      </c>
    </row>
    <row r="8" ht="15.75" customHeight="1">
      <c r="A8" s="8"/>
      <c r="B8" s="13" t="s">
        <v>17</v>
      </c>
      <c r="C8" s="8"/>
      <c r="D8" s="8"/>
      <c r="E8" s="13">
        <v>100.0</v>
      </c>
      <c r="F8" s="8"/>
      <c r="G8" s="8"/>
      <c r="H8" s="8"/>
      <c r="I8" s="8"/>
      <c r="J8" s="8"/>
      <c r="K8" s="13">
        <v>4.0</v>
      </c>
      <c r="L8" s="13">
        <v>4.0</v>
      </c>
      <c r="M8" s="8"/>
      <c r="N8" s="8"/>
      <c r="O8" s="8"/>
      <c r="AE8" s="13">
        <v>100.0</v>
      </c>
      <c r="BJ8" s="13">
        <v>100.0</v>
      </c>
      <c r="BO8" s="9" t="s">
        <v>24</v>
      </c>
      <c r="BT8" s="9" t="s">
        <v>23</v>
      </c>
    </row>
    <row r="9" ht="15.75" customHeight="1">
      <c r="A9" s="8"/>
      <c r="B9" s="13" t="s">
        <v>19</v>
      </c>
      <c r="C9" s="8"/>
      <c r="D9" s="8"/>
      <c r="E9" s="13">
        <v>200.0</v>
      </c>
      <c r="F9" s="8"/>
      <c r="G9" s="8"/>
      <c r="H9" s="8"/>
      <c r="I9" s="8"/>
      <c r="J9" s="8"/>
      <c r="K9" s="13">
        <v>4.0</v>
      </c>
      <c r="L9" s="13">
        <v>4.0</v>
      </c>
      <c r="M9" s="8"/>
      <c r="N9" s="8"/>
      <c r="O9" s="8"/>
      <c r="AE9" s="13">
        <v>200.0</v>
      </c>
      <c r="BJ9" s="13">
        <v>200.0</v>
      </c>
      <c r="BO9" s="9" t="s">
        <v>24</v>
      </c>
      <c r="BT9" s="9" t="s">
        <v>23</v>
      </c>
    </row>
    <row r="10" ht="15.75" customHeight="1">
      <c r="A10" s="8"/>
      <c r="B10" s="13" t="s">
        <v>20</v>
      </c>
      <c r="C10" s="8"/>
      <c r="D10" s="8"/>
      <c r="E10" s="13">
        <v>201.0</v>
      </c>
      <c r="F10" s="8"/>
      <c r="G10" s="8"/>
      <c r="H10" s="8"/>
      <c r="I10" s="8"/>
      <c r="J10" s="8"/>
      <c r="K10" s="13">
        <v>4.0</v>
      </c>
      <c r="L10" s="13">
        <v>4.0</v>
      </c>
      <c r="M10" s="8"/>
      <c r="N10" s="8"/>
      <c r="O10" s="8"/>
      <c r="AE10" s="13">
        <v>201.0</v>
      </c>
      <c r="BJ10" s="13">
        <v>201.0</v>
      </c>
      <c r="BO10" s="9" t="s">
        <v>24</v>
      </c>
      <c r="BT10" s="9" t="s">
        <v>23</v>
      </c>
    </row>
    <row r="11" ht="15.75" customHeight="1">
      <c r="A11" s="8"/>
      <c r="B11" s="13" t="s">
        <v>17</v>
      </c>
      <c r="C11" s="8"/>
      <c r="D11" s="8"/>
      <c r="E11" s="13">
        <v>50.0</v>
      </c>
      <c r="F11" s="8"/>
      <c r="G11" s="8"/>
      <c r="H11" s="8"/>
      <c r="I11" s="8"/>
      <c r="J11" s="8"/>
      <c r="K11" s="13">
        <v>4.0</v>
      </c>
      <c r="L11" s="13">
        <v>4.0</v>
      </c>
      <c r="M11" s="8"/>
      <c r="N11" s="8"/>
      <c r="O11" s="8"/>
      <c r="AE11" s="13">
        <v>50.0</v>
      </c>
      <c r="BJ11" s="13">
        <v>50.0</v>
      </c>
      <c r="BO11" s="9" t="s">
        <v>24</v>
      </c>
      <c r="BT11" s="9" t="s">
        <v>26</v>
      </c>
    </row>
    <row r="12" ht="15.75" customHeight="1">
      <c r="A12" s="8"/>
      <c r="B12" s="13" t="s">
        <v>19</v>
      </c>
      <c r="C12" s="8"/>
      <c r="D12" s="8"/>
      <c r="E12" s="13">
        <v>200.0</v>
      </c>
      <c r="F12" s="8"/>
      <c r="G12" s="8"/>
      <c r="H12" s="8"/>
      <c r="I12" s="8"/>
      <c r="J12" s="8"/>
      <c r="K12" s="13">
        <v>4.0</v>
      </c>
      <c r="L12" s="13">
        <v>4.0</v>
      </c>
      <c r="M12" s="8"/>
      <c r="N12" s="8"/>
      <c r="O12" s="8"/>
      <c r="AE12" s="13">
        <v>200.0</v>
      </c>
      <c r="BJ12" s="13">
        <v>200.0</v>
      </c>
      <c r="BO12" s="9" t="s">
        <v>24</v>
      </c>
      <c r="BT12" s="9" t="s">
        <v>26</v>
      </c>
    </row>
    <row r="13" ht="15.75" customHeight="1">
      <c r="A13" s="8"/>
      <c r="B13" s="13" t="s">
        <v>20</v>
      </c>
      <c r="C13" s="8"/>
      <c r="D13" s="8"/>
      <c r="E13" s="13">
        <v>125.0</v>
      </c>
      <c r="F13" s="8"/>
      <c r="G13" s="8"/>
      <c r="H13" s="8"/>
      <c r="I13" s="8"/>
      <c r="J13" s="8"/>
      <c r="K13" s="13">
        <v>4.0</v>
      </c>
      <c r="L13" s="13">
        <v>4.0</v>
      </c>
      <c r="M13" s="8"/>
      <c r="N13" s="8"/>
      <c r="O13" s="8"/>
      <c r="AE13" s="13">
        <v>125.0</v>
      </c>
      <c r="BJ13" s="13">
        <v>125.0</v>
      </c>
      <c r="BO13" s="9" t="s">
        <v>24</v>
      </c>
      <c r="BT13" s="9" t="s">
        <v>26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3"/>
      <c r="F6" s="8"/>
      <c r="G6" s="8"/>
      <c r="H6" s="8"/>
      <c r="I6" s="13">
        <v>1.0</v>
      </c>
      <c r="J6" s="8"/>
      <c r="K6" s="8"/>
      <c r="L6" s="8"/>
      <c r="M6" s="13">
        <v>1194.0</v>
      </c>
      <c r="N6" s="8"/>
      <c r="O6" s="8"/>
      <c r="R6" s="9" t="s">
        <v>23</v>
      </c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13">
        <v>1.0</v>
      </c>
      <c r="J7" s="8"/>
      <c r="K7" s="8"/>
      <c r="L7" s="8"/>
      <c r="M7" s="13">
        <v>1214.0</v>
      </c>
      <c r="N7" s="8"/>
      <c r="O7" s="8"/>
      <c r="R7" s="9" t="s">
        <v>26</v>
      </c>
    </row>
    <row r="8" ht="15.75" customHeight="1">
      <c r="A8" s="8"/>
      <c r="B8" s="13" t="s">
        <v>17</v>
      </c>
      <c r="C8" s="8"/>
      <c r="D8" s="8"/>
      <c r="E8" s="8"/>
      <c r="F8" s="8"/>
      <c r="G8" s="8"/>
      <c r="H8" s="8"/>
      <c r="I8" s="13">
        <v>4.0</v>
      </c>
      <c r="J8" s="8"/>
      <c r="K8" s="8"/>
      <c r="L8" s="8"/>
      <c r="M8" s="13">
        <v>100.0</v>
      </c>
      <c r="N8" s="8"/>
      <c r="O8" s="8"/>
      <c r="R8" s="9" t="s">
        <v>23</v>
      </c>
    </row>
    <row r="9" ht="15.75" customHeight="1">
      <c r="A9" s="8"/>
      <c r="B9" s="13" t="s">
        <v>17</v>
      </c>
      <c r="C9" s="8"/>
      <c r="D9" s="8"/>
      <c r="E9" s="8"/>
      <c r="F9" s="8"/>
      <c r="G9" s="8"/>
      <c r="H9" s="8"/>
      <c r="I9" s="13">
        <v>4.0</v>
      </c>
      <c r="J9" s="8"/>
      <c r="K9" s="8"/>
      <c r="L9" s="8"/>
      <c r="M9" s="13">
        <v>50.0</v>
      </c>
      <c r="N9" s="8"/>
      <c r="O9" s="8"/>
      <c r="R9" s="9" t="s">
        <v>26</v>
      </c>
    </row>
    <row r="10" ht="15.75" customHeight="1">
      <c r="A10" s="8"/>
      <c r="B10" s="13" t="s">
        <v>19</v>
      </c>
      <c r="C10" s="8"/>
      <c r="D10" s="8"/>
      <c r="E10" s="8"/>
      <c r="F10" s="8"/>
      <c r="G10" s="8"/>
      <c r="H10" s="8"/>
      <c r="I10" s="13">
        <v>1.0</v>
      </c>
      <c r="J10" s="8"/>
      <c r="K10" s="8"/>
      <c r="L10" s="8"/>
      <c r="M10" s="13">
        <v>1741.0</v>
      </c>
      <c r="N10" s="8"/>
      <c r="O10" s="8"/>
      <c r="R10" s="9" t="s">
        <v>23</v>
      </c>
    </row>
    <row r="11" ht="15.75" customHeight="1">
      <c r="A11" s="8"/>
      <c r="B11" s="13" t="s">
        <v>19</v>
      </c>
      <c r="C11" s="8"/>
      <c r="D11" s="8"/>
      <c r="E11" s="8"/>
      <c r="F11" s="8"/>
      <c r="G11" s="8"/>
      <c r="H11" s="8"/>
      <c r="I11" s="13">
        <v>1.0</v>
      </c>
      <c r="J11" s="8"/>
      <c r="K11" s="8"/>
      <c r="L11" s="8"/>
      <c r="M11" s="13">
        <v>1697.0</v>
      </c>
      <c r="N11" s="8"/>
      <c r="O11" s="8"/>
      <c r="R11" s="9" t="s">
        <v>26</v>
      </c>
    </row>
    <row r="12" ht="15.75" customHeight="1">
      <c r="A12" s="8"/>
      <c r="B12" s="13" t="s">
        <v>19</v>
      </c>
      <c r="C12" s="8"/>
      <c r="D12" s="8"/>
      <c r="E12" s="8"/>
      <c r="F12" s="8"/>
      <c r="G12" s="8"/>
      <c r="H12" s="8"/>
      <c r="I12" s="13">
        <v>4.0</v>
      </c>
      <c r="J12" s="8"/>
      <c r="K12" s="8"/>
      <c r="L12" s="8"/>
      <c r="M12" s="13">
        <v>200.0</v>
      </c>
      <c r="N12" s="8"/>
      <c r="O12" s="8"/>
      <c r="R12" s="9" t="s">
        <v>23</v>
      </c>
    </row>
    <row r="13" ht="15.75" customHeight="1">
      <c r="A13" s="8"/>
      <c r="B13" s="13" t="s">
        <v>19</v>
      </c>
      <c r="C13" s="8"/>
      <c r="D13" s="8"/>
      <c r="E13" s="8"/>
      <c r="F13" s="8"/>
      <c r="G13" s="8"/>
      <c r="H13" s="8"/>
      <c r="I13" s="13">
        <v>4.0</v>
      </c>
      <c r="J13" s="8"/>
      <c r="K13" s="8"/>
      <c r="L13" s="8"/>
      <c r="M13" s="13">
        <v>200.0</v>
      </c>
      <c r="N13" s="8"/>
      <c r="O13" s="8"/>
      <c r="R13" s="9" t="s">
        <v>26</v>
      </c>
    </row>
    <row r="14" ht="15.75" customHeight="1">
      <c r="A14" s="8"/>
      <c r="B14" s="13" t="s">
        <v>20</v>
      </c>
      <c r="C14" s="8"/>
      <c r="D14" s="8"/>
      <c r="E14" s="8"/>
      <c r="F14" s="8"/>
      <c r="G14" s="8"/>
      <c r="H14" s="8"/>
      <c r="I14" s="13">
        <v>1.0</v>
      </c>
      <c r="J14" s="8"/>
      <c r="K14" s="8"/>
      <c r="L14" s="8"/>
      <c r="M14" s="13">
        <v>2065.0</v>
      </c>
      <c r="N14" s="8"/>
      <c r="O14" s="8"/>
      <c r="R14" s="9" t="s">
        <v>23</v>
      </c>
    </row>
    <row r="15" ht="15.75" customHeight="1">
      <c r="A15" s="8"/>
      <c r="B15" s="13" t="s">
        <v>20</v>
      </c>
      <c r="C15" s="8"/>
      <c r="D15" s="8"/>
      <c r="E15" s="8"/>
      <c r="F15" s="8"/>
      <c r="G15" s="8"/>
      <c r="H15" s="8"/>
      <c r="I15" s="13">
        <v>1.0</v>
      </c>
      <c r="J15" s="8"/>
      <c r="K15" s="8"/>
      <c r="L15" s="8"/>
      <c r="M15" s="13">
        <v>2089.0</v>
      </c>
      <c r="N15" s="8"/>
      <c r="O15" s="8"/>
      <c r="R15" s="9" t="s">
        <v>26</v>
      </c>
    </row>
    <row r="16" ht="15.75" customHeight="1">
      <c r="A16" s="8"/>
      <c r="B16" s="13" t="s">
        <v>20</v>
      </c>
      <c r="C16" s="8"/>
      <c r="D16" s="8"/>
      <c r="E16" s="8"/>
      <c r="F16" s="8"/>
      <c r="G16" s="8"/>
      <c r="H16" s="8"/>
      <c r="I16" s="13">
        <v>4.0</v>
      </c>
      <c r="J16" s="8"/>
      <c r="K16" s="8"/>
      <c r="L16" s="8"/>
      <c r="M16" s="13">
        <v>201.0</v>
      </c>
      <c r="N16" s="8"/>
      <c r="O16" s="8"/>
      <c r="R16" s="9" t="s">
        <v>23</v>
      </c>
    </row>
    <row r="17" ht="15.75" customHeight="1">
      <c r="A17" s="8"/>
      <c r="B17" s="13" t="s">
        <v>20</v>
      </c>
      <c r="C17" s="8"/>
      <c r="D17" s="8"/>
      <c r="E17" s="8"/>
      <c r="F17" s="8"/>
      <c r="G17" s="8"/>
      <c r="H17" s="8"/>
      <c r="I17" s="13">
        <v>4.0</v>
      </c>
      <c r="J17" s="8"/>
      <c r="K17" s="8"/>
      <c r="L17" s="8"/>
      <c r="M17" s="13">
        <v>125.0</v>
      </c>
      <c r="N17" s="8"/>
      <c r="O17" s="8"/>
      <c r="R17" s="9" t="s">
        <v>26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 t="str">
        <f>IFERROR(__xludf.DUMMYFUNCTION("""COMPUTED_VALUE"""),"SettlementDate")</f>
        <v>SettlementDate</v>
      </c>
      <c r="G5" s="28" t="str">
        <f>IFERROR(__xludf.DUMMYFUNCTION("""COMPUTED_VALUE"""),"TradeDate")</f>
        <v>TradeDate</v>
      </c>
      <c r="H5" s="28" t="str">
        <f>IFERROR(__xludf.DUMMYFUNCTION("""COMPUTED_VALUE"""),"All")</f>
        <v>All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32</v>
      </c>
      <c r="D6" s="31">
        <f t="shared" ref="D6:E6" si="1">TODAY()</f>
        <v>45359</v>
      </c>
      <c r="E6" s="31">
        <f t="shared" si="1"/>
        <v>45359</v>
      </c>
      <c r="F6" s="13" t="s">
        <v>43</v>
      </c>
      <c r="G6" s="13" t="s">
        <v>44</v>
      </c>
      <c r="H6" s="13" t="s">
        <v>43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IFERROR(__xludf.DUMMYFUNCTION("""COMPUTED_VALUE"""),"Activity Source")</f>
        <v>Activity Source</v>
      </c>
      <c r="D5" s="28" t="str">
        <f>IFERROR(__xludf.DUMMYFUNCTION("""COMPUTED_VALUE"""),"ActivityType")</f>
        <v>ActivityType</v>
      </c>
      <c r="E5" s="28" t="str">
        <f>IFERROR(__xludf.DUMMYFUNCTION("""COMPUTED_VALUE"""),"Net Amount(Local)")</f>
        <v>Net Amount(Local)</v>
      </c>
      <c r="F5" s="29" t="str">
        <f>IFERROR(__xludf.DUMMYFUNCTION("""COMPUTED_VALUE"""),"AUEC Fee1")</f>
        <v>AUEC Fee1</v>
      </c>
      <c r="G5" s="28" t="str">
        <f>IFERROR(__xludf.DUMMYFUNCTION("""COMPUTED_VALUE"""),"AUEC Fee2")</f>
        <v>AUEC Fee2</v>
      </c>
      <c r="H5" s="28" t="str">
        <f>IFERROR(__xludf.DUMMYFUNCTION("""COMPUTED_VALUE"""),"Balance Type")</f>
        <v>Balance Type</v>
      </c>
      <c r="I5" s="28" t="str">
        <f>IFERROR(__xludf.DUMMYFUNCTION("""COMPUTED_VALUE"""),"Clearing Broker Fees")</f>
        <v>Clearing Broker Fees</v>
      </c>
      <c r="J5" s="28" t="str">
        <f>IFERROR(__xludf.DUMMYFUNCTION("""COMPUTED_VALUE"""),"Commission")</f>
        <v>Commission</v>
      </c>
      <c r="K5" s="28" t="str">
        <f>IFERROR(__xludf.DUMMYFUNCTION("""COMPUTED_VALUE"""),"Currency")</f>
        <v>Currency</v>
      </c>
      <c r="L5" s="28" t="str">
        <f>IFERROR(__xludf.DUMMYFUNCTION("""COMPUTED_VALUE"""),"Description")</f>
        <v>Description</v>
      </c>
      <c r="M5" s="28" t="str">
        <f>IFERROR(__xludf.DUMMYFUNCTION("""COMPUTED_VALUE"""),"Entry Date")</f>
        <v>Entry Date</v>
      </c>
      <c r="N5" s="28" t="str">
        <f>IFERROR(__xludf.DUMMYFUNCTION("""COMPUTED_VALUE"""),"FX Conversion Method Operator")</f>
        <v>FX Conversion Method Operator</v>
      </c>
      <c r="O5" s="28" t="str">
        <f>IFERROR(__xludf.DUMMYFUNCTION("""COMPUTED_VALUE"""),"Fx Rate")</f>
        <v>Fx Rate</v>
      </c>
      <c r="P5" s="28" t="str">
        <f>IFERROR(__xludf.DUMMYFUNCTION("""COMPUTED_VALUE"""),"Lead Currency")</f>
        <v>Lead Currency</v>
      </c>
      <c r="Q5" s="28" t="str">
        <f>IFERROR(__xludf.DUMMYFUNCTION("""COMPUTED_VALUE"""),"Modify date")</f>
        <v>Modify date</v>
      </c>
      <c r="R5" s="28" t="str">
        <f>IFERROR(__xludf.DUMMYFUNCTION("""COMPUTED_VALUE"""),"OCC Fee")</f>
        <v>OCC Fee</v>
      </c>
      <c r="S5" s="28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IFERROR(__xludf.DUMMYFUNCTION("""COMPUTED_VALUE"""),"isRowCountCheck")</f>
        <v>isRowCountCheck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 t="s">
        <v>46</v>
      </c>
      <c r="E6" s="33"/>
      <c r="F6" s="8"/>
      <c r="G6" s="8"/>
      <c r="H6" s="8"/>
      <c r="I6" s="8"/>
      <c r="J6" s="8"/>
      <c r="K6" s="33" t="s">
        <v>18</v>
      </c>
      <c r="L6" s="8"/>
      <c r="M6" s="8"/>
      <c r="N6" s="8"/>
      <c r="O6" s="8"/>
      <c r="V6" s="41">
        <v>100.0</v>
      </c>
      <c r="AB6" s="41" t="s">
        <v>23</v>
      </c>
    </row>
    <row r="7" ht="15.75" customHeight="1">
      <c r="A7" s="8"/>
      <c r="B7" s="33" t="s">
        <v>19</v>
      </c>
      <c r="C7" s="8"/>
      <c r="D7" s="33" t="s">
        <v>46</v>
      </c>
      <c r="E7" s="8"/>
      <c r="F7" s="8"/>
      <c r="G7" s="8"/>
      <c r="H7" s="8"/>
      <c r="I7" s="8"/>
      <c r="J7" s="8"/>
      <c r="K7" s="33" t="s">
        <v>18</v>
      </c>
      <c r="L7" s="8"/>
      <c r="M7" s="8"/>
      <c r="N7" s="8"/>
      <c r="O7" s="8"/>
      <c r="V7" s="41">
        <v>200.0</v>
      </c>
      <c r="AB7" s="41" t="s">
        <v>23</v>
      </c>
    </row>
    <row r="8" ht="15.75" customHeight="1">
      <c r="A8" s="8"/>
      <c r="B8" s="33" t="s">
        <v>20</v>
      </c>
      <c r="C8" s="8"/>
      <c r="D8" s="33" t="s">
        <v>46</v>
      </c>
      <c r="E8" s="8"/>
      <c r="F8" s="8"/>
      <c r="G8" s="8"/>
      <c r="H8" s="8"/>
      <c r="I8" s="8"/>
      <c r="J8" s="8"/>
      <c r="K8" s="33" t="s">
        <v>18</v>
      </c>
      <c r="L8" s="8"/>
      <c r="M8" s="8"/>
      <c r="N8" s="8"/>
      <c r="O8" s="8"/>
      <c r="V8" s="41">
        <v>201.0</v>
      </c>
      <c r="AB8" s="41" t="s">
        <v>23</v>
      </c>
    </row>
    <row r="9" ht="15.75" customHeight="1">
      <c r="A9" s="8"/>
      <c r="B9" s="33" t="s">
        <v>19</v>
      </c>
      <c r="C9" s="8"/>
      <c r="D9" s="33" t="s">
        <v>46</v>
      </c>
      <c r="E9" s="8"/>
      <c r="F9" s="8"/>
      <c r="G9" s="8"/>
      <c r="H9" s="8"/>
      <c r="I9" s="8"/>
      <c r="J9" s="8"/>
      <c r="K9" s="33" t="s">
        <v>18</v>
      </c>
      <c r="L9" s="8"/>
      <c r="M9" s="8"/>
      <c r="N9" s="8"/>
      <c r="O9" s="8"/>
      <c r="V9" s="41">
        <v>1741.0</v>
      </c>
      <c r="AB9" s="41" t="s">
        <v>23</v>
      </c>
    </row>
    <row r="10" ht="15.75" customHeight="1">
      <c r="A10" s="8"/>
      <c r="B10" s="33" t="s">
        <v>17</v>
      </c>
      <c r="C10" s="8"/>
      <c r="D10" s="33" t="s">
        <v>46</v>
      </c>
      <c r="E10" s="8"/>
      <c r="F10" s="8"/>
      <c r="G10" s="8"/>
      <c r="H10" s="8"/>
      <c r="I10" s="8"/>
      <c r="J10" s="8"/>
      <c r="K10" s="33" t="s">
        <v>18</v>
      </c>
      <c r="L10" s="8"/>
      <c r="M10" s="8"/>
      <c r="N10" s="8"/>
      <c r="O10" s="8"/>
      <c r="V10" s="41">
        <v>1194.0</v>
      </c>
      <c r="AB10" s="41" t="s">
        <v>23</v>
      </c>
    </row>
    <row r="11" ht="15.75" customHeight="1">
      <c r="A11" s="8"/>
      <c r="B11" s="33" t="s">
        <v>20</v>
      </c>
      <c r="C11" s="8"/>
      <c r="D11" s="33" t="s">
        <v>46</v>
      </c>
      <c r="E11" s="8"/>
      <c r="F11" s="8"/>
      <c r="G11" s="8"/>
      <c r="H11" s="8"/>
      <c r="I11" s="8"/>
      <c r="J11" s="8"/>
      <c r="K11" s="33" t="s">
        <v>18</v>
      </c>
      <c r="L11" s="8"/>
      <c r="M11" s="8"/>
      <c r="N11" s="8"/>
      <c r="O11" s="8"/>
      <c r="V11" s="41">
        <v>2065.0</v>
      </c>
      <c r="AB11" s="41" t="s">
        <v>23</v>
      </c>
    </row>
    <row r="12" ht="15.75" customHeight="1">
      <c r="A12" s="8"/>
      <c r="B12" s="33" t="s">
        <v>17</v>
      </c>
      <c r="C12" s="8"/>
      <c r="D12" s="33" t="s">
        <v>46</v>
      </c>
      <c r="E12" s="8"/>
      <c r="F12" s="8"/>
      <c r="G12" s="8"/>
      <c r="H12" s="8"/>
      <c r="I12" s="8"/>
      <c r="J12" s="8"/>
      <c r="K12" s="33" t="s">
        <v>18</v>
      </c>
      <c r="L12" s="8"/>
      <c r="M12" s="8"/>
      <c r="N12" s="8"/>
      <c r="O12" s="8"/>
      <c r="V12" s="41">
        <v>50.0</v>
      </c>
      <c r="AB12" s="41" t="s">
        <v>26</v>
      </c>
    </row>
    <row r="13" ht="15.75" customHeight="1">
      <c r="A13" s="8"/>
      <c r="B13" s="33" t="s">
        <v>19</v>
      </c>
      <c r="C13" s="8"/>
      <c r="D13" s="33" t="s">
        <v>46</v>
      </c>
      <c r="E13" s="8"/>
      <c r="F13" s="8"/>
      <c r="G13" s="8"/>
      <c r="H13" s="8"/>
      <c r="I13" s="8"/>
      <c r="J13" s="8"/>
      <c r="K13" s="33" t="s">
        <v>18</v>
      </c>
      <c r="L13" s="8"/>
      <c r="M13" s="8"/>
      <c r="N13" s="8"/>
      <c r="O13" s="8"/>
      <c r="V13" s="41">
        <v>200.0</v>
      </c>
      <c r="AB13" s="41" t="s">
        <v>26</v>
      </c>
    </row>
    <row r="14" ht="15.75" customHeight="1">
      <c r="A14" s="8"/>
      <c r="B14" s="33" t="s">
        <v>20</v>
      </c>
      <c r="C14" s="8"/>
      <c r="D14" s="33" t="s">
        <v>46</v>
      </c>
      <c r="E14" s="8"/>
      <c r="F14" s="8"/>
      <c r="G14" s="8"/>
      <c r="H14" s="8"/>
      <c r="I14" s="8"/>
      <c r="J14" s="8"/>
      <c r="K14" s="33" t="s">
        <v>18</v>
      </c>
      <c r="L14" s="8"/>
      <c r="M14" s="8"/>
      <c r="N14" s="8"/>
      <c r="O14" s="8"/>
      <c r="V14" s="41">
        <v>125.0</v>
      </c>
      <c r="AB14" s="41" t="s">
        <v>26</v>
      </c>
    </row>
    <row r="15" ht="15.75" customHeight="1">
      <c r="A15" s="8"/>
      <c r="B15" s="33" t="s">
        <v>19</v>
      </c>
      <c r="C15" s="8"/>
      <c r="D15" s="33" t="s">
        <v>46</v>
      </c>
      <c r="E15" s="8"/>
      <c r="F15" s="8"/>
      <c r="G15" s="8"/>
      <c r="H15" s="8"/>
      <c r="I15" s="8"/>
      <c r="J15" s="8"/>
      <c r="K15" s="33" t="s">
        <v>18</v>
      </c>
      <c r="L15" s="8"/>
      <c r="M15" s="8"/>
      <c r="N15" s="8"/>
      <c r="O15" s="8"/>
      <c r="V15" s="41">
        <v>1697.0</v>
      </c>
      <c r="AB15" s="41" t="s">
        <v>26</v>
      </c>
    </row>
    <row r="16" ht="15.75" customHeight="1">
      <c r="A16" s="8"/>
      <c r="B16" s="33" t="s">
        <v>17</v>
      </c>
      <c r="C16" s="8"/>
      <c r="D16" s="33" t="s">
        <v>46</v>
      </c>
      <c r="E16" s="8"/>
      <c r="F16" s="8"/>
      <c r="G16" s="8"/>
      <c r="H16" s="8"/>
      <c r="I16" s="8"/>
      <c r="J16" s="8"/>
      <c r="K16" s="33" t="s">
        <v>18</v>
      </c>
      <c r="L16" s="8"/>
      <c r="M16" s="8"/>
      <c r="N16" s="8"/>
      <c r="O16" s="8"/>
      <c r="V16" s="41">
        <v>1214.0</v>
      </c>
      <c r="AB16" s="41" t="s">
        <v>26</v>
      </c>
    </row>
    <row r="17" ht="15.75" customHeight="1">
      <c r="A17" s="8"/>
      <c r="B17" s="33" t="s">
        <v>20</v>
      </c>
      <c r="C17" s="8"/>
      <c r="D17" s="33" t="s">
        <v>46</v>
      </c>
      <c r="E17" s="8"/>
      <c r="F17" s="8"/>
      <c r="G17" s="8"/>
      <c r="H17" s="8"/>
      <c r="I17" s="8"/>
      <c r="J17" s="8"/>
      <c r="K17" s="33" t="s">
        <v>18</v>
      </c>
      <c r="L17" s="8"/>
      <c r="M17" s="8"/>
      <c r="N17" s="8"/>
      <c r="O17" s="8"/>
      <c r="V17" s="41">
        <v>2089.0</v>
      </c>
      <c r="AB17" s="41" t="s">
        <v>26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  <col customWidth="1" min="151" max="151" width="23.0"/>
    <col customWidth="1" min="152" max="16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</row>
    <row r="6" ht="15.75" customHeight="1">
      <c r="A6" s="13"/>
      <c r="B6" s="13"/>
      <c r="C6" s="42" t="s">
        <v>23</v>
      </c>
      <c r="D6" s="43">
        <v>100.0</v>
      </c>
      <c r="E6" s="42" t="s">
        <v>17</v>
      </c>
      <c r="F6" s="42" t="s">
        <v>49</v>
      </c>
      <c r="G6" s="43">
        <v>4.0</v>
      </c>
      <c r="H6" s="42" t="s">
        <v>50</v>
      </c>
      <c r="I6" s="43">
        <v>400.0</v>
      </c>
      <c r="J6" s="8"/>
      <c r="K6" s="8"/>
      <c r="L6" s="8"/>
      <c r="M6" s="8"/>
      <c r="N6" s="8"/>
      <c r="O6" s="8"/>
      <c r="AN6" s="42" t="s">
        <v>24</v>
      </c>
      <c r="EU6" s="9">
        <v>0.55</v>
      </c>
    </row>
    <row r="7" ht="15.75" customHeight="1">
      <c r="A7" s="8"/>
      <c r="B7" s="8"/>
      <c r="C7" s="42" t="s">
        <v>26</v>
      </c>
      <c r="D7" s="43">
        <v>50.0</v>
      </c>
      <c r="E7" s="42" t="s">
        <v>17</v>
      </c>
      <c r="F7" s="42" t="s">
        <v>49</v>
      </c>
      <c r="G7" s="43">
        <v>4.0</v>
      </c>
      <c r="H7" s="42" t="s">
        <v>50</v>
      </c>
      <c r="I7" s="43">
        <v>200.0</v>
      </c>
      <c r="J7" s="8"/>
      <c r="K7" s="8"/>
      <c r="L7" s="8"/>
      <c r="M7" s="8"/>
      <c r="N7" s="8"/>
      <c r="O7" s="8"/>
      <c r="AN7" s="42" t="s">
        <v>24</v>
      </c>
      <c r="EU7" s="9">
        <v>0.28</v>
      </c>
    </row>
    <row r="8" ht="15.75" customHeight="1">
      <c r="A8" s="8"/>
      <c r="B8" s="8"/>
      <c r="C8" s="42" t="s">
        <v>23</v>
      </c>
      <c r="D8" s="43">
        <v>200.0</v>
      </c>
      <c r="E8" s="42" t="s">
        <v>19</v>
      </c>
      <c r="F8" s="42" t="s">
        <v>51</v>
      </c>
      <c r="G8" s="43">
        <v>4.0</v>
      </c>
      <c r="H8" s="42" t="s">
        <v>50</v>
      </c>
      <c r="I8" s="43">
        <v>800.0</v>
      </c>
      <c r="J8" s="8"/>
      <c r="K8" s="8"/>
      <c r="L8" s="8"/>
      <c r="M8" s="8"/>
      <c r="N8" s="8"/>
      <c r="O8" s="8"/>
      <c r="AN8" s="42" t="s">
        <v>24</v>
      </c>
      <c r="EU8" s="9">
        <v>1.1</v>
      </c>
    </row>
    <row r="9" ht="15.75" customHeight="1">
      <c r="A9" s="8"/>
      <c r="B9" s="8"/>
      <c r="C9" s="42" t="s">
        <v>26</v>
      </c>
      <c r="D9" s="43">
        <v>200.0</v>
      </c>
      <c r="E9" s="42" t="s">
        <v>19</v>
      </c>
      <c r="F9" s="42" t="s">
        <v>51</v>
      </c>
      <c r="G9" s="43">
        <v>4.0</v>
      </c>
      <c r="H9" s="42" t="s">
        <v>50</v>
      </c>
      <c r="I9" s="43">
        <v>800.0</v>
      </c>
      <c r="J9" s="8"/>
      <c r="K9" s="8"/>
      <c r="L9" s="8"/>
      <c r="M9" s="8"/>
      <c r="N9" s="8"/>
      <c r="O9" s="8"/>
      <c r="AN9" s="42" t="s">
        <v>24</v>
      </c>
      <c r="EU9" s="9">
        <v>1.1</v>
      </c>
    </row>
    <row r="10" ht="15.75" customHeight="1">
      <c r="A10" s="8"/>
      <c r="B10" s="8"/>
      <c r="C10" s="42" t="s">
        <v>23</v>
      </c>
      <c r="D10" s="43">
        <v>201.0</v>
      </c>
      <c r="E10" s="42" t="s">
        <v>20</v>
      </c>
      <c r="F10" s="42" t="s">
        <v>49</v>
      </c>
      <c r="G10" s="43">
        <v>4.0</v>
      </c>
      <c r="H10" s="42" t="s">
        <v>50</v>
      </c>
      <c r="I10" s="43">
        <v>804.0</v>
      </c>
      <c r="J10" s="8"/>
      <c r="K10" s="8"/>
      <c r="L10" s="8"/>
      <c r="M10" s="8"/>
      <c r="N10" s="8"/>
      <c r="O10" s="8"/>
      <c r="AN10" s="42" t="s">
        <v>24</v>
      </c>
      <c r="EU10" s="9">
        <v>1.11</v>
      </c>
    </row>
    <row r="11" ht="15.75" customHeight="1">
      <c r="A11" s="8"/>
      <c r="B11" s="8"/>
      <c r="C11" s="42" t="s">
        <v>26</v>
      </c>
      <c r="D11" s="43">
        <v>125.0</v>
      </c>
      <c r="E11" s="42" t="s">
        <v>20</v>
      </c>
      <c r="F11" s="42" t="s">
        <v>49</v>
      </c>
      <c r="G11" s="43">
        <v>4.0</v>
      </c>
      <c r="H11" s="42" t="s">
        <v>50</v>
      </c>
      <c r="I11" s="43">
        <v>500.0</v>
      </c>
      <c r="J11" s="8"/>
      <c r="K11" s="8"/>
      <c r="L11" s="8"/>
      <c r="M11" s="8"/>
      <c r="N11" s="8"/>
      <c r="O11" s="8"/>
      <c r="AN11" s="42" t="s">
        <v>24</v>
      </c>
      <c r="EU11" s="9">
        <v>0.69</v>
      </c>
    </row>
    <row r="12" ht="15.75" customHeight="1">
      <c r="A12" s="8"/>
      <c r="B12" s="8"/>
      <c r="C12" s="42" t="s">
        <v>23</v>
      </c>
      <c r="D12" s="44">
        <v>1194.0</v>
      </c>
      <c r="E12" s="42" t="s">
        <v>17</v>
      </c>
      <c r="F12" s="42" t="s">
        <v>49</v>
      </c>
      <c r="G12" s="43">
        <v>1.0</v>
      </c>
      <c r="H12" s="42" t="s">
        <v>50</v>
      </c>
      <c r="I12" s="44">
        <v>4776.0</v>
      </c>
      <c r="J12" s="8"/>
      <c r="K12" s="8"/>
      <c r="L12" s="8"/>
      <c r="M12" s="8"/>
      <c r="N12" s="8"/>
      <c r="O12" s="8"/>
      <c r="AN12" s="42" t="s">
        <v>24</v>
      </c>
      <c r="EU12" s="9">
        <v>6.59</v>
      </c>
    </row>
    <row r="13" ht="15.75" customHeight="1">
      <c r="A13" s="8"/>
      <c r="B13" s="8"/>
      <c r="C13" s="42" t="s">
        <v>26</v>
      </c>
      <c r="D13" s="44">
        <v>1214.0</v>
      </c>
      <c r="E13" s="42" t="s">
        <v>17</v>
      </c>
      <c r="F13" s="42" t="s">
        <v>49</v>
      </c>
      <c r="G13" s="43">
        <v>1.0</v>
      </c>
      <c r="H13" s="42" t="s">
        <v>50</v>
      </c>
      <c r="I13" s="44">
        <v>4856.0</v>
      </c>
      <c r="J13" s="8"/>
      <c r="K13" s="8"/>
      <c r="L13" s="8"/>
      <c r="M13" s="8"/>
      <c r="N13" s="8"/>
      <c r="O13" s="8"/>
      <c r="AN13" s="42" t="s">
        <v>24</v>
      </c>
      <c r="EU13" s="9">
        <v>6.7</v>
      </c>
    </row>
    <row r="14" ht="15.75" customHeight="1">
      <c r="A14" s="8"/>
      <c r="B14" s="8"/>
      <c r="C14" s="42" t="s">
        <v>23</v>
      </c>
      <c r="D14" s="44">
        <v>1741.0</v>
      </c>
      <c r="E14" s="42" t="s">
        <v>19</v>
      </c>
      <c r="F14" s="42" t="s">
        <v>51</v>
      </c>
      <c r="G14" s="43">
        <v>1.0</v>
      </c>
      <c r="H14" s="42" t="s">
        <v>50</v>
      </c>
      <c r="I14" s="44">
        <v>6964.0</v>
      </c>
      <c r="J14" s="8"/>
      <c r="K14" s="8"/>
      <c r="L14" s="8"/>
      <c r="M14" s="8"/>
      <c r="N14" s="8"/>
      <c r="O14" s="8"/>
      <c r="AN14" s="42" t="s">
        <v>24</v>
      </c>
      <c r="EU14" s="9">
        <v>9.61</v>
      </c>
    </row>
    <row r="15" ht="15.75" customHeight="1">
      <c r="A15" s="8"/>
      <c r="B15" s="8"/>
      <c r="C15" s="42" t="s">
        <v>26</v>
      </c>
      <c r="D15" s="44">
        <v>1697.0</v>
      </c>
      <c r="E15" s="42" t="s">
        <v>19</v>
      </c>
      <c r="F15" s="42" t="s">
        <v>51</v>
      </c>
      <c r="G15" s="43">
        <v>1.0</v>
      </c>
      <c r="H15" s="42" t="s">
        <v>50</v>
      </c>
      <c r="I15" s="44">
        <v>6788.0</v>
      </c>
      <c r="J15" s="8"/>
      <c r="K15" s="8"/>
      <c r="L15" s="8"/>
      <c r="M15" s="8"/>
      <c r="N15" s="8"/>
      <c r="O15" s="8"/>
      <c r="AN15" s="42" t="s">
        <v>24</v>
      </c>
      <c r="EU15" s="9">
        <v>9.36</v>
      </c>
    </row>
    <row r="16" ht="15.75" customHeight="1">
      <c r="A16" s="8"/>
      <c r="B16" s="8"/>
      <c r="C16" s="42" t="s">
        <v>23</v>
      </c>
      <c r="D16" s="44">
        <v>2065.0</v>
      </c>
      <c r="E16" s="42" t="s">
        <v>20</v>
      </c>
      <c r="F16" s="42" t="s">
        <v>49</v>
      </c>
      <c r="G16" s="43">
        <v>1.0</v>
      </c>
      <c r="H16" s="42" t="s">
        <v>50</v>
      </c>
      <c r="I16" s="44">
        <v>8260.0</v>
      </c>
      <c r="J16" s="8"/>
      <c r="K16" s="8"/>
      <c r="L16" s="8"/>
      <c r="M16" s="8"/>
      <c r="N16" s="8"/>
      <c r="O16" s="8"/>
      <c r="AN16" s="42" t="s">
        <v>24</v>
      </c>
      <c r="EU16" s="9">
        <v>11.39</v>
      </c>
    </row>
    <row r="17" ht="15.75" customHeight="1">
      <c r="A17" s="8"/>
      <c r="B17" s="8"/>
      <c r="C17" s="42" t="s">
        <v>26</v>
      </c>
      <c r="D17" s="44">
        <v>2089.0</v>
      </c>
      <c r="E17" s="42" t="s">
        <v>20</v>
      </c>
      <c r="F17" s="42" t="s">
        <v>49</v>
      </c>
      <c r="G17" s="43">
        <v>1.0</v>
      </c>
      <c r="H17" s="42" t="s">
        <v>50</v>
      </c>
      <c r="I17" s="44">
        <v>8356.0</v>
      </c>
      <c r="J17" s="8"/>
      <c r="K17" s="8"/>
      <c r="L17" s="8"/>
      <c r="M17" s="8"/>
      <c r="N17" s="8"/>
      <c r="O17" s="8"/>
      <c r="AN17" s="42" t="s">
        <v>24</v>
      </c>
      <c r="EU17" s="9">
        <v>11.53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33.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