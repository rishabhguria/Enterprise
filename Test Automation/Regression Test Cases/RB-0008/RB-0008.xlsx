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RunRebalance" sheetId="10" r:id="rId12"/>
  </sheets>
  <definedNames/>
  <calcPr/>
</workbook>
</file>

<file path=xl/sharedStrings.xml><?xml version="1.0" encoding="utf-8"?>
<sst xmlns="http://schemas.openxmlformats.org/spreadsheetml/2006/main" count="81" uniqueCount="35">
  <si>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</si>
  <si>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</si>
  <si>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</si>
  <si>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</si>
  <si>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</si>
  <si>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Data</t>
  </si>
  <si>
    <t>Module</t>
  </si>
  <si>
    <t>DailyValuation</t>
  </si>
  <si>
    <t>Step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</si>
  <si>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</si>
  <si>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</si>
  <si>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</si>
  <si>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</si>
  <si>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</si>
  <si>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</si>
  <si>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</si>
  <si>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Master Data Info</t>
  </si>
  <si>
    <t>Modules Info</t>
  </si>
  <si>
    <t>Modules</t>
  </si>
  <si>
    <t>Master Data Sheet</t>
  </si>
  <si>
    <t>TradingTicket</t>
  </si>
  <si>
    <t>CreateDoneAwayOrder</t>
  </si>
  <si>
    <t>AAPL</t>
  </si>
  <si>
    <t>Buy</t>
  </si>
  <si>
    <t>MSFT</t>
  </si>
  <si>
    <t>AIG</t>
  </si>
  <si>
    <t>PricingInput</t>
  </si>
  <si>
    <t>Rebalancer</t>
  </si>
  <si>
    <t>FetchAccountPositions</t>
  </si>
  <si>
    <t>Real-Time Positions</t>
  </si>
  <si>
    <t>AddCash</t>
  </si>
  <si>
    <t>Impact NAV</t>
  </si>
  <si>
    <t>None</t>
  </si>
  <si>
    <t>RunRebalance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</si>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</sst>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color rgb="FFFFFFFF"/>
      <name val="Calibri"/>
    </font>
    <font>
      <b/>
      <sz val="14.0"/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name val="Arial"/>
    </font>
    <font>
      <b/>
      <color rgb="FFFFFFFF"/>
      <name val="Arial"/>
    </font>
    <font>
      <b/>
      <color rgb="FFFFFFFF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0" fillId="0" fontId="3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6" numFmtId="0" xfId="0" applyAlignment="1" applyFont="1">
      <alignment horizontal="center" shrinkToFit="0" wrapText="0"/>
    </xf>
    <xf borderId="1" fillId="2" fontId="6" numFmtId="0" xfId="0" applyAlignment="1" applyBorder="1" applyFont="1">
      <alignment horizontal="center" shrinkToFit="0" wrapText="0"/>
    </xf>
    <xf borderId="0" fillId="2" fontId="2" numFmtId="0" xfId="0" applyFont="1"/>
    <xf borderId="0" fillId="0" fontId="5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3" fontId="7" numFmtId="0" xfId="0" applyFont="1"/>
    <xf borderId="0" fillId="4" fontId="8" numFmtId="0" xfId="0" applyAlignment="1" applyFill="1" applyFont="1">
      <alignment shrinkToFit="0" wrapText="0"/>
    </xf>
    <xf borderId="0" fillId="4" fontId="9" numFmtId="0" xfId="0" applyFont="1"/>
    <xf borderId="0" fillId="5" fontId="4" numFmtId="0" xfId="0" applyAlignment="1" applyFill="1" applyFont="1">
      <alignment shrinkToFit="0" wrapText="0"/>
    </xf>
    <xf borderId="5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7" numFmtId="0" xfId="0" applyFont="1"/>
    <xf borderId="6" fillId="0" fontId="3" numFmtId="14" xfId="0" applyAlignment="1" applyBorder="1" applyFont="1" applyNumberFormat="1">
      <alignment horizontal="right" vertical="bottom"/>
    </xf>
    <xf borderId="6" fillId="6" fontId="10" numFmtId="14" xfId="0" applyAlignment="1" applyBorder="1" applyFill="1" applyFont="1" applyNumberFormat="1">
      <alignment horizontal="left" vertical="bottom"/>
    </xf>
    <xf borderId="0" fillId="0" fontId="3" numFmtId="0" xfId="0" applyAlignment="1" applyFont="1">
      <alignment readingOrder="0" shrinkToFit="0" wrapText="0"/>
    </xf>
    <xf borderId="7" fillId="0" fontId="3" numFmtId="0" xfId="0" applyAlignment="1" applyBorder="1" applyFont="1">
      <alignment shrinkToFit="0" wrapText="0"/>
    </xf>
    <xf borderId="6" fillId="0" fontId="3" numFmtId="0" xfId="0" applyAlignment="1" applyBorder="1" applyFont="1">
      <alignment readingOrder="0" vertical="bottom"/>
    </xf>
    <xf borderId="1" fillId="2" fontId="6" numFmtId="0" xfId="0" applyAlignment="1" applyBorder="1" applyFont="1">
      <alignment horizontal="center" readingOrder="0" shrinkToFit="0" wrapText="0"/>
    </xf>
    <xf borderId="0" fillId="0" fontId="11" numFmtId="0" xfId="0" applyAlignment="1" applyFont="1">
      <alignment shrinkToFit="0" wrapText="0"/>
    </xf>
    <xf borderId="4" fillId="3" fontId="12" numFmtId="0" xfId="0" applyAlignment="1" applyBorder="1" applyFont="1">
      <alignment readingOrder="0" shrinkToFit="0" wrapText="0"/>
    </xf>
    <xf borderId="4" fillId="3" fontId="11" numFmtId="0" xfId="0" applyAlignment="1" applyBorder="1" applyFont="1">
      <alignment readingOrder="0" shrinkToFit="0" wrapText="0"/>
    </xf>
    <xf borderId="4" fillId="3" fontId="12" numFmtId="0" xfId="0" applyAlignment="1" applyBorder="1" applyFont="1">
      <alignment shrinkToFit="0" wrapText="0"/>
    </xf>
    <xf borderId="0" fillId="0" fontId="13" numFmtId="0" xfId="0" applyFont="1"/>
    <xf borderId="4" fillId="3" fontId="11" numFmtId="0" xfId="0" applyAlignment="1" applyBorder="1" applyFont="1">
      <alignment shrinkToFit="0" wrapText="0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11" numFmtId="0" xfId="0" applyAlignment="1" applyBorder="1" applyFont="1">
      <alignment vertical="bottom"/>
    </xf>
    <xf borderId="0" fillId="6" fontId="10" numFmtId="14" xfId="0" applyAlignment="1" applyFont="1" applyNumberFormat="1">
      <alignment horizontal="left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6" fontId="1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0" t="s">
        <v>17</v>
      </c>
      <c r="B1" s="2"/>
      <c r="C1" s="2"/>
      <c r="D1" s="2"/>
      <c r="E1" s="2"/>
      <c r="F1" s="3"/>
    </row>
    <row r="2" ht="15.75" customHeight="1">
      <c r="A2" s="29"/>
      <c r="B2" s="29"/>
      <c r="C2" s="29"/>
      <c r="D2" s="29"/>
      <c r="E2" s="29"/>
      <c r="F2" s="29"/>
    </row>
    <row r="3" ht="15.75" customHeight="1">
      <c r="A3" s="5" t="s">
        <v>18</v>
      </c>
      <c r="B3" s="31"/>
      <c r="C3" s="34"/>
      <c r="D3" s="34"/>
      <c r="E3" s="34"/>
      <c r="F3" s="34"/>
    </row>
    <row r="4" ht="15.75" customHeight="1">
      <c r="A4" s="4" t="str">
        <f>IFERROR(__xludf.DUMMYFUNCTION("IMPORTRANGE('_Settings'!B3,""Modules!A4:L1000"")"),"Allocation")</f>
        <v>Allocation</v>
      </c>
      <c r="B4" s="29" t="str">
        <f>IFERROR(__xludf.DUMMYFUNCTION("""COMPUTED_VALUE"""),"Allocate")</f>
        <v>Allocate</v>
      </c>
      <c r="C4" s="29" t="str">
        <f>IFERROR(__xludf.DUMMYFUNCTION("""COMPUTED_VALUE"""),"1g8wLprruaWRC_5pQcovqkv8ZCiMt5fspCOACibdkz7g")</f>
        <v>1g8wLprruaWRC_5pQcovqkv8ZCiMt5fspCOACibdkz7g</v>
      </c>
      <c r="D4" s="29" t="str">
        <f>IFERROR(__xludf.DUMMYFUNCTION("""COMPUTED_VALUE"""),"")</f>
        <v/>
      </c>
      <c r="E4" s="29" t="str">
        <f>IFERROR(__xludf.DUMMYFUNCTION("""COMPUTED_VALUE"""),"")</f>
        <v/>
      </c>
      <c r="F4" s="29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4" t="str">
        <f>IFERROR(__xludf.DUMMYFUNCTION("""COMPUTED_VALUE"""),"Allocation")</f>
        <v>Allocation</v>
      </c>
      <c r="B5" s="29" t="str">
        <f>IFERROR(__xludf.DUMMYFUNCTION("""COMPUTED_VALUE"""),"CheckAllocatedGroups")</f>
        <v>CheckAllocatedGroups</v>
      </c>
      <c r="C5" s="29" t="str">
        <f>IFERROR(__xludf.DUMMYFUNCTION("""COMPUTED_VALUE"""),"1aecq-HMDoDkIInONjPC11z5TBFHyJhv4ro66e2ZOphg")</f>
        <v>1aecq-HMDoDkIInONjPC11z5TBFHyJhv4ro66e2ZOphg</v>
      </c>
      <c r="D5" s="29" t="str">
        <f>IFERROR(__xludf.DUMMYFUNCTION("""COMPUTED_VALUE"""),"")</f>
        <v/>
      </c>
      <c r="E5" s="29" t="str">
        <f>IFERROR(__xludf.DUMMYFUNCTION("""COMPUTED_VALUE"""),"")</f>
        <v/>
      </c>
      <c r="F5" s="29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29" t="str">
        <f>IFERROR(__xludf.DUMMYFUNCTION("""COMPUTED_VALUE"""),"Allocation")</f>
        <v>Allocation</v>
      </c>
      <c r="B6" s="29" t="str">
        <f>IFERROR(__xludf.DUMMYFUNCTION("""COMPUTED_VALUE"""),"Unallocate")</f>
        <v>Unallocate</v>
      </c>
      <c r="C6" s="29" t="str">
        <f>IFERROR(__xludf.DUMMYFUNCTION("""COMPUTED_VALUE"""),"1eDZq-_vllq4jwvwpk9qGnwQUhlb-sFvyFKPBriT2dA0")</f>
        <v>1eDZq-_vllq4jwvwpk9qGnwQUhlb-sFvyFKPBriT2dA0</v>
      </c>
      <c r="D6" s="29" t="str">
        <f>IFERROR(__xludf.DUMMYFUNCTION("""COMPUTED_VALUE"""),"")</f>
        <v/>
      </c>
      <c r="E6" s="29" t="str">
        <f>IFERROR(__xludf.DUMMYFUNCTION("""COMPUTED_VALUE"""),"")</f>
        <v/>
      </c>
      <c r="F6" s="29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29" t="str">
        <f>IFERROR(__xludf.DUMMYFUNCTION("""COMPUTED_VALUE"""),"Allocation")</f>
        <v>Allocation</v>
      </c>
      <c r="B7" s="29" t="str">
        <f>IFERROR(__xludf.DUMMYFUNCTION("""COMPUTED_VALUE"""),"GetDataAllocation")</f>
        <v>GetDataAllocation</v>
      </c>
      <c r="C7" s="29" t="str">
        <f>IFERROR(__xludf.DUMMYFUNCTION("""COMPUTED_VALUE"""),"1FBTO3wCB7odq-jpQMbYHgSrAL5-rFO2_kp9Kr2iXqXE")</f>
        <v>1FBTO3wCB7odq-jpQMbYHgSrAL5-rFO2_kp9Kr2iXqXE</v>
      </c>
      <c r="D7" s="29" t="str">
        <f>IFERROR(__xludf.DUMMYFUNCTION("""COMPUTED_VALUE"""),"")</f>
        <v/>
      </c>
      <c r="E7" s="29" t="str">
        <f>IFERROR(__xludf.DUMMYFUNCTION("""COMPUTED_VALUE"""),"")</f>
        <v/>
      </c>
      <c r="F7" s="29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29" t="str">
        <f>IFERROR(__xludf.DUMMYFUNCTION("""COMPUTED_VALUE"""),"Allocation")</f>
        <v>Allocation</v>
      </c>
      <c r="B8" s="29" t="str">
        <f>IFERROR(__xludf.DUMMYFUNCTION("""COMPUTED_VALUE"""),"SelectAllocatedGroup")</f>
        <v>SelectAllocatedGroup</v>
      </c>
      <c r="C8" s="29" t="str">
        <f>IFERROR(__xludf.DUMMYFUNCTION("""COMPUTED_VALUE"""),"1G0ZkXDrIDX_loGmAyLs_Shy8hExtTELtFXERbX-HdPo")</f>
        <v>1G0ZkXDrIDX_loGmAyLs_Shy8hExtTELtFXERbX-HdPo</v>
      </c>
      <c r="D8" s="29" t="str">
        <f>IFERROR(__xludf.DUMMYFUNCTION("""COMPUTED_VALUE"""),"")</f>
        <v/>
      </c>
      <c r="E8" s="29" t="str">
        <f>IFERROR(__xludf.DUMMYFUNCTION("""COMPUTED_VALUE"""),"")</f>
        <v/>
      </c>
      <c r="F8" s="29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29" t="str">
        <f>IFERROR(__xludf.DUMMYFUNCTION("""COMPUTED_VALUE"""),"Allocation")</f>
        <v>Allocation</v>
      </c>
      <c r="B9" s="29" t="str">
        <f>IFERROR(__xludf.DUMMYFUNCTION("""COMPUTED_VALUE"""),"EditTradesAllocated")</f>
        <v>EditTradesAllocated</v>
      </c>
      <c r="C9" s="29" t="str">
        <f>IFERROR(__xludf.DUMMYFUNCTION("""COMPUTED_VALUE"""),"1YgVZ1jEVgjUF1Dp8FAj_W_zLEZCyqvNMlWJIg0Tmkq4")</f>
        <v>1YgVZ1jEVgjUF1Dp8FAj_W_zLEZCyqvNMlWJIg0Tmkq4</v>
      </c>
      <c r="D9" s="29" t="str">
        <f>IFERROR(__xludf.DUMMYFUNCTION("""COMPUTED_VALUE"""),"")</f>
        <v/>
      </c>
      <c r="E9" s="29" t="str">
        <f>IFERROR(__xludf.DUMMYFUNCTION("""COMPUTED_VALUE"""),"")</f>
        <v/>
      </c>
      <c r="F9" s="2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29" t="str">
        <f>IFERROR(__xludf.DUMMYFUNCTION("""COMPUTED_VALUE"""),"Allocation")</f>
        <v>Allocation</v>
      </c>
      <c r="B10" s="29" t="str">
        <f>IFERROR(__xludf.DUMMYFUNCTION("""COMPUTED_VALUE"""),"EditTradesUnallocated")</f>
        <v>EditTradesUnallocated</v>
      </c>
      <c r="C10" s="29" t="str">
        <f>IFERROR(__xludf.DUMMYFUNCTION("""COMPUTED_VALUE"""),"1MyB61T39MDAUyQqCUJLATzUT2f5UlE8nFq4ltWy_DJ4")</f>
        <v>1MyB61T39MDAUyQqCUJLATzUT2f5UlE8nFq4ltWy_DJ4</v>
      </c>
      <c r="D10" s="29" t="str">
        <f>IFERROR(__xludf.DUMMYFUNCTION("""COMPUTED_VALUE"""),"")</f>
        <v/>
      </c>
      <c r="E10" s="29" t="str">
        <f>IFERROR(__xludf.DUMMYFUNCTION("""COMPUTED_VALUE"""),"")</f>
        <v/>
      </c>
      <c r="F10" s="29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29" t="str">
        <f>IFERROR(__xludf.DUMMYFUNCTION("""COMPUTED_VALUE"""),"Allocation")</f>
        <v>Allocation</v>
      </c>
      <c r="B11" s="29" t="str">
        <f>IFERROR(__xludf.DUMMYFUNCTION("""COMPUTED_VALUE"""),"Reallocate")</f>
        <v>Reallocate</v>
      </c>
      <c r="C11" s="29" t="str">
        <f>IFERROR(__xludf.DUMMYFUNCTION("""COMPUTED_VALUE"""),"undefined")</f>
        <v>undefined</v>
      </c>
      <c r="D11" s="29" t="str">
        <f>IFERROR(__xludf.DUMMYFUNCTION("""COMPUTED_VALUE"""),"")</f>
        <v/>
      </c>
      <c r="E11" s="29" t="str">
        <f>IFERROR(__xludf.DUMMYFUNCTION("""COMPUTED_VALUE"""),"")</f>
        <v/>
      </c>
      <c r="F11" s="29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29" t="str">
        <f>IFERROR(__xludf.DUMMYFUNCTION("""COMPUTED_VALUE"""),"Blotter")</f>
        <v>Blotter</v>
      </c>
      <c r="B12" s="29" t="str">
        <f>IFERROR(__xludf.DUMMYFUNCTION("""COMPUTED_VALUE"""),"ReplaceFillsOnBlotter")</f>
        <v>ReplaceFillsOnBlotter</v>
      </c>
      <c r="C12" s="29" t="str">
        <f>IFERROR(__xludf.DUMMYFUNCTION("""COMPUTED_VALUE"""),"undefined")</f>
        <v>undefined</v>
      </c>
      <c r="D12" s="29" t="str">
        <f>IFERROR(__xludf.DUMMYFUNCTION("""COMPUTED_VALUE"""),"")</f>
        <v/>
      </c>
      <c r="E12" s="29" t="str">
        <f>IFERROR(__xludf.DUMMYFUNCTION("""COMPUTED_VALUE"""),"")</f>
        <v/>
      </c>
      <c r="F12" s="29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29" t="str">
        <f>IFERROR(__xludf.DUMMYFUNCTION("""COMPUTED_VALUE"""),"Blotter")</f>
        <v>Blotter</v>
      </c>
      <c r="B13" s="29" t="str">
        <f>IFERROR(__xludf.DUMMYFUNCTION("""COMPUTED_VALUE"""),"CheckBlotter")</f>
        <v>CheckBlotter</v>
      </c>
      <c r="C13" s="29" t="str">
        <f>IFERROR(__xludf.DUMMYFUNCTION("""COMPUTED_VALUE"""),"16qheLbvgC92hKxalWDlpWfHBMyDDVqHERUCc7bQiO2A")</f>
        <v>16qheLbvgC92hKxalWDlpWfHBMyDDVqHERUCc7bQiO2A</v>
      </c>
      <c r="D13" s="29" t="str">
        <f>IFERROR(__xludf.DUMMYFUNCTION("""COMPUTED_VALUE"""),"")</f>
        <v/>
      </c>
      <c r="E13" s="29" t="str">
        <f>IFERROR(__xludf.DUMMYFUNCTION("""COMPUTED_VALUE"""),"")</f>
        <v/>
      </c>
      <c r="F13" s="29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29" t="str">
        <f>IFERROR(__xludf.DUMMYFUNCTION("""COMPUTED_VALUE"""),"GeneralLedger")</f>
        <v>GeneralLedger</v>
      </c>
      <c r="B14" s="29" t="str">
        <f>IFERROR(__xludf.DUMMYFUNCTION("""COMPUTED_VALUE"""),"GetDataCash")</f>
        <v>GetDataCash</v>
      </c>
      <c r="C14" s="29" t="str">
        <f>IFERROR(__xludf.DUMMYFUNCTION("""COMPUTED_VALUE"""),"1zLd3ju-mV8f6PZiQUYLU-cAgAUwLwyoIAKuu0WgG2zI")</f>
        <v>1zLd3ju-mV8f6PZiQUYLU-cAgAUwLwyoIAKuu0WgG2zI</v>
      </c>
      <c r="D14" s="29" t="str">
        <f>IFERROR(__xludf.DUMMYFUNCTION("""COMPUTED_VALUE"""),"")</f>
        <v/>
      </c>
      <c r="E14" s="29" t="str">
        <f>IFERROR(__xludf.DUMMYFUNCTION("""COMPUTED_VALUE"""),"")</f>
        <v/>
      </c>
      <c r="F14" s="29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29" t="str">
        <f>IFERROR(__xludf.DUMMYFUNCTION("""COMPUTED_VALUE"""),"GeneralLedger")</f>
        <v>GeneralLedger</v>
      </c>
      <c r="B15" s="29" t="str">
        <f>IFERROR(__xludf.DUMMYFUNCTION("""COMPUTED_VALUE"""),"EnterCashDividends")</f>
        <v>EnterCashDividends</v>
      </c>
      <c r="C15" s="29" t="str">
        <f>IFERROR(__xludf.DUMMYFUNCTION("""COMPUTED_VALUE"""),"1sjDsI5FIL_l_G6osMJQ7e8auBgYd3R3JDaKWKV_8Og0")</f>
        <v>1sjDsI5FIL_l_G6osMJQ7e8auBgYd3R3JDaKWKV_8Og0</v>
      </c>
      <c r="D15" s="29" t="str">
        <f>IFERROR(__xludf.DUMMYFUNCTION("""COMPUTED_VALUE"""),"")</f>
        <v/>
      </c>
      <c r="E15" s="29" t="str">
        <f>IFERROR(__xludf.DUMMYFUNCTION("""COMPUTED_VALUE"""),"")</f>
        <v/>
      </c>
      <c r="F15" s="29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29" t="str">
        <f>IFERROR(__xludf.DUMMYFUNCTION("""COMPUTED_VALUE"""),"GeneralLedger")</f>
        <v>GeneralLedger</v>
      </c>
      <c r="B16" s="29" t="str">
        <f>IFERROR(__xludf.DUMMYFUNCTION("""COMPUTED_VALUE"""),"EnterNonTradingTransaction")</f>
        <v>EnterNonTradingTransaction</v>
      </c>
      <c r="C16" s="29" t="str">
        <f>IFERROR(__xludf.DUMMYFUNCTION("""COMPUTED_VALUE"""),"1xn1P_Z-3N4d2BC1SUPly2HiVZazly5ZQcS18BfaTyho")</f>
        <v>1xn1P_Z-3N4d2BC1SUPly2HiVZazly5ZQcS18BfaTyho</v>
      </c>
      <c r="D16" s="29" t="str">
        <f>IFERROR(__xludf.DUMMYFUNCTION("""COMPUTED_VALUE"""),"")</f>
        <v/>
      </c>
      <c r="E16" s="29" t="str">
        <f>IFERROR(__xludf.DUMMYFUNCTION("""COMPUTED_VALUE"""),"")</f>
        <v/>
      </c>
      <c r="F16" s="29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29" t="str">
        <f>IFERROR(__xludf.DUMMYFUNCTION("""COMPUTED_VALUE"""),"GeneralLedger")</f>
        <v>GeneralLedger</v>
      </c>
      <c r="B17" s="29" t="str">
        <f>IFERROR(__xludf.DUMMYFUNCTION("""COMPUTED_VALUE"""),"VerifyCash")</f>
        <v>VerifyCash</v>
      </c>
      <c r="C17" s="29" t="str">
        <f>IFERROR(__xludf.DUMMYFUNCTION("""COMPUTED_VALUE"""),"1vlvYPsiFAWjsnFrbkGn_fAvkwF00V3e7htalalU6QN4")</f>
        <v>1vlvYPsiFAWjsnFrbkGn_fAvkwF00V3e7htalalU6QN4</v>
      </c>
      <c r="D17" s="29" t="str">
        <f>IFERROR(__xludf.DUMMYFUNCTION("""COMPUTED_VALUE"""),"")</f>
        <v/>
      </c>
      <c r="E17" s="29" t="str">
        <f>IFERROR(__xludf.DUMMYFUNCTION("""COMPUTED_VALUE"""),"")</f>
        <v/>
      </c>
      <c r="F17" s="29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29" t="str">
        <f>IFERROR(__xludf.DUMMYFUNCTION("""COMPUTED_VALUE"""),"GeneralLedger")</f>
        <v>GeneralLedger</v>
      </c>
      <c r="B18" s="29" t="str">
        <f>IFERROR(__xludf.DUMMYFUNCTION("""COMPUTED_VALUE"""),"VerifyActivity")</f>
        <v>VerifyActivity</v>
      </c>
      <c r="C18" s="29" t="str">
        <f>IFERROR(__xludf.DUMMYFUNCTION("""COMPUTED_VALUE"""),"1o2rCg2FuoAOT5Pl8i4iFP_TwpPm0UB1dd49GbpkytfM")</f>
        <v>1o2rCg2FuoAOT5Pl8i4iFP_TwpPm0UB1dd49GbpkytfM</v>
      </c>
      <c r="D18" s="29" t="str">
        <f>IFERROR(__xludf.DUMMYFUNCTION("""COMPUTED_VALUE"""),"")</f>
        <v/>
      </c>
      <c r="E18" s="29" t="str">
        <f>IFERROR(__xludf.DUMMYFUNCTION("""COMPUTED_VALUE"""),"")</f>
        <v/>
      </c>
      <c r="F18" s="29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29" t="str">
        <f>IFERROR(__xludf.DUMMYFUNCTION("""COMPUTED_VALUE"""),"GeneralLedger")</f>
        <v>GeneralLedger</v>
      </c>
      <c r="B19" s="29" t="str">
        <f>IFERROR(__xludf.DUMMYFUNCTION("""COMPUTED_VALUE"""),"VerifyTradingTransaction")</f>
        <v>VerifyTradingTransaction</v>
      </c>
      <c r="C19" s="29" t="str">
        <f>IFERROR(__xludf.DUMMYFUNCTION("""COMPUTED_VALUE"""),"1_v2niCJ9VGNvgEBpvz030BFqEISSUhYRHyWcAJAn_Eg")</f>
        <v>1_v2niCJ9VGNvgEBpvz030BFqEISSUhYRHyWcAJAn_Eg</v>
      </c>
      <c r="D19" s="29" t="str">
        <f>IFERROR(__xludf.DUMMYFUNCTION("""COMPUTED_VALUE"""),"")</f>
        <v/>
      </c>
      <c r="E19" s="29" t="str">
        <f>IFERROR(__xludf.DUMMYFUNCTION("""COMPUTED_VALUE"""),"")</f>
        <v/>
      </c>
      <c r="F19" s="2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29" t="str">
        <f>IFERROR(__xludf.DUMMYFUNCTION("""COMPUTED_VALUE"""),"GeneralLedger")</f>
        <v>GeneralLedger</v>
      </c>
      <c r="B20" s="29" t="str">
        <f>IFERROR(__xludf.DUMMYFUNCTION("""COMPUTED_VALUE"""),"VerifyRevaluationData")</f>
        <v>VerifyRevaluationData</v>
      </c>
      <c r="C20" s="29" t="str">
        <f>IFERROR(__xludf.DUMMYFUNCTION("""COMPUTED_VALUE"""),"1hsRs1-LY0akTrMe91ArnbLtk6GUy_bKxVwMYCaiMs-8")</f>
        <v>1hsRs1-LY0akTrMe91ArnbLtk6GUy_bKxVwMYCaiMs-8</v>
      </c>
      <c r="D20" s="29" t="str">
        <f>IFERROR(__xludf.DUMMYFUNCTION("""COMPUTED_VALUE"""),"")</f>
        <v/>
      </c>
      <c r="E20" s="29" t="str">
        <f>IFERROR(__xludf.DUMMYFUNCTION("""COMPUTED_VALUE"""),"")</f>
        <v/>
      </c>
      <c r="F20" s="29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29" t="str">
        <f>IFERROR(__xludf.DUMMYFUNCTION("""COMPUTED_VALUE"""),"CorporateAction")</f>
        <v>CorporateAction</v>
      </c>
      <c r="B21" s="29" t="str">
        <f>IFERROR(__xludf.DUMMYFUNCTION("""COMPUTED_VALUE"""),"CorporateAction")</f>
        <v>CorporateAction</v>
      </c>
      <c r="C21" s="29" t="str">
        <f>IFERROR(__xludf.DUMMYFUNCTION("""COMPUTED_VALUE"""),"14rwUHTx4auE_hf60WN-tNOx3atNg7QGvErWNwVQIRqE")</f>
        <v>14rwUHTx4auE_hf60WN-tNOx3atNg7QGvErWNwVQIRqE</v>
      </c>
      <c r="D21" s="29" t="str">
        <f>IFERROR(__xludf.DUMMYFUNCTION("""COMPUTED_VALUE"""),"")</f>
        <v/>
      </c>
      <c r="E21" s="29" t="str">
        <f>IFERROR(__xludf.DUMMYFUNCTION("""COMPUTED_VALUE"""),"")</f>
        <v/>
      </c>
      <c r="F21" s="29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29" t="str">
        <f>IFERROR(__xludf.DUMMYFUNCTION("""COMPUTED_VALUE"""),"CreateTransaction")</f>
        <v>CreateTransaction</v>
      </c>
      <c r="B22" s="29" t="str">
        <f>IFERROR(__xludf.DUMMYFUNCTION("""COMPUTED_VALUE"""),"CreateTransaction")</f>
        <v>CreateTransaction</v>
      </c>
      <c r="C22" s="29" t="str">
        <f>IFERROR(__xludf.DUMMYFUNCTION("""COMPUTED_VALUE"""),"1amshi8Ns36lsDpccBK0y_9bL_pQ2rHdGNYypcgzceUg")</f>
        <v>1amshi8Ns36lsDpccBK0y_9bL_pQ2rHdGNYypcgzceUg</v>
      </c>
      <c r="D22" s="29" t="str">
        <f>IFERROR(__xludf.DUMMYFUNCTION("""COMPUTED_VALUE"""),"")</f>
        <v/>
      </c>
      <c r="E22" s="29" t="str">
        <f>IFERROR(__xludf.DUMMYFUNCTION("""COMPUTED_VALUE"""),"")</f>
        <v/>
      </c>
      <c r="F22" s="29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29" t="str">
        <f>IFERROR(__xludf.DUMMYFUNCTION("""COMPUTED_VALUE"""),"DailyValuation")</f>
        <v>DailyValuation</v>
      </c>
      <c r="B23" s="29" t="str">
        <f>IFERROR(__xludf.DUMMYFUNCTION("""COMPUTED_VALUE"""),"UpdateBeta")</f>
        <v>UpdateBeta</v>
      </c>
      <c r="C23" s="29" t="str">
        <f>IFERROR(__xludf.DUMMYFUNCTION("""COMPUTED_VALUE"""),"1YKttwHsdIskNDoo0Sl7HF2DWikROW-KA05qfT3GLIyI")</f>
        <v>1YKttwHsdIskNDoo0Sl7HF2DWikROW-KA05qfT3GLIyI</v>
      </c>
      <c r="D23" s="29" t="str">
        <f>IFERROR(__xludf.DUMMYFUNCTION("""COMPUTED_VALUE"""),"")</f>
        <v/>
      </c>
      <c r="E23" s="29" t="str">
        <f>IFERROR(__xludf.DUMMYFUNCTION("""COMPUTED_VALUE"""),"")</f>
        <v/>
      </c>
      <c r="F23" s="29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29" t="str">
        <f>IFERROR(__xludf.DUMMYFUNCTION("""COMPUTED_VALUE"""),"DailyValuation")</f>
        <v>DailyValuation</v>
      </c>
      <c r="B24" s="29" t="str">
        <f>IFERROR(__xludf.DUMMYFUNCTION("""COMPUTED_VALUE"""),"UpdateDailyCash")</f>
        <v>UpdateDailyCash</v>
      </c>
      <c r="C24" s="29" t="str">
        <f>IFERROR(__xludf.DUMMYFUNCTION("""COMPUTED_VALUE"""),"1YJ2rTp-OqQTGjubvs_cBC6fl0l94pyHI2eaLJzbddS4")</f>
        <v>1YJ2rTp-OqQTGjubvs_cBC6fl0l94pyHI2eaLJzbddS4</v>
      </c>
      <c r="D24" s="29" t="str">
        <f>IFERROR(__xludf.DUMMYFUNCTION("""COMPUTED_VALUE"""),"")</f>
        <v/>
      </c>
      <c r="E24" s="29" t="str">
        <f>IFERROR(__xludf.DUMMYFUNCTION("""COMPUTED_VALUE"""),"")</f>
        <v/>
      </c>
      <c r="F24" s="29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29" t="str">
        <f>IFERROR(__xludf.DUMMYFUNCTION("""COMPUTED_VALUE"""),"DailyValuation")</f>
        <v>DailyValuation</v>
      </c>
      <c r="B25" s="29" t="str">
        <f>IFERROR(__xludf.DUMMYFUNCTION("""COMPUTED_VALUE"""),"UpdateForexConversion")</f>
        <v>UpdateForexConversion</v>
      </c>
      <c r="C25" s="29" t="str">
        <f>IFERROR(__xludf.DUMMYFUNCTION("""COMPUTED_VALUE"""),"1mLyEfNTVFd65cnE6GfgCRD6TdpKg1BgqNIDjHCFzyO4")</f>
        <v>1mLyEfNTVFd65cnE6GfgCRD6TdpKg1BgqNIDjHCFzyO4</v>
      </c>
      <c r="D25" s="29" t="str">
        <f>IFERROR(__xludf.DUMMYFUNCTION("""COMPUTED_VALUE"""),"")</f>
        <v/>
      </c>
      <c r="E25" s="29" t="str">
        <f>IFERROR(__xludf.DUMMYFUNCTION("""COMPUTED_VALUE"""),"")</f>
        <v/>
      </c>
      <c r="F25" s="29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29" t="str">
        <f>IFERROR(__xludf.DUMMYFUNCTION("""COMPUTED_VALUE"""),"DailyValuation")</f>
        <v>DailyValuation</v>
      </c>
      <c r="B26" s="29" t="str">
        <f>IFERROR(__xludf.DUMMYFUNCTION("""COMPUTED_VALUE"""),"UpdateMarkPrice")</f>
        <v>UpdateMarkPrice</v>
      </c>
      <c r="C26" s="29" t="str">
        <f>IFERROR(__xludf.DUMMYFUNCTION("""COMPUTED_VALUE"""),"1M8d9TyOhMnA65NSIYvS6dR68SH5RL6oKahd6uz7yp6c")</f>
        <v>1M8d9TyOhMnA65NSIYvS6dR68SH5RL6oKahd6uz7yp6c</v>
      </c>
      <c r="D26" s="29" t="str">
        <f>IFERROR(__xludf.DUMMYFUNCTION("""COMPUTED_VALUE"""),"")</f>
        <v/>
      </c>
      <c r="E26" s="29" t="str">
        <f>IFERROR(__xludf.DUMMYFUNCTION("""COMPUTED_VALUE"""),"")</f>
        <v/>
      </c>
      <c r="F26" s="29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29" t="str">
        <f>IFERROR(__xludf.DUMMYFUNCTION("""COMPUTED_VALUE"""),"Import")</f>
        <v>Import</v>
      </c>
      <c r="B27" s="29" t="str">
        <f>IFERROR(__xludf.DUMMYFUNCTION("""COMPUTED_VALUE"""),"Import")</f>
        <v>Import</v>
      </c>
      <c r="C27" s="29" t="str">
        <f>IFERROR(__xludf.DUMMYFUNCTION("""COMPUTED_VALUE"""),"1Q5uOVYo1NMRks6hQRJuV8XWMPb6VFEAbSzpgP1dot1I")</f>
        <v>1Q5uOVYo1NMRks6hQRJuV8XWMPb6VFEAbSzpgP1dot1I</v>
      </c>
      <c r="D27" s="29" t="str">
        <f>IFERROR(__xludf.DUMMYFUNCTION("""COMPUTED_VALUE"""),"")</f>
        <v/>
      </c>
      <c r="E27" s="29" t="str">
        <f>IFERROR(__xludf.DUMMYFUNCTION("""COMPUTED_VALUE"""),"")</f>
        <v/>
      </c>
      <c r="F27" s="29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29" t="str">
        <f>IFERROR(__xludf.DUMMYFUNCTION("""COMPUTED_VALUE"""),"PortfolioManagement")</f>
        <v>PortfolioManagement</v>
      </c>
      <c r="B28" s="29" t="str">
        <f>IFERROR(__xludf.DUMMYFUNCTION("""COMPUTED_VALUE"""),"CheckDashboardPM")</f>
        <v>CheckDashboardPM</v>
      </c>
      <c r="C28" s="29" t="str">
        <f>IFERROR(__xludf.DUMMYFUNCTION("""COMPUTED_VALUE"""),"1iqfUyYqyebXIeNBGljH7-T8whBcywTlkBBU3dBZV06s")</f>
        <v>1iqfUyYqyebXIeNBGljH7-T8whBcywTlkBBU3dBZV06s</v>
      </c>
      <c r="D28" s="29" t="str">
        <f>IFERROR(__xludf.DUMMYFUNCTION("""COMPUTED_VALUE"""),"")</f>
        <v/>
      </c>
      <c r="E28" s="29" t="str">
        <f>IFERROR(__xludf.DUMMYFUNCTION("""COMPUTED_VALUE"""),"")</f>
        <v/>
      </c>
      <c r="F28" s="29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29" t="str">
        <f>IFERROR(__xludf.DUMMYFUNCTION("""COMPUTED_VALUE"""),"PortfolioManagement")</f>
        <v>PortfolioManagement</v>
      </c>
      <c r="B29" s="29" t="str">
        <f>IFERROR(__xludf.DUMMYFUNCTION("""COMPUTED_VALUE"""),"CheckPortfolioManagement")</f>
        <v>CheckPortfolioManagement</v>
      </c>
      <c r="C29" s="29" t="str">
        <f>IFERROR(__xludf.DUMMYFUNCTION("""COMPUTED_VALUE"""),"1u0XMlZJy_Slp7uXMwirinW7StOOdTcWD-D8V07sO0VA")</f>
        <v>1u0XMlZJy_Slp7uXMwirinW7StOOdTcWD-D8V07sO0VA</v>
      </c>
      <c r="D29" s="29" t="str">
        <f>IFERROR(__xludf.DUMMYFUNCTION("""COMPUTED_VALUE"""),"")</f>
        <v/>
      </c>
      <c r="E29" s="29" t="str">
        <f>IFERROR(__xludf.DUMMYFUNCTION("""COMPUTED_VALUE"""),"")</f>
        <v/>
      </c>
      <c r="F29" s="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29" t="str">
        <f>IFERROR(__xludf.DUMMYFUNCTION("""COMPUTED_VALUE"""),"PricingInput")</f>
        <v>PricingInput</v>
      </c>
      <c r="B30" s="29" t="str">
        <f>IFERROR(__xludf.DUMMYFUNCTION("""COMPUTED_VALUE"""),"PricingInput")</f>
        <v>PricingInput</v>
      </c>
      <c r="C30" s="29" t="str">
        <f>IFERROR(__xludf.DUMMYFUNCTION("""COMPUTED_VALUE"""),"1mh3Z5PifhJ3yzX8TPeoc3H3nteNiA0V2tWFse0rVChE")</f>
        <v>1mh3Z5PifhJ3yzX8TPeoc3H3nteNiA0V2tWFse0rVChE</v>
      </c>
      <c r="D30" s="29" t="str">
        <f>IFERROR(__xludf.DUMMYFUNCTION("""COMPUTED_VALUE"""),"")</f>
        <v/>
      </c>
      <c r="E30" s="29" t="str">
        <f>IFERROR(__xludf.DUMMYFUNCTION("""COMPUTED_VALUE"""),"")</f>
        <v/>
      </c>
      <c r="F30" s="29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29" t="str">
        <f>IFERROR(__xludf.DUMMYFUNCTION("""COMPUTED_VALUE"""),"PricingInput")</f>
        <v>PricingInput</v>
      </c>
      <c r="B31" s="29" t="str">
        <f>IFERROR(__xludf.DUMMYFUNCTION("""COMPUTED_VALUE"""),"UpdateSharesOutstanding")</f>
        <v>UpdateSharesOutstanding</v>
      </c>
      <c r="C31" s="29" t="str">
        <f>IFERROR(__xludf.DUMMYFUNCTION("""COMPUTED_VALUE"""),"1vmZ6v1OyZ8SSi8bqqjK3ap3KtM_yPA_SEcIQgYiRInY")</f>
        <v>1vmZ6v1OyZ8SSi8bqqjK3ap3KtM_yPA_SEcIQgYiRInY</v>
      </c>
      <c r="D31" s="29" t="str">
        <f>IFERROR(__xludf.DUMMYFUNCTION("""COMPUTED_VALUE"""),"")</f>
        <v/>
      </c>
      <c r="E31" s="29" t="str">
        <f>IFERROR(__xludf.DUMMYFUNCTION("""COMPUTED_VALUE"""),"")</f>
        <v/>
      </c>
      <c r="F31" s="29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29" t="str">
        <f>IFERROR(__xludf.DUMMYFUNCTION("""COMPUTED_VALUE"""),"SymbolLookup")</f>
        <v>SymbolLookup</v>
      </c>
      <c r="B32" s="29" t="str">
        <f>IFERROR(__xludf.DUMMYFUNCTION("""COMPUTED_VALUE"""),"VerifySymbolLookUp")</f>
        <v>VerifySymbolLookUp</v>
      </c>
      <c r="C32" s="29" t="str">
        <f>IFERROR(__xludf.DUMMYFUNCTION("""COMPUTED_VALUE"""),"1OiI1Pi_JAFOFi8ByMaD3_qqEXSv6yQMo_u6aGTozbl8")</f>
        <v>1OiI1Pi_JAFOFi8ByMaD3_qqEXSv6yQMo_u6aGTozbl8</v>
      </c>
      <c r="D32" s="29" t="str">
        <f>IFERROR(__xludf.DUMMYFUNCTION("""COMPUTED_VALUE"""),"")</f>
        <v/>
      </c>
      <c r="E32" s="29" t="str">
        <f>IFERROR(__xludf.DUMMYFUNCTION("""COMPUTED_VALUE"""),"")</f>
        <v/>
      </c>
      <c r="F32" s="29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29" t="str">
        <f>IFERROR(__xludf.DUMMYFUNCTION("""COMPUTED_VALUE"""),"SymbolLookup")</f>
        <v>SymbolLookup</v>
      </c>
      <c r="B33" s="29" t="str">
        <f>IFERROR(__xludf.DUMMYFUNCTION("""COMPUTED_VALUE"""),"SymbolLookupFromTT")</f>
        <v>SymbolLookupFromTT</v>
      </c>
      <c r="C33" s="29" t="str">
        <f>IFERROR(__xludf.DUMMYFUNCTION("""COMPUTED_VALUE"""),"1ubfvE9sHq5KpJ9NazeH96CrVMJqAuol5Ya9GPjxWrgI")</f>
        <v>1ubfvE9sHq5KpJ9NazeH96CrVMJqAuol5Ya9GPjxWrgI</v>
      </c>
      <c r="D33" s="29" t="str">
        <f>IFERROR(__xludf.DUMMYFUNCTION("""COMPUTED_VALUE"""),"")</f>
        <v/>
      </c>
      <c r="E33" s="29" t="str">
        <f>IFERROR(__xludf.DUMMYFUNCTION("""COMPUTED_VALUE"""),"")</f>
        <v/>
      </c>
      <c r="F33" s="29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3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2"/>
      <c r="C1" s="3"/>
    </row>
    <row r="2" ht="15.75" customHeight="1">
      <c r="A2" s="4"/>
      <c r="B2" s="4"/>
      <c r="C2" s="4"/>
    </row>
    <row r="3" ht="15.75" customHeight="1">
      <c r="A3" s="5" t="s">
        <v>1</v>
      </c>
      <c r="B3" s="6" t="s">
        <v>2</v>
      </c>
      <c r="C3" s="4"/>
    </row>
    <row r="4" ht="15.75" customHeight="1">
      <c r="A4" s="7" t="s">
        <v>3</v>
      </c>
      <c r="B4" s="6" t="s">
        <v>4</v>
      </c>
      <c r="C4" s="4"/>
    </row>
    <row r="5" ht="15.75" customHeight="1">
      <c r="A5" s="8"/>
      <c r="B5" s="4"/>
      <c r="C5" s="4"/>
    </row>
    <row r="6" ht="15.75" customHeight="1">
      <c r="A6" s="8"/>
      <c r="B6" s="4"/>
      <c r="C6" s="4"/>
    </row>
    <row r="7" ht="15.75" customHeight="1">
      <c r="A7" s="8"/>
      <c r="B7" s="4"/>
      <c r="C7" s="4"/>
    </row>
    <row r="8" ht="15.75" customHeight="1">
      <c r="A8" s="8"/>
      <c r="B8" s="4"/>
      <c r="C8" s="4"/>
    </row>
    <row r="9" ht="15.75" customHeight="1">
      <c r="A9" s="8"/>
      <c r="B9" s="4"/>
      <c r="C9" s="4"/>
    </row>
    <row r="10" ht="15.75" customHeight="1">
      <c r="A10" s="8"/>
      <c r="B10" s="4"/>
      <c r="C10" s="4"/>
    </row>
    <row r="11" ht="15.75" customHeight="1">
      <c r="A11" s="8"/>
      <c r="B11" s="4"/>
      <c r="C11" s="4"/>
    </row>
    <row r="12" ht="15.75" customHeight="1">
      <c r="A12" s="8"/>
      <c r="B12" s="4"/>
      <c r="C12" s="4"/>
    </row>
    <row r="13" ht="15.75" customHeight="1">
      <c r="A13" s="8"/>
      <c r="B13" s="4"/>
      <c r="C13" s="4"/>
    </row>
    <row r="14" ht="15.75" customHeight="1">
      <c r="A14" s="8"/>
      <c r="B14" s="4"/>
      <c r="C14" s="4"/>
    </row>
    <row r="15" ht="15.75" customHeight="1">
      <c r="A15" s="8"/>
      <c r="B15" s="4"/>
      <c r="C15" s="4"/>
    </row>
    <row r="16" ht="15.75" customHeight="1">
      <c r="A16" s="8"/>
      <c r="B16" s="4"/>
      <c r="C16" s="4"/>
    </row>
    <row r="17" ht="15.75" customHeight="1">
      <c r="A17" s="8"/>
      <c r="B17" s="4"/>
      <c r="C17" s="4"/>
    </row>
    <row r="18" ht="15.75" customHeight="1">
      <c r="A18" s="8"/>
      <c r="B18" s="4"/>
      <c r="C18" s="4"/>
    </row>
    <row r="19" ht="15.75" customHeight="1">
      <c r="A19" s="8"/>
      <c r="B19" s="4"/>
      <c r="C19" s="4"/>
    </row>
    <row r="20" ht="15.75" customHeight="1">
      <c r="A20" s="8"/>
      <c r="B20" s="4"/>
      <c r="C20" s="4"/>
    </row>
    <row r="21" ht="15.75" customHeight="1">
      <c r="A21" s="8"/>
      <c r="B21" s="4"/>
      <c r="C21" s="4"/>
    </row>
    <row r="22" ht="15.75" customHeight="1">
      <c r="A22" s="8"/>
      <c r="B22" s="4"/>
      <c r="C22" s="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8" t="s">
        <v>16</v>
      </c>
      <c r="B1" s="2"/>
      <c r="C1" s="2"/>
      <c r="D1" s="2"/>
      <c r="E1" s="2"/>
      <c r="F1" s="3"/>
    </row>
    <row r="2">
      <c r="A2" s="29"/>
      <c r="B2" s="29"/>
      <c r="C2" s="29"/>
      <c r="D2" s="29"/>
      <c r="E2" s="29"/>
      <c r="F2" s="29"/>
    </row>
    <row r="3">
      <c r="A3" s="7" t="s">
        <v>6</v>
      </c>
      <c r="B3" s="30" t="s">
        <v>8</v>
      </c>
      <c r="C3" s="30" t="s">
        <v>19</v>
      </c>
      <c r="D3" s="32"/>
      <c r="E3" s="32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7</v>
      </c>
      <c r="D3" s="5" t="s">
        <v>8</v>
      </c>
      <c r="E3" s="14" t="s">
        <v>9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IFERROR(__xludf.DUMMYFUNCTION("IF(C3="""","""",Transpose(IMPORTRANGE('_Settings'!$B$3,C3&amp;""!A4:A1000"")))"),"UpdateBeta")</f>
        <v>UpdateBeta</v>
      </c>
      <c r="C4" s="16" t="str">
        <f>IFERROR(__xludf.DUMMYFUNCTION("""COMPUTED_VALUE"""),"UpdateDailyCash")</f>
        <v>UpdateDailyCash</v>
      </c>
      <c r="D4" s="16" t="str">
        <f>IFERROR(__xludf.DUMMYFUNCTION("""COMPUTED_VALUE"""),"UpdateForexConversion")</f>
        <v>UpdateForexConversion</v>
      </c>
      <c r="E4" s="16" t="str">
        <f>IFERROR(__xludf.DUMMYFUNCTION("""COMPUTED_VALUE"""),"UpdateMarkPrice")</f>
        <v>UpdateMarkPrice</v>
      </c>
      <c r="F4" s="16" t="str">
        <f>IFERROR(__xludf.DUMMYFUNCTION("""COMPUTED_VALUE"""),"CleanUp")</f>
        <v>CleanUp</v>
      </c>
      <c r="G4" s="16" t="str">
        <f>IFERROR(__xludf.DUMMYFUNCTION("""COMPUTED_VALUE"""),"GetMarkPriceData")</f>
        <v>GetMarkPriceData</v>
      </c>
      <c r="H4" s="16" t="str">
        <f>IFERROR(__xludf.DUMMYFUNCTION("""COMPUTED_VALUE"""),"GetForwardPoints")</f>
        <v>GetForwardPoints</v>
      </c>
      <c r="I4" s="16" t="str">
        <f>IFERROR(__xludf.DUMMYFUNCTION("""COMPUTED_VALUE"""),"UpdateForwardPoints")</f>
        <v>UpdateForwardPoints</v>
      </c>
      <c r="J4" s="16" t="str">
        <f>IFERROR(__xludf.DUMMYFUNCTION("""COMPUTED_VALUE"""),"GetForexConversion")</f>
        <v>GetForexConversion</v>
      </c>
      <c r="K4" s="16" t="str">
        <f>IFERROR(__xludf.DUMMYFUNCTION("""COMPUTED_VALUE"""),"DeleteNAV")</f>
        <v>DeleteNAV</v>
      </c>
      <c r="L4" s="16" t="str">
        <f>IFERROR(__xludf.DUMMYFUNCTION("""COMPUTED_VALUE"""),"GetDailyCash")</f>
        <v>GetDailyCash</v>
      </c>
      <c r="M4" s="16" t="str">
        <f>IFERROR(__xludf.DUMMYFUNCTION("""COMPUTED_VALUE"""),"GetDailyBeta")</f>
        <v>GetDailyBeta</v>
      </c>
      <c r="N4" s="16" t="str">
        <f>IFERROR(__xludf.DUMMYFUNCTION("""COMPUTED_VALUE"""),"GetDailyVolatility")</f>
        <v>GetDailyVolatility</v>
      </c>
      <c r="O4" s="16" t="str">
        <f>IFERROR(__xludf.DUMMYFUNCTION("""COMPUTED_VALUE"""),"GetDailyDividendYield")</f>
        <v>GetDailyDividendYield</v>
      </c>
      <c r="P4" s="17" t="str">
        <f>IFERROR(__xludf.DUMMYFUNCTION("""COMPUTED_VALUE"""),"GetDailyTradingVolume")</f>
        <v>GetDailyTradingVolume</v>
      </c>
      <c r="Q4" s="17" t="str">
        <f>IFERROR(__xludf.DUMMYFUNCTION("""COMPUTED_VALUE"""),"GetDailyOutstandings")</f>
        <v>GetDailyOutstandings</v>
      </c>
      <c r="R4" s="17" t="str">
        <f>IFERROR(__xludf.DUMMYFUNCTION("""COMPUTED_VALUE"""),"GetDailyDelta")</f>
        <v>GetDailyDelta</v>
      </c>
      <c r="S4" s="17" t="str">
        <f>IFERROR(__xludf.DUMMYFUNCTION("""COMPUTED_VALUE"""),"UpdateDailyVolatility")</f>
        <v>UpdateDailyVolatility</v>
      </c>
      <c r="T4" s="17" t="str">
        <f>IFERROR(__xludf.DUMMYFUNCTION("""COMPUTED_VALUE"""),"UpdateDividendYield")</f>
        <v>UpdateDividendYield</v>
      </c>
      <c r="U4" s="17" t="str">
        <f>IFERROR(__xludf.DUMMYFUNCTION("""COMPUTED_VALUE"""),"UpdateTradingVolume")</f>
        <v>UpdateTradingVolume</v>
      </c>
      <c r="V4" s="17" t="str">
        <f>IFERROR(__xludf.DUMMYFUNCTION("""COMPUTED_VALUE"""),"UpdateDailyDelta")</f>
        <v>UpdateDailyDelta</v>
      </c>
      <c r="W4" s="17" t="str">
        <f>IFERROR(__xludf.DUMMYFUNCTION("""COMPUTED_VALUE"""),"UpdateDailyOutstandings")</f>
        <v>UpdateDailyOutstandings</v>
      </c>
      <c r="X4" s="17" t="str">
        <f>IFERROR(__xludf.DUMMYFUNCTION("""COMPUTED_VALUE"""),"UpdateBeta")</f>
        <v>UpdateBeta</v>
      </c>
      <c r="Y4" s="17" t="str">
        <f>IFERROR(__xludf.DUMMYFUNCTION("""COMPUTED_VALUE"""),"UpdateNAV")</f>
        <v>UpdateNAV</v>
      </c>
      <c r="Z4" s="17" t="str">
        <f>IFERROR(__xludf.DUMMYFUNCTION("""COMPUTED_VALUE"""),"UpdateDailyCash")</f>
        <v>UpdateDailyCash</v>
      </c>
      <c r="AA4" s="17" t="str">
        <f>IFERROR(__xludf.DUMMYFUNCTION("""COMPUTED_VALUE"""),"UpdateDailyCreditLimt")</f>
        <v>UpdateDailyCreditLimt</v>
      </c>
      <c r="AB4" s="17" t="str">
        <f>IFERROR(__xludf.DUMMYFUNCTION("""COMPUTED_VALUE"""),"RemoveDailyCreditLimit")</f>
        <v>RemoveDailyCreditLimit</v>
      </c>
      <c r="AC4" s="17" t="str">
        <f>IFERROR(__xludf.DUMMYFUNCTION("""COMPUTED_VALUE"""),"RemoveDailyCash")</f>
        <v>RemoveDailyCash</v>
      </c>
      <c r="AD4" s="17" t="str">
        <f>IFERROR(__xludf.DUMMYFUNCTION("""COMPUTED_VALUE"""),"RemoveNAV")</f>
        <v>RemoveNAV</v>
      </c>
      <c r="AE4" s="17" t="str">
        <f>IFERROR(__xludf.DUMMYFUNCTION("""COMPUTED_VALUE"""),"UpdateForexConversionMonthly")</f>
        <v>UpdateForexConversionMonthly</v>
      </c>
      <c r="AF4" s="17" t="str">
        <f>IFERROR(__xludf.DUMMYFUNCTION("""COMPUTED_VALUE"""),"UpdateMarkPriceMonthly")</f>
        <v>UpdateMarkPriceMonthly</v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19" t="str">
        <f>IFERROR(__xludf.DUMMYFUNCTION("""COMPUTED_VALUE"""),"Select Date")</f>
        <v>Select Date</v>
      </c>
      <c r="C5" s="19" t="str">
        <f>IFERROR(__xludf.DUMMYFUNCTION("""COMPUTED_VALUE"""),"Copy From")</f>
        <v>Copy From</v>
      </c>
      <c r="D5" s="19" t="str">
        <f>IFERROR(__xludf.DUMMYFUNCTION("""COMPUTED_VALUE"""),"")</f>
        <v/>
      </c>
      <c r="E5" s="20" t="str">
        <f>IFERROR(__xludf.DUMMYFUNCTION("""COMPUTED_VALUE"""),"")</f>
        <v/>
      </c>
      <c r="F5" s="21" t="str">
        <f>IFERROR(__xludf.DUMMYFUNCTION("""COMPUTED_VALUE"""),"")</f>
        <v/>
      </c>
      <c r="G5" s="20" t="str">
        <f>IFERROR(__xludf.DUMMYFUNCTION("""COMPUTED_VALUE"""),"")</f>
        <v/>
      </c>
      <c r="H5" s="20" t="str">
        <f>IFERROR(__xludf.DUMMYFUNCTION("""COMPUTED_VALUE"""),"")</f>
        <v/>
      </c>
      <c r="I5" s="20" t="str">
        <f>IFERROR(__xludf.DUMMYFUNCTION("""COMPUTED_VALUE"""),"")</f>
        <v/>
      </c>
      <c r="J5" s="20" t="str">
        <f>IFERROR(__xludf.DUMMYFUNCTION("""COMPUTED_VALUE"""),"")</f>
        <v/>
      </c>
      <c r="K5" s="20" t="str">
        <f>IFERROR(__xludf.DUMMYFUNCTION("""COMPUTED_VALUE"""),"")</f>
        <v/>
      </c>
      <c r="L5" s="20" t="str">
        <f>IFERROR(__xludf.DUMMYFUNCTION("""COMPUTED_VALUE"""),"")</f>
        <v/>
      </c>
      <c r="M5" s="20" t="str">
        <f>IFERROR(__xludf.DUMMYFUNCTION("""COMPUTED_VALUE"""),"")</f>
        <v/>
      </c>
      <c r="N5" s="20" t="str">
        <f>IFERROR(__xludf.DUMMYFUNCTION("""COMPUTED_VALUE"""),"")</f>
        <v/>
      </c>
      <c r="O5" s="20" t="str">
        <f>IFERROR(__xludf.DUMMYFUNCTION("""COMPUTED_VALUE"""),"")</f>
        <v/>
      </c>
      <c r="P5" s="20" t="str">
        <f>IFERROR(__xludf.DUMMYFUNCTION("""COMPUTED_VALUE"""),"")</f>
        <v/>
      </c>
      <c r="Q5" s="20" t="str">
        <f>IFERROR(__xludf.DUMMYFUNCTION("""COMPUTED_VALUE"""),"")</f>
        <v/>
      </c>
      <c r="R5" s="20" t="str">
        <f>IFERROR(__xludf.DUMMYFUNCTION("""COMPUTED_VALUE"""),"")</f>
        <v/>
      </c>
      <c r="S5" s="20" t="str">
        <f>IFERROR(__xludf.DUMMYFUNCTION("""COMPUTED_VALUE"""),"")</f>
        <v/>
      </c>
      <c r="T5" s="22" t="str">
        <f>IFERROR(__xludf.DUMMYFUNCTION("""COMPUTED_VALUE"""),"")</f>
        <v/>
      </c>
      <c r="U5" s="22" t="str">
        <f>IFERROR(__xludf.DUMMYFUNCTION("""COMPUTED_VALUE"""),"")</f>
        <v/>
      </c>
      <c r="V5" s="22" t="str">
        <f>IFERROR(__xludf.DUMMYFUNCTION("""COMPUTED_VALUE"""),"")</f>
        <v/>
      </c>
      <c r="W5" s="22" t="str">
        <f>IFERROR(__xludf.DUMMYFUNCTION("""COMPUTED_VALUE"""),"")</f>
        <v/>
      </c>
      <c r="X5" s="22" t="str">
        <f>IFERROR(__xludf.DUMMYFUNCTION("""COMPUTED_VALUE"""),"")</f>
        <v/>
      </c>
      <c r="Y5" s="22" t="str">
        <f>IFERROR(__xludf.DUMMYFUNCTION("""COMPUTED_VALUE"""),"")</f>
        <v/>
      </c>
      <c r="Z5" s="22" t="str">
        <f>IFERROR(__xludf.DUMMYFUNCTION("""COMPUTED_VALUE"""),"")</f>
        <v/>
      </c>
      <c r="AA5" s="22" t="str">
        <f>IFERROR(__xludf.DUMMYFUNCTION("""COMPUTED_VALUE"""),"")</f>
        <v/>
      </c>
      <c r="AB5" s="22" t="str">
        <f>IFERROR(__xludf.DUMMYFUNCTION("""COMPUTED_VALUE"""),"")</f>
        <v/>
      </c>
      <c r="AC5" s="22" t="str">
        <f>IFERROR(__xludf.DUMMYFUNCTION("""COMPUTED_VALUE"""),"")</f>
        <v/>
      </c>
      <c r="AD5" s="22" t="str">
        <f>IFERROR(__xludf.DUMMYFUNCTION("""COMPUTED_VALUE"""),"")</f>
        <v/>
      </c>
      <c r="AE5" s="22" t="str">
        <f>IFERROR(__xludf.DUMMYFUNCTION("""COMPUTED_VALUE"""),"")</f>
        <v/>
      </c>
      <c r="AF5" s="22" t="str">
        <f>IFERROR(__xludf.DUMMYFUNCTION("""COMPUTED_VALUE"""),"")</f>
        <v/>
      </c>
      <c r="AG5" s="22" t="str">
        <f>IFERROR(__xludf.DUMMYFUNCTION("""COMPUTED_VALUE"""),"")</f>
        <v/>
      </c>
      <c r="AH5" s="22" t="str">
        <f>IFERROR(__xludf.DUMMYFUNCTION("""COMPUTED_VALUE"""),"")</f>
        <v/>
      </c>
      <c r="AI5" s="22" t="str">
        <f>IFERROR(__xludf.DUMMYFUNCTION("""COMPUTED_VALUE"""),"")</f>
        <v/>
      </c>
      <c r="AJ5" s="22" t="str">
        <f>IFERROR(__xludf.DUMMYFUNCTION("""COMPUTED_VALUE"""),"")</f>
        <v/>
      </c>
      <c r="AK5" s="22" t="str">
        <f>IFERROR(__xludf.DUMMYFUNCTION("""COMPUTED_VALUE"""),"")</f>
        <v/>
      </c>
      <c r="AL5" s="22" t="str">
        <f>IFERROR(__xludf.DUMMYFUNCTION("""COMPUTED_VALUE"""),"")</f>
        <v/>
      </c>
      <c r="AM5" s="22" t="str">
        <f>IFERROR(__xludf.DUMMYFUNCTION("""COMPUTED_VALUE"""),"")</f>
        <v/>
      </c>
      <c r="AN5" s="22" t="str">
        <f>IFERROR(__xludf.DUMMYFUNCTION("""COMPUTED_VALUE"""),"")</f>
        <v/>
      </c>
      <c r="AO5" s="22" t="str">
        <f>IFERROR(__xludf.DUMMYFUNCTION("""COMPUTED_VALUE"""),"")</f>
        <v/>
      </c>
      <c r="AP5" s="22" t="str">
        <f>IFERROR(__xludf.DUMMYFUNCTION("""COMPUTED_VALUE"""),"")</f>
        <v/>
      </c>
      <c r="AQ5" s="22" t="str">
        <f>IFERROR(__xludf.DUMMYFUNCTION("""COMPUTED_VALUE"""),"")</f>
        <v/>
      </c>
      <c r="AR5" s="22" t="str">
        <f>IFERROR(__xludf.DUMMYFUNCTION("""COMPUTED_VALUE"""),"")</f>
        <v/>
      </c>
      <c r="AS5" s="22" t="str">
        <f>IFERROR(__xludf.DUMMYFUNCTION("""COMPUTED_VALUE"""),"")</f>
        <v/>
      </c>
      <c r="AT5" s="22" t="str">
        <f>IFERROR(__xludf.DUMMYFUNCTION("""COMPUTED_VALUE"""),"")</f>
        <v/>
      </c>
      <c r="AU5" s="22" t="str">
        <f>IFERROR(__xludf.DUMMYFUNCTION("""COMPUTED_VALUE"""),"")</f>
        <v/>
      </c>
      <c r="AV5" s="22" t="str">
        <f>IFERROR(__xludf.DUMMYFUNCTION("""COMPUTED_VALUE"""),"")</f>
        <v/>
      </c>
      <c r="AW5" s="22" t="str">
        <f>IFERROR(__xludf.DUMMYFUNCTION("""COMPUTED_VALUE"""),"")</f>
        <v/>
      </c>
      <c r="AX5" s="22" t="str">
        <f>IFERROR(__xludf.DUMMYFUNCTION("""COMPUTED_VALUE"""),"")</f>
        <v/>
      </c>
      <c r="AY5" s="22" t="str">
        <f>IFERROR(__xludf.DUMMYFUNCTION("""COMPUTED_VALUE"""),"")</f>
        <v/>
      </c>
      <c r="AZ5" s="22" t="str">
        <f>IFERROR(__xludf.DUMMYFUNCTION("""COMPUTED_VALUE"""),"")</f>
        <v/>
      </c>
      <c r="BA5" s="22" t="str">
        <f>IFERROR(__xludf.DUMMYFUNCTION("""COMPUTED_VALUE"""),"")</f>
        <v/>
      </c>
      <c r="BB5" s="22" t="str">
        <f>IFERROR(__xludf.DUMMYFUNCTION("""COMPUTED_VALUE"""),"")</f>
        <v/>
      </c>
      <c r="BC5" s="22" t="str">
        <f>IFERROR(__xludf.DUMMYFUNCTION("""COMPUTED_VALUE"""),"")</f>
        <v/>
      </c>
      <c r="BD5" s="22" t="str">
        <f>IFERROR(__xludf.DUMMYFUNCTION("""COMPUTED_VALUE"""),"")</f>
        <v/>
      </c>
      <c r="BE5" s="22" t="str">
        <f>IFERROR(__xludf.DUMMYFUNCTION("""COMPUTED_VALUE"""),"")</f>
        <v/>
      </c>
      <c r="BF5" s="22" t="str">
        <f>IFERROR(__xludf.DUMMYFUNCTION("""COMPUTED_VALUE"""),"")</f>
        <v/>
      </c>
      <c r="BG5" s="22" t="str">
        <f>IFERROR(__xludf.DUMMYFUNCTION("""COMPUTED_VALUE"""),"")</f>
        <v/>
      </c>
      <c r="BH5" s="22" t="str">
        <f>IFERROR(__xludf.DUMMYFUNCTION("""COMPUTED_VALUE"""),"")</f>
        <v/>
      </c>
      <c r="BI5" s="22" t="str">
        <f>IFERROR(__xludf.DUMMYFUNCTION("""COMPUTED_VALUE"""),"")</f>
        <v/>
      </c>
      <c r="BJ5" s="22" t="str">
        <f>IFERROR(__xludf.DUMMYFUNCTION("""COMPUTED_VALUE"""),"")</f>
        <v/>
      </c>
      <c r="BK5" s="22" t="str">
        <f>IFERROR(__xludf.DUMMYFUNCTION("""COMPUTED_VALUE"""),"")</f>
        <v/>
      </c>
      <c r="BL5" s="22" t="str">
        <f>IFERROR(__xludf.DUMMYFUNCTION("""COMPUTED_VALUE"""),"")</f>
        <v/>
      </c>
      <c r="BM5" s="22" t="str">
        <f>IFERROR(__xludf.DUMMYFUNCTION("""COMPUTED_VALUE"""),"")</f>
        <v/>
      </c>
      <c r="BN5" s="22" t="str">
        <f>IFERROR(__xludf.DUMMYFUNCTION("""COMPUTED_VALUE"""),"")</f>
        <v/>
      </c>
      <c r="BO5" s="22" t="str">
        <f>IFERROR(__xludf.DUMMYFUNCTION("""COMPUTED_VALUE"""),"")</f>
        <v/>
      </c>
      <c r="BP5" s="22" t="str">
        <f>IFERROR(__xludf.DUMMYFUNCTION("""COMPUTED_VALUE"""),"")</f>
        <v/>
      </c>
      <c r="BQ5" s="22" t="str">
        <f>IFERROR(__xludf.DUMMYFUNCTION("""COMPUTED_VALUE"""),"")</f>
        <v/>
      </c>
      <c r="BR5" s="22" t="str">
        <f>IFERROR(__xludf.DUMMYFUNCTION("""COMPUTED_VALUE"""),"")</f>
        <v/>
      </c>
      <c r="BS5" s="22" t="str">
        <f>IFERROR(__xludf.DUMMYFUNCTION("""COMPUTED_VALUE"""),"")</f>
        <v/>
      </c>
      <c r="BT5" s="22" t="str">
        <f>IFERROR(__xludf.DUMMYFUNCTION("""COMPUTED_VALUE"""),"")</f>
        <v/>
      </c>
      <c r="BU5" s="22" t="str">
        <f>IFERROR(__xludf.DUMMYFUNCTION("""COMPUTED_VALUE"""),"")</f>
        <v/>
      </c>
      <c r="BV5" s="22" t="str">
        <f>IFERROR(__xludf.DUMMYFUNCTION("""COMPUTED_VALUE"""),"")</f>
        <v/>
      </c>
      <c r="BW5" s="22" t="str">
        <f>IFERROR(__xludf.DUMMYFUNCTION("""COMPUTED_VALUE"""),"")</f>
        <v/>
      </c>
      <c r="BX5" s="22" t="str">
        <f>IFERROR(__xludf.DUMMYFUNCTION("""COMPUTED_VALUE"""),"")</f>
        <v/>
      </c>
      <c r="BY5" s="22" t="str">
        <f>IFERROR(__xludf.DUMMYFUNCTION("""COMPUTED_VALUE"""),"")</f>
        <v/>
      </c>
      <c r="BZ5" s="22" t="str">
        <f>IFERROR(__xludf.DUMMYFUNCTION("""COMPUTED_VALUE"""),"")</f>
        <v/>
      </c>
      <c r="CA5" s="22" t="str">
        <f>IFERROR(__xludf.DUMMYFUNCTION("""COMPUTED_VALUE"""),"")</f>
        <v/>
      </c>
      <c r="CB5" s="22" t="str">
        <f>IFERROR(__xludf.DUMMYFUNCTION("""COMPUTED_VALUE"""),"")</f>
        <v/>
      </c>
      <c r="CC5" s="22" t="str">
        <f>IFERROR(__xludf.DUMMYFUNCTION("""COMPUTED_VALUE"""),"")</f>
        <v/>
      </c>
      <c r="CD5" s="22" t="str">
        <f>IFERROR(__xludf.DUMMYFUNCTION("""COMPUTED_VALUE"""),"")</f>
        <v/>
      </c>
      <c r="CE5" s="22" t="str">
        <f>IFERROR(__xludf.DUMMYFUNCTION("""COMPUTED_VALUE"""),"")</f>
        <v/>
      </c>
      <c r="CF5" s="22" t="str">
        <f>IFERROR(__xludf.DUMMYFUNCTION("""COMPUTED_VALUE"""),"")</f>
        <v/>
      </c>
      <c r="CG5" s="22" t="str">
        <f>IFERROR(__xludf.DUMMYFUNCTION("""COMPUTED_VALUE"""),"")</f>
        <v/>
      </c>
      <c r="CH5" s="22" t="str">
        <f>IFERROR(__xludf.DUMMYFUNCTION("""COMPUTED_VALUE"""),"")</f>
        <v/>
      </c>
      <c r="CI5" s="22" t="str">
        <f>IFERROR(__xludf.DUMMYFUNCTION("""COMPUTED_VALUE"""),"")</f>
        <v/>
      </c>
      <c r="CJ5" s="22" t="str">
        <f>IFERROR(__xludf.DUMMYFUNCTION("""COMPUTED_VALUE"""),"")</f>
        <v/>
      </c>
      <c r="CK5" s="22" t="str">
        <f>IFERROR(__xludf.DUMMYFUNCTION("""COMPUTED_VALUE"""),"")</f>
        <v/>
      </c>
      <c r="CL5" s="22" t="str">
        <f>IFERROR(__xludf.DUMMYFUNCTION("""COMPUTED_VALUE"""),"")</f>
        <v/>
      </c>
      <c r="CM5" s="22" t="str">
        <f>IFERROR(__xludf.DUMMYFUNCTION("""COMPUTED_VALUE"""),"")</f>
        <v/>
      </c>
      <c r="CN5" s="22" t="str">
        <f>IFERROR(__xludf.DUMMYFUNCTION("""COMPUTED_VALUE"""),"")</f>
        <v/>
      </c>
      <c r="CO5" s="22" t="str">
        <f>IFERROR(__xludf.DUMMYFUNCTION("""COMPUTED_VALUE"""),"")</f>
        <v/>
      </c>
      <c r="CP5" s="22" t="str">
        <f>IFERROR(__xludf.DUMMYFUNCTION("""COMPUTED_VALUE"""),"")</f>
        <v/>
      </c>
      <c r="CQ5" s="22" t="str">
        <f>IFERROR(__xludf.DUMMYFUNCTION("""COMPUTED_VALUE"""),"")</f>
        <v/>
      </c>
      <c r="CR5" s="22" t="str">
        <f>IFERROR(__xludf.DUMMYFUNCTION("""COMPUTED_VALUE"""),"")</f>
        <v/>
      </c>
      <c r="CS5" s="22" t="str">
        <f>IFERROR(__xludf.DUMMYFUNCTION("""COMPUTED_VALUE"""),"")</f>
        <v/>
      </c>
      <c r="CT5" s="22" t="str">
        <f>IFERROR(__xludf.DUMMYFUNCTION("""COMPUTED_VALUE"""),"")</f>
        <v/>
      </c>
      <c r="CU5" s="22" t="str">
        <f>IFERROR(__xludf.DUMMYFUNCTION("""COMPUTED_VALUE"""),"")</f>
        <v/>
      </c>
      <c r="CV5" s="22" t="str">
        <f>IFERROR(__xludf.DUMMYFUNCTION("""COMPUTED_VALUE"""),"")</f>
        <v/>
      </c>
      <c r="CW5" s="22" t="str">
        <f>IFERROR(__xludf.DUMMYFUNCTION("""COMPUTED_VALUE"""),"")</f>
        <v/>
      </c>
      <c r="CX5" s="22" t="str">
        <f>IFERROR(__xludf.DUMMYFUNCTION("""COMPUTED_VALUE"""),"")</f>
        <v/>
      </c>
      <c r="CY5" s="22" t="str">
        <f>IFERROR(__xludf.DUMMYFUNCTION("""COMPUTED_VALUE"""),"")</f>
        <v/>
      </c>
      <c r="CZ5" s="22" t="str">
        <f>IFERROR(__xludf.DUMMYFUNCTION("""COMPUTED_VALUE"""),"")</f>
        <v/>
      </c>
      <c r="DA5" s="22" t="str">
        <f>IFERROR(__xludf.DUMMYFUNCTION("""COMPUTED_VALUE"""),"")</f>
        <v/>
      </c>
      <c r="DB5" s="22" t="str">
        <f>IFERROR(__xludf.DUMMYFUNCTION("""COMPUTED_VALUE"""),"")</f>
        <v/>
      </c>
      <c r="DC5" s="22" t="str">
        <f>IFERROR(__xludf.DUMMYFUNCTION("""COMPUTED_VALUE"""),"")</f>
        <v/>
      </c>
      <c r="DD5" s="22" t="str">
        <f>IFERROR(__xludf.DUMMYFUNCTION("""COMPUTED_VALUE"""),"")</f>
        <v/>
      </c>
      <c r="DE5" s="22" t="str">
        <f>IFERROR(__xludf.DUMMYFUNCTION("""COMPUTED_VALUE"""),"")</f>
        <v/>
      </c>
      <c r="DF5" s="22" t="str">
        <f>IFERROR(__xludf.DUMMYFUNCTION("""COMPUTED_VALUE"""),"")</f>
        <v/>
      </c>
      <c r="DG5" s="22" t="str">
        <f>IFERROR(__xludf.DUMMYFUNCTION("""COMPUTED_VALUE"""),"")</f>
        <v/>
      </c>
      <c r="DH5" s="22" t="str">
        <f>IFERROR(__xludf.DUMMYFUNCTION("""COMPUTED_VALUE"""),"")</f>
        <v/>
      </c>
      <c r="DI5" s="22" t="str">
        <f>IFERROR(__xludf.DUMMYFUNCTION("""COMPUTED_VALUE"""),"")</f>
        <v/>
      </c>
      <c r="DJ5" s="22" t="str">
        <f>IFERROR(__xludf.DUMMYFUNCTION("""COMPUTED_VALUE"""),"")</f>
        <v/>
      </c>
      <c r="DK5" s="22" t="str">
        <f>IFERROR(__xludf.DUMMYFUNCTION("""COMPUTED_VALUE"""),"")</f>
        <v/>
      </c>
      <c r="DL5" s="22" t="str">
        <f>IFERROR(__xludf.DUMMYFUNCTION("""COMPUTED_VALUE"""),"")</f>
        <v/>
      </c>
      <c r="DM5" s="22" t="str">
        <f>IFERROR(__xludf.DUMMYFUNCTION("""COMPUTED_VALUE"""),"")</f>
        <v/>
      </c>
      <c r="DN5" s="22" t="str">
        <f>IFERROR(__xludf.DUMMYFUNCTION("""COMPUTED_VALUE"""),"")</f>
        <v/>
      </c>
      <c r="DO5" s="22" t="str">
        <f>IFERROR(__xludf.DUMMYFUNCTION("""COMPUTED_VALUE"""),"")</f>
        <v/>
      </c>
      <c r="DP5" s="22" t="str">
        <f>IFERROR(__xludf.DUMMYFUNCTION("""COMPUTED_VALUE"""),"")</f>
        <v/>
      </c>
      <c r="DQ5" s="22" t="str">
        <f>IFERROR(__xludf.DUMMYFUNCTION("""COMPUTED_VALUE"""),"")</f>
        <v/>
      </c>
      <c r="DR5" s="22" t="str">
        <f>IFERROR(__xludf.DUMMYFUNCTION("""COMPUTED_VALUE"""),"")</f>
        <v/>
      </c>
      <c r="DS5" s="22" t="str">
        <f>IFERROR(__xludf.DUMMYFUNCTION("""COMPUTED_VALUE"""),"")</f>
        <v/>
      </c>
      <c r="DT5" s="22" t="str">
        <f>IFERROR(__xludf.DUMMYFUNCTION("""COMPUTED_VALUE"""),"")</f>
        <v/>
      </c>
      <c r="DU5" s="22" t="str">
        <f>IFERROR(__xludf.DUMMYFUNCTION("""COMPUTED_VALUE"""),"")</f>
        <v/>
      </c>
      <c r="DV5" s="22" t="str">
        <f>IFERROR(__xludf.DUMMYFUNCTION("""COMPUTED_VALUE"""),"")</f>
        <v/>
      </c>
      <c r="DW5" s="22" t="str">
        <f>IFERROR(__xludf.DUMMYFUNCTION("""COMPUTED_VALUE"""),"")</f>
        <v/>
      </c>
      <c r="DX5" s="22" t="str">
        <f>IFERROR(__xludf.DUMMYFUNCTION("""COMPUTED_VALUE"""),"")</f>
        <v/>
      </c>
      <c r="DY5" s="22" t="str">
        <f>IFERROR(__xludf.DUMMYFUNCTION("""COMPUTED_VALUE"""),"")</f>
        <v/>
      </c>
      <c r="DZ5" s="22" t="str">
        <f>IFERROR(__xludf.DUMMYFUNCTION("""COMPUTED_VALUE"""),"")</f>
        <v/>
      </c>
      <c r="EA5" s="22" t="str">
        <f>IFERROR(__xludf.DUMMYFUNCTION("""COMPUTED_VALUE"""),"")</f>
        <v/>
      </c>
      <c r="EB5" s="22" t="str">
        <f>IFERROR(__xludf.DUMMYFUNCTION("""COMPUTED_VALUE"""),"")</f>
        <v/>
      </c>
      <c r="EC5" s="22" t="str">
        <f>IFERROR(__xludf.DUMMYFUNCTION("""COMPUTED_VALUE"""),"")</f>
        <v/>
      </c>
      <c r="ED5" s="22" t="str">
        <f>IFERROR(__xludf.DUMMYFUNCTION("""COMPUTED_VALUE"""),"")</f>
        <v/>
      </c>
      <c r="EE5" s="22" t="str">
        <f>IFERROR(__xludf.DUMMYFUNCTION("""COMPUTED_VALUE"""),"")</f>
        <v/>
      </c>
      <c r="EF5" s="22" t="str">
        <f>IFERROR(__xludf.DUMMYFUNCTION("""COMPUTED_VALUE"""),"")</f>
        <v/>
      </c>
      <c r="EG5" s="22" t="str">
        <f>IFERROR(__xludf.DUMMYFUNCTION("""COMPUTED_VALUE"""),"")</f>
        <v/>
      </c>
      <c r="EH5" s="22" t="str">
        <f>IFERROR(__xludf.DUMMYFUNCTION("""COMPUTED_VALUE"""),"")</f>
        <v/>
      </c>
      <c r="EI5" s="22" t="str">
        <f>IFERROR(__xludf.DUMMYFUNCTION("""COMPUTED_VALUE"""),"")</f>
        <v/>
      </c>
      <c r="EJ5" s="22" t="str">
        <f>IFERROR(__xludf.DUMMYFUNCTION("""COMPUTED_VALUE"""),"")</f>
        <v/>
      </c>
      <c r="EK5" s="22" t="str">
        <f>IFERROR(__xludf.DUMMYFUNCTION("""COMPUTED_VALUE"""),"")</f>
        <v/>
      </c>
      <c r="EL5" s="22" t="str">
        <f>IFERROR(__xludf.DUMMYFUNCTION("""COMPUTED_VALUE"""),"")</f>
        <v/>
      </c>
      <c r="EM5" s="22" t="str">
        <f>IFERROR(__xludf.DUMMYFUNCTION("""COMPUTED_VALUE"""),"")</f>
        <v/>
      </c>
      <c r="EN5" s="22" t="str">
        <f>IFERROR(__xludf.DUMMYFUNCTION("""COMPUTED_VALUE"""),"")</f>
        <v/>
      </c>
      <c r="EO5" s="22" t="str">
        <f>IFERROR(__xludf.DUMMYFUNCTION("""COMPUTED_VALUE"""),"")</f>
        <v/>
      </c>
      <c r="EP5" s="22" t="str">
        <f>IFERROR(__xludf.DUMMYFUNCTION("""COMPUTED_VALUE"""),"")</f>
        <v/>
      </c>
      <c r="EQ5" s="22" t="str">
        <f>IFERROR(__xludf.DUMMYFUNCTION("""COMPUTED_VALUE"""),"")</f>
        <v/>
      </c>
      <c r="ER5" s="22" t="str">
        <f>IFERROR(__xludf.DUMMYFUNCTION("""COMPUTED_VALUE"""),"")</f>
        <v/>
      </c>
      <c r="ES5" s="22" t="str">
        <f>IFERROR(__xludf.DUMMYFUNCTION("""COMPUTED_VALUE"""),"")</f>
        <v/>
      </c>
      <c r="ET5" s="22" t="str">
        <f>IFERROR(__xludf.DUMMYFUNCTION("""COMPUTED_VALUE"""),"")</f>
        <v/>
      </c>
      <c r="EU5" s="22" t="str">
        <f>IFERROR(__xludf.DUMMYFUNCTION("""COMPUTED_VALUE"""),"")</f>
        <v/>
      </c>
      <c r="EV5" s="22" t="str">
        <f>IFERROR(__xludf.DUMMYFUNCTION("""COMPUTED_VALUE"""),"")</f>
        <v/>
      </c>
      <c r="EW5" s="22" t="str">
        <f>IFERROR(__xludf.DUMMYFUNCTION("""COMPUTED_VALUE"""),"")</f>
        <v/>
      </c>
      <c r="EX5" s="22" t="str">
        <f>IFERROR(__xludf.DUMMYFUNCTION("""COMPUTED_VALUE"""),"")</f>
        <v/>
      </c>
    </row>
    <row r="6" ht="15.75" customHeight="1">
      <c r="A6" s="6"/>
      <c r="B6" s="23">
        <f t="shared" ref="B6:C6" si="1">TODAY()-1</f>
        <v>43640</v>
      </c>
      <c r="C6" s="24">
        <f t="shared" si="1"/>
        <v>43640</v>
      </c>
      <c r="D6" s="4"/>
      <c r="E6" s="25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26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7</v>
      </c>
      <c r="D3" s="5" t="s">
        <v>8</v>
      </c>
      <c r="E3" s="14" t="s">
        <v>12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IFERROR(__xludf.DUMMYFUNCTION("IF(C3="""","""",Transpose(IMPORTRANGE('_Settings'!$B$3,C3&amp;""!A4:A1000"")))"),"UpdateBeta")</f>
        <v>UpdateBeta</v>
      </c>
      <c r="C4" s="16" t="str">
        <f>IFERROR(__xludf.DUMMYFUNCTION("""COMPUTED_VALUE"""),"UpdateDailyCash")</f>
        <v>UpdateDailyCash</v>
      </c>
      <c r="D4" s="16" t="str">
        <f>IFERROR(__xludf.DUMMYFUNCTION("""COMPUTED_VALUE"""),"UpdateForexConversion")</f>
        <v>UpdateForexConversion</v>
      </c>
      <c r="E4" s="16" t="str">
        <f>IFERROR(__xludf.DUMMYFUNCTION("""COMPUTED_VALUE"""),"UpdateMarkPrice")</f>
        <v>UpdateMarkPrice</v>
      </c>
      <c r="F4" s="16" t="str">
        <f>IFERROR(__xludf.DUMMYFUNCTION("""COMPUTED_VALUE"""),"CleanUp")</f>
        <v>CleanUp</v>
      </c>
      <c r="G4" s="16" t="str">
        <f>IFERROR(__xludf.DUMMYFUNCTION("""COMPUTED_VALUE"""),"GetMarkPriceData")</f>
        <v>GetMarkPriceData</v>
      </c>
      <c r="H4" s="16" t="str">
        <f>IFERROR(__xludf.DUMMYFUNCTION("""COMPUTED_VALUE"""),"GetForwardPoints")</f>
        <v>GetForwardPoints</v>
      </c>
      <c r="I4" s="16" t="str">
        <f>IFERROR(__xludf.DUMMYFUNCTION("""COMPUTED_VALUE"""),"UpdateForwardPoints")</f>
        <v>UpdateForwardPoints</v>
      </c>
      <c r="J4" s="16" t="str">
        <f>IFERROR(__xludf.DUMMYFUNCTION("""COMPUTED_VALUE"""),"GetForexConversion")</f>
        <v>GetForexConversion</v>
      </c>
      <c r="K4" s="16" t="str">
        <f>IFERROR(__xludf.DUMMYFUNCTION("""COMPUTED_VALUE"""),"DeleteNAV")</f>
        <v>DeleteNAV</v>
      </c>
      <c r="L4" s="16" t="str">
        <f>IFERROR(__xludf.DUMMYFUNCTION("""COMPUTED_VALUE"""),"GetDailyCash")</f>
        <v>GetDailyCash</v>
      </c>
      <c r="M4" s="16" t="str">
        <f>IFERROR(__xludf.DUMMYFUNCTION("""COMPUTED_VALUE"""),"GetDailyBeta")</f>
        <v>GetDailyBeta</v>
      </c>
      <c r="N4" s="16" t="str">
        <f>IFERROR(__xludf.DUMMYFUNCTION("""COMPUTED_VALUE"""),"GetDailyVolatility")</f>
        <v>GetDailyVolatility</v>
      </c>
      <c r="O4" s="16" t="str">
        <f>IFERROR(__xludf.DUMMYFUNCTION("""COMPUTED_VALUE"""),"GetDailyDividendYield")</f>
        <v>GetDailyDividendYield</v>
      </c>
      <c r="P4" s="17" t="str">
        <f>IFERROR(__xludf.DUMMYFUNCTION("""COMPUTED_VALUE"""),"GetDailyTradingVolume")</f>
        <v>GetDailyTradingVolume</v>
      </c>
      <c r="Q4" s="17" t="str">
        <f>IFERROR(__xludf.DUMMYFUNCTION("""COMPUTED_VALUE"""),"GetDailyOutstandings")</f>
        <v>GetDailyOutstandings</v>
      </c>
      <c r="R4" s="17" t="str">
        <f>IFERROR(__xludf.DUMMYFUNCTION("""COMPUTED_VALUE"""),"GetDailyDelta")</f>
        <v>GetDailyDelta</v>
      </c>
      <c r="S4" s="17" t="str">
        <f>IFERROR(__xludf.DUMMYFUNCTION("""COMPUTED_VALUE"""),"UpdateDailyVolatility")</f>
        <v>UpdateDailyVolatility</v>
      </c>
      <c r="T4" s="17" t="str">
        <f>IFERROR(__xludf.DUMMYFUNCTION("""COMPUTED_VALUE"""),"UpdateDividendYield")</f>
        <v>UpdateDividendYield</v>
      </c>
      <c r="U4" s="17" t="str">
        <f>IFERROR(__xludf.DUMMYFUNCTION("""COMPUTED_VALUE"""),"UpdateTradingVolume")</f>
        <v>UpdateTradingVolume</v>
      </c>
      <c r="V4" s="17" t="str">
        <f>IFERROR(__xludf.DUMMYFUNCTION("""COMPUTED_VALUE"""),"UpdateDailyDelta")</f>
        <v>UpdateDailyDelta</v>
      </c>
      <c r="W4" s="17" t="str">
        <f>IFERROR(__xludf.DUMMYFUNCTION("""COMPUTED_VALUE"""),"UpdateDailyOutstandings")</f>
        <v>UpdateDailyOutstandings</v>
      </c>
      <c r="X4" s="17" t="str">
        <f>IFERROR(__xludf.DUMMYFUNCTION("""COMPUTED_VALUE"""),"UpdateBeta")</f>
        <v>UpdateBeta</v>
      </c>
      <c r="Y4" s="17" t="str">
        <f>IFERROR(__xludf.DUMMYFUNCTION("""COMPUTED_VALUE"""),"UpdateNAV")</f>
        <v>UpdateNAV</v>
      </c>
      <c r="Z4" s="17" t="str">
        <f>IFERROR(__xludf.DUMMYFUNCTION("""COMPUTED_VALUE"""),"UpdateDailyCash")</f>
        <v>UpdateDailyCash</v>
      </c>
      <c r="AA4" s="17" t="str">
        <f>IFERROR(__xludf.DUMMYFUNCTION("""COMPUTED_VALUE"""),"UpdateDailyCreditLimt")</f>
        <v>UpdateDailyCreditLimt</v>
      </c>
      <c r="AB4" s="17" t="str">
        <f>IFERROR(__xludf.DUMMYFUNCTION("""COMPUTED_VALUE"""),"RemoveDailyCreditLimit")</f>
        <v>RemoveDailyCreditLimit</v>
      </c>
      <c r="AC4" s="17" t="str">
        <f>IFERROR(__xludf.DUMMYFUNCTION("""COMPUTED_VALUE"""),"RemoveDailyCash")</f>
        <v>RemoveDailyCash</v>
      </c>
      <c r="AD4" s="17" t="str">
        <f>IFERROR(__xludf.DUMMYFUNCTION("""COMPUTED_VALUE"""),"RemoveNAV")</f>
        <v>RemoveNAV</v>
      </c>
      <c r="AE4" s="17" t="str">
        <f>IFERROR(__xludf.DUMMYFUNCTION("""COMPUTED_VALUE"""),"UpdateForexConversionMonthly")</f>
        <v>UpdateForexConversionMonthly</v>
      </c>
      <c r="AF4" s="17" t="str">
        <f>IFERROR(__xludf.DUMMYFUNCTION("""COMPUTED_VALUE"""),"UpdateMarkPriceMonthly")</f>
        <v>UpdateMarkPriceMonthly</v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IFERROR(__xludf.DUMMYFUNCTION("""COMPUTED_VALUE"""),"Account")</f>
        <v>Account</v>
      </c>
      <c r="C5" s="20" t="str">
        <f>IFERROR(__xludf.DUMMYFUNCTION("""COMPUTED_VALUE"""),"Local Currency")</f>
        <v>Local Currency</v>
      </c>
      <c r="D5" s="20" t="str">
        <f>IFERROR(__xludf.DUMMYFUNCTION("""COMPUTED_VALUE"""),"Cash Value Local")</f>
        <v>Cash Value Local</v>
      </c>
      <c r="E5" s="20" t="str">
        <f>IFERROR(__xludf.DUMMYFUNCTION("""COMPUTED_VALUE"""),"")</f>
        <v/>
      </c>
      <c r="F5" s="21" t="str">
        <f>IFERROR(__xludf.DUMMYFUNCTION("""COMPUTED_VALUE"""),"")</f>
        <v/>
      </c>
      <c r="G5" s="20" t="str">
        <f>IFERROR(__xludf.DUMMYFUNCTION("""COMPUTED_VALUE"""),"")</f>
        <v/>
      </c>
      <c r="H5" s="20" t="str">
        <f>IFERROR(__xludf.DUMMYFUNCTION("""COMPUTED_VALUE"""),"")</f>
        <v/>
      </c>
      <c r="I5" s="20" t="str">
        <f>IFERROR(__xludf.DUMMYFUNCTION("""COMPUTED_VALUE"""),"")</f>
        <v/>
      </c>
      <c r="J5" s="20" t="str">
        <f>IFERROR(__xludf.DUMMYFUNCTION("""COMPUTED_VALUE"""),"")</f>
        <v/>
      </c>
      <c r="K5" s="20" t="str">
        <f>IFERROR(__xludf.DUMMYFUNCTION("""COMPUTED_VALUE"""),"")</f>
        <v/>
      </c>
      <c r="L5" s="20" t="str">
        <f>IFERROR(__xludf.DUMMYFUNCTION("""COMPUTED_VALUE"""),"")</f>
        <v/>
      </c>
      <c r="M5" s="20" t="str">
        <f>IFERROR(__xludf.DUMMYFUNCTION("""COMPUTED_VALUE"""),"")</f>
        <v/>
      </c>
      <c r="N5" s="20" t="str">
        <f>IFERROR(__xludf.DUMMYFUNCTION("""COMPUTED_VALUE"""),"")</f>
        <v/>
      </c>
      <c r="O5" s="20" t="str">
        <f>IFERROR(__xludf.DUMMYFUNCTION("""COMPUTED_VALUE"""),"")</f>
        <v/>
      </c>
      <c r="P5" s="20" t="str">
        <f>IFERROR(__xludf.DUMMYFUNCTION("""COMPUTED_VALUE"""),"")</f>
        <v/>
      </c>
      <c r="Q5" s="20" t="str">
        <f>IFERROR(__xludf.DUMMYFUNCTION("""COMPUTED_VALUE"""),"")</f>
        <v/>
      </c>
      <c r="R5" s="20" t="str">
        <f>IFERROR(__xludf.DUMMYFUNCTION("""COMPUTED_VALUE"""),"")</f>
        <v/>
      </c>
      <c r="S5" s="20" t="str">
        <f>IFERROR(__xludf.DUMMYFUNCTION("""COMPUTED_VALUE"""),"")</f>
        <v/>
      </c>
      <c r="T5" s="22" t="str">
        <f>IFERROR(__xludf.DUMMYFUNCTION("""COMPUTED_VALUE"""),"")</f>
        <v/>
      </c>
      <c r="U5" s="22" t="str">
        <f>IFERROR(__xludf.DUMMYFUNCTION("""COMPUTED_VALUE"""),"")</f>
        <v/>
      </c>
      <c r="V5" s="22" t="str">
        <f>IFERROR(__xludf.DUMMYFUNCTION("""COMPUTED_VALUE"""),"")</f>
        <v/>
      </c>
      <c r="W5" s="22" t="str">
        <f>IFERROR(__xludf.DUMMYFUNCTION("""COMPUTED_VALUE"""),"")</f>
        <v/>
      </c>
      <c r="X5" s="22" t="str">
        <f>IFERROR(__xludf.DUMMYFUNCTION("""COMPUTED_VALUE"""),"")</f>
        <v/>
      </c>
      <c r="Y5" s="22" t="str">
        <f>IFERROR(__xludf.DUMMYFUNCTION("""COMPUTED_VALUE"""),"")</f>
        <v/>
      </c>
      <c r="Z5" s="22" t="str">
        <f>IFERROR(__xludf.DUMMYFUNCTION("""COMPUTED_VALUE"""),"")</f>
        <v/>
      </c>
      <c r="AA5" s="22" t="str">
        <f>IFERROR(__xludf.DUMMYFUNCTION("""COMPUTED_VALUE"""),"")</f>
        <v/>
      </c>
      <c r="AB5" s="22" t="str">
        <f>IFERROR(__xludf.DUMMYFUNCTION("""COMPUTED_VALUE"""),"")</f>
        <v/>
      </c>
      <c r="AC5" s="22" t="str">
        <f>IFERROR(__xludf.DUMMYFUNCTION("""COMPUTED_VALUE"""),"")</f>
        <v/>
      </c>
      <c r="AD5" s="22" t="str">
        <f>IFERROR(__xludf.DUMMYFUNCTION("""COMPUTED_VALUE"""),"")</f>
        <v/>
      </c>
      <c r="AE5" s="22" t="str">
        <f>IFERROR(__xludf.DUMMYFUNCTION("""COMPUTED_VALUE"""),"")</f>
        <v/>
      </c>
      <c r="AF5" s="22" t="str">
        <f>IFERROR(__xludf.DUMMYFUNCTION("""COMPUTED_VALUE"""),"")</f>
        <v/>
      </c>
      <c r="AG5" s="22" t="str">
        <f>IFERROR(__xludf.DUMMYFUNCTION("""COMPUTED_VALUE"""),"")</f>
        <v/>
      </c>
      <c r="AH5" s="22" t="str">
        <f>IFERROR(__xludf.DUMMYFUNCTION("""COMPUTED_VALUE"""),"")</f>
        <v/>
      </c>
      <c r="AI5" s="22" t="str">
        <f>IFERROR(__xludf.DUMMYFUNCTION("""COMPUTED_VALUE"""),"")</f>
        <v/>
      </c>
      <c r="AJ5" s="22" t="str">
        <f>IFERROR(__xludf.DUMMYFUNCTION("""COMPUTED_VALUE"""),"")</f>
        <v/>
      </c>
      <c r="AK5" s="22" t="str">
        <f>IFERROR(__xludf.DUMMYFUNCTION("""COMPUTED_VALUE"""),"")</f>
        <v/>
      </c>
      <c r="AL5" s="22" t="str">
        <f>IFERROR(__xludf.DUMMYFUNCTION("""COMPUTED_VALUE"""),"")</f>
        <v/>
      </c>
      <c r="AM5" s="22" t="str">
        <f>IFERROR(__xludf.DUMMYFUNCTION("""COMPUTED_VALUE"""),"")</f>
        <v/>
      </c>
      <c r="AN5" s="22" t="str">
        <f>IFERROR(__xludf.DUMMYFUNCTION("""COMPUTED_VALUE"""),"")</f>
        <v/>
      </c>
      <c r="AO5" s="22" t="str">
        <f>IFERROR(__xludf.DUMMYFUNCTION("""COMPUTED_VALUE"""),"")</f>
        <v/>
      </c>
      <c r="AP5" s="22" t="str">
        <f>IFERROR(__xludf.DUMMYFUNCTION("""COMPUTED_VALUE"""),"")</f>
        <v/>
      </c>
      <c r="AQ5" s="22" t="str">
        <f>IFERROR(__xludf.DUMMYFUNCTION("""COMPUTED_VALUE"""),"")</f>
        <v/>
      </c>
      <c r="AR5" s="22" t="str">
        <f>IFERROR(__xludf.DUMMYFUNCTION("""COMPUTED_VALUE"""),"")</f>
        <v/>
      </c>
      <c r="AS5" s="22" t="str">
        <f>IFERROR(__xludf.DUMMYFUNCTION("""COMPUTED_VALUE"""),"")</f>
        <v/>
      </c>
      <c r="AT5" s="22" t="str">
        <f>IFERROR(__xludf.DUMMYFUNCTION("""COMPUTED_VALUE"""),"")</f>
        <v/>
      </c>
      <c r="AU5" s="22" t="str">
        <f>IFERROR(__xludf.DUMMYFUNCTION("""COMPUTED_VALUE"""),"")</f>
        <v/>
      </c>
      <c r="AV5" s="22" t="str">
        <f>IFERROR(__xludf.DUMMYFUNCTION("""COMPUTED_VALUE"""),"")</f>
        <v/>
      </c>
      <c r="AW5" s="22" t="str">
        <f>IFERROR(__xludf.DUMMYFUNCTION("""COMPUTED_VALUE"""),"")</f>
        <v/>
      </c>
      <c r="AX5" s="22" t="str">
        <f>IFERROR(__xludf.DUMMYFUNCTION("""COMPUTED_VALUE"""),"")</f>
        <v/>
      </c>
      <c r="AY5" s="22" t="str">
        <f>IFERROR(__xludf.DUMMYFUNCTION("""COMPUTED_VALUE"""),"")</f>
        <v/>
      </c>
      <c r="AZ5" s="22" t="str">
        <f>IFERROR(__xludf.DUMMYFUNCTION("""COMPUTED_VALUE"""),"")</f>
        <v/>
      </c>
      <c r="BA5" s="22" t="str">
        <f>IFERROR(__xludf.DUMMYFUNCTION("""COMPUTED_VALUE"""),"")</f>
        <v/>
      </c>
      <c r="BB5" s="22" t="str">
        <f>IFERROR(__xludf.DUMMYFUNCTION("""COMPUTED_VALUE"""),"")</f>
        <v/>
      </c>
      <c r="BC5" s="22" t="str">
        <f>IFERROR(__xludf.DUMMYFUNCTION("""COMPUTED_VALUE"""),"")</f>
        <v/>
      </c>
      <c r="BD5" s="22" t="str">
        <f>IFERROR(__xludf.DUMMYFUNCTION("""COMPUTED_VALUE"""),"")</f>
        <v/>
      </c>
      <c r="BE5" s="22" t="str">
        <f>IFERROR(__xludf.DUMMYFUNCTION("""COMPUTED_VALUE"""),"")</f>
        <v/>
      </c>
      <c r="BF5" s="22" t="str">
        <f>IFERROR(__xludf.DUMMYFUNCTION("""COMPUTED_VALUE"""),"")</f>
        <v/>
      </c>
      <c r="BG5" s="22" t="str">
        <f>IFERROR(__xludf.DUMMYFUNCTION("""COMPUTED_VALUE"""),"")</f>
        <v/>
      </c>
      <c r="BH5" s="22" t="str">
        <f>IFERROR(__xludf.DUMMYFUNCTION("""COMPUTED_VALUE"""),"")</f>
        <v/>
      </c>
      <c r="BI5" s="22" t="str">
        <f>IFERROR(__xludf.DUMMYFUNCTION("""COMPUTED_VALUE"""),"")</f>
        <v/>
      </c>
      <c r="BJ5" s="22" t="str">
        <f>IFERROR(__xludf.DUMMYFUNCTION("""COMPUTED_VALUE"""),"")</f>
        <v/>
      </c>
      <c r="BK5" s="22" t="str">
        <f>IFERROR(__xludf.DUMMYFUNCTION("""COMPUTED_VALUE"""),"")</f>
        <v/>
      </c>
      <c r="BL5" s="22" t="str">
        <f>IFERROR(__xludf.DUMMYFUNCTION("""COMPUTED_VALUE"""),"")</f>
        <v/>
      </c>
      <c r="BM5" s="22" t="str">
        <f>IFERROR(__xludf.DUMMYFUNCTION("""COMPUTED_VALUE"""),"")</f>
        <v/>
      </c>
      <c r="BN5" s="22" t="str">
        <f>IFERROR(__xludf.DUMMYFUNCTION("""COMPUTED_VALUE"""),"")</f>
        <v/>
      </c>
      <c r="BO5" s="22" t="str">
        <f>IFERROR(__xludf.DUMMYFUNCTION("""COMPUTED_VALUE"""),"")</f>
        <v/>
      </c>
      <c r="BP5" s="22" t="str">
        <f>IFERROR(__xludf.DUMMYFUNCTION("""COMPUTED_VALUE"""),"")</f>
        <v/>
      </c>
      <c r="BQ5" s="22" t="str">
        <f>IFERROR(__xludf.DUMMYFUNCTION("""COMPUTED_VALUE"""),"")</f>
        <v/>
      </c>
      <c r="BR5" s="22" t="str">
        <f>IFERROR(__xludf.DUMMYFUNCTION("""COMPUTED_VALUE"""),"")</f>
        <v/>
      </c>
      <c r="BS5" s="22" t="str">
        <f>IFERROR(__xludf.DUMMYFUNCTION("""COMPUTED_VALUE"""),"")</f>
        <v/>
      </c>
      <c r="BT5" s="22" t="str">
        <f>IFERROR(__xludf.DUMMYFUNCTION("""COMPUTED_VALUE"""),"")</f>
        <v/>
      </c>
      <c r="BU5" s="22" t="str">
        <f>IFERROR(__xludf.DUMMYFUNCTION("""COMPUTED_VALUE"""),"")</f>
        <v/>
      </c>
      <c r="BV5" s="22" t="str">
        <f>IFERROR(__xludf.DUMMYFUNCTION("""COMPUTED_VALUE"""),"")</f>
        <v/>
      </c>
      <c r="BW5" s="22" t="str">
        <f>IFERROR(__xludf.DUMMYFUNCTION("""COMPUTED_VALUE"""),"")</f>
        <v/>
      </c>
      <c r="BX5" s="22" t="str">
        <f>IFERROR(__xludf.DUMMYFUNCTION("""COMPUTED_VALUE"""),"")</f>
        <v/>
      </c>
      <c r="BY5" s="22" t="str">
        <f>IFERROR(__xludf.DUMMYFUNCTION("""COMPUTED_VALUE"""),"")</f>
        <v/>
      </c>
      <c r="BZ5" s="22" t="str">
        <f>IFERROR(__xludf.DUMMYFUNCTION("""COMPUTED_VALUE"""),"")</f>
        <v/>
      </c>
      <c r="CA5" s="22" t="str">
        <f>IFERROR(__xludf.DUMMYFUNCTION("""COMPUTED_VALUE"""),"")</f>
        <v/>
      </c>
      <c r="CB5" s="22" t="str">
        <f>IFERROR(__xludf.DUMMYFUNCTION("""COMPUTED_VALUE"""),"")</f>
        <v/>
      </c>
      <c r="CC5" s="22" t="str">
        <f>IFERROR(__xludf.DUMMYFUNCTION("""COMPUTED_VALUE"""),"")</f>
        <v/>
      </c>
      <c r="CD5" s="22" t="str">
        <f>IFERROR(__xludf.DUMMYFUNCTION("""COMPUTED_VALUE"""),"")</f>
        <v/>
      </c>
      <c r="CE5" s="22" t="str">
        <f>IFERROR(__xludf.DUMMYFUNCTION("""COMPUTED_VALUE"""),"")</f>
        <v/>
      </c>
      <c r="CF5" s="22" t="str">
        <f>IFERROR(__xludf.DUMMYFUNCTION("""COMPUTED_VALUE"""),"")</f>
        <v/>
      </c>
      <c r="CG5" s="22" t="str">
        <f>IFERROR(__xludf.DUMMYFUNCTION("""COMPUTED_VALUE"""),"")</f>
        <v/>
      </c>
      <c r="CH5" s="22" t="str">
        <f>IFERROR(__xludf.DUMMYFUNCTION("""COMPUTED_VALUE"""),"")</f>
        <v/>
      </c>
      <c r="CI5" s="22" t="str">
        <f>IFERROR(__xludf.DUMMYFUNCTION("""COMPUTED_VALUE"""),"")</f>
        <v/>
      </c>
      <c r="CJ5" s="22" t="str">
        <f>IFERROR(__xludf.DUMMYFUNCTION("""COMPUTED_VALUE"""),"")</f>
        <v/>
      </c>
      <c r="CK5" s="22" t="str">
        <f>IFERROR(__xludf.DUMMYFUNCTION("""COMPUTED_VALUE"""),"")</f>
        <v/>
      </c>
      <c r="CL5" s="22" t="str">
        <f>IFERROR(__xludf.DUMMYFUNCTION("""COMPUTED_VALUE"""),"")</f>
        <v/>
      </c>
      <c r="CM5" s="22" t="str">
        <f>IFERROR(__xludf.DUMMYFUNCTION("""COMPUTED_VALUE"""),"")</f>
        <v/>
      </c>
      <c r="CN5" s="22" t="str">
        <f>IFERROR(__xludf.DUMMYFUNCTION("""COMPUTED_VALUE"""),"")</f>
        <v/>
      </c>
      <c r="CO5" s="22" t="str">
        <f>IFERROR(__xludf.DUMMYFUNCTION("""COMPUTED_VALUE"""),"")</f>
        <v/>
      </c>
      <c r="CP5" s="22" t="str">
        <f>IFERROR(__xludf.DUMMYFUNCTION("""COMPUTED_VALUE"""),"")</f>
        <v/>
      </c>
      <c r="CQ5" s="22" t="str">
        <f>IFERROR(__xludf.DUMMYFUNCTION("""COMPUTED_VALUE"""),"")</f>
        <v/>
      </c>
      <c r="CR5" s="22" t="str">
        <f>IFERROR(__xludf.DUMMYFUNCTION("""COMPUTED_VALUE"""),"")</f>
        <v/>
      </c>
      <c r="CS5" s="22" t="str">
        <f>IFERROR(__xludf.DUMMYFUNCTION("""COMPUTED_VALUE"""),"")</f>
        <v/>
      </c>
      <c r="CT5" s="22" t="str">
        <f>IFERROR(__xludf.DUMMYFUNCTION("""COMPUTED_VALUE"""),"")</f>
        <v/>
      </c>
      <c r="CU5" s="22" t="str">
        <f>IFERROR(__xludf.DUMMYFUNCTION("""COMPUTED_VALUE"""),"")</f>
        <v/>
      </c>
      <c r="CV5" s="22" t="str">
        <f>IFERROR(__xludf.DUMMYFUNCTION("""COMPUTED_VALUE"""),"")</f>
        <v/>
      </c>
      <c r="CW5" s="22" t="str">
        <f>IFERROR(__xludf.DUMMYFUNCTION("""COMPUTED_VALUE"""),"")</f>
        <v/>
      </c>
      <c r="CX5" s="22" t="str">
        <f>IFERROR(__xludf.DUMMYFUNCTION("""COMPUTED_VALUE"""),"")</f>
        <v/>
      </c>
      <c r="CY5" s="22" t="str">
        <f>IFERROR(__xludf.DUMMYFUNCTION("""COMPUTED_VALUE"""),"")</f>
        <v/>
      </c>
      <c r="CZ5" s="22" t="str">
        <f>IFERROR(__xludf.DUMMYFUNCTION("""COMPUTED_VALUE"""),"")</f>
        <v/>
      </c>
      <c r="DA5" s="22" t="str">
        <f>IFERROR(__xludf.DUMMYFUNCTION("""COMPUTED_VALUE"""),"")</f>
        <v/>
      </c>
      <c r="DB5" s="22" t="str">
        <f>IFERROR(__xludf.DUMMYFUNCTION("""COMPUTED_VALUE"""),"")</f>
        <v/>
      </c>
      <c r="DC5" s="22" t="str">
        <f>IFERROR(__xludf.DUMMYFUNCTION("""COMPUTED_VALUE"""),"")</f>
        <v/>
      </c>
      <c r="DD5" s="22" t="str">
        <f>IFERROR(__xludf.DUMMYFUNCTION("""COMPUTED_VALUE"""),"")</f>
        <v/>
      </c>
      <c r="DE5" s="22" t="str">
        <f>IFERROR(__xludf.DUMMYFUNCTION("""COMPUTED_VALUE"""),"")</f>
        <v/>
      </c>
      <c r="DF5" s="22" t="str">
        <f>IFERROR(__xludf.DUMMYFUNCTION("""COMPUTED_VALUE"""),"")</f>
        <v/>
      </c>
      <c r="DG5" s="22" t="str">
        <f>IFERROR(__xludf.DUMMYFUNCTION("""COMPUTED_VALUE"""),"")</f>
        <v/>
      </c>
      <c r="DH5" s="22" t="str">
        <f>IFERROR(__xludf.DUMMYFUNCTION("""COMPUTED_VALUE"""),"")</f>
        <v/>
      </c>
      <c r="DI5" s="22" t="str">
        <f>IFERROR(__xludf.DUMMYFUNCTION("""COMPUTED_VALUE"""),"")</f>
        <v/>
      </c>
      <c r="DJ5" s="22" t="str">
        <f>IFERROR(__xludf.DUMMYFUNCTION("""COMPUTED_VALUE"""),"")</f>
        <v/>
      </c>
      <c r="DK5" s="22" t="str">
        <f>IFERROR(__xludf.DUMMYFUNCTION("""COMPUTED_VALUE"""),"")</f>
        <v/>
      </c>
      <c r="DL5" s="22" t="str">
        <f>IFERROR(__xludf.DUMMYFUNCTION("""COMPUTED_VALUE"""),"")</f>
        <v/>
      </c>
      <c r="DM5" s="22" t="str">
        <f>IFERROR(__xludf.DUMMYFUNCTION("""COMPUTED_VALUE"""),"")</f>
        <v/>
      </c>
      <c r="DN5" s="22" t="str">
        <f>IFERROR(__xludf.DUMMYFUNCTION("""COMPUTED_VALUE"""),"")</f>
        <v/>
      </c>
      <c r="DO5" s="22" t="str">
        <f>IFERROR(__xludf.DUMMYFUNCTION("""COMPUTED_VALUE"""),"")</f>
        <v/>
      </c>
      <c r="DP5" s="22" t="str">
        <f>IFERROR(__xludf.DUMMYFUNCTION("""COMPUTED_VALUE"""),"")</f>
        <v/>
      </c>
      <c r="DQ5" s="22" t="str">
        <f>IFERROR(__xludf.DUMMYFUNCTION("""COMPUTED_VALUE"""),"")</f>
        <v/>
      </c>
      <c r="DR5" s="22" t="str">
        <f>IFERROR(__xludf.DUMMYFUNCTION("""COMPUTED_VALUE"""),"")</f>
        <v/>
      </c>
      <c r="DS5" s="22" t="str">
        <f>IFERROR(__xludf.DUMMYFUNCTION("""COMPUTED_VALUE"""),"")</f>
        <v/>
      </c>
      <c r="DT5" s="22" t="str">
        <f>IFERROR(__xludf.DUMMYFUNCTION("""COMPUTED_VALUE"""),"")</f>
        <v/>
      </c>
      <c r="DU5" s="22" t="str">
        <f>IFERROR(__xludf.DUMMYFUNCTION("""COMPUTED_VALUE"""),"")</f>
        <v/>
      </c>
      <c r="DV5" s="22" t="str">
        <f>IFERROR(__xludf.DUMMYFUNCTION("""COMPUTED_VALUE"""),"")</f>
        <v/>
      </c>
      <c r="DW5" s="22" t="str">
        <f>IFERROR(__xludf.DUMMYFUNCTION("""COMPUTED_VALUE"""),"")</f>
        <v/>
      </c>
      <c r="DX5" s="22" t="str">
        <f>IFERROR(__xludf.DUMMYFUNCTION("""COMPUTED_VALUE"""),"")</f>
        <v/>
      </c>
      <c r="DY5" s="22" t="str">
        <f>IFERROR(__xludf.DUMMYFUNCTION("""COMPUTED_VALUE"""),"")</f>
        <v/>
      </c>
      <c r="DZ5" s="22" t="str">
        <f>IFERROR(__xludf.DUMMYFUNCTION("""COMPUTED_VALUE"""),"")</f>
        <v/>
      </c>
      <c r="EA5" s="22" t="str">
        <f>IFERROR(__xludf.DUMMYFUNCTION("""COMPUTED_VALUE"""),"")</f>
        <v/>
      </c>
      <c r="EB5" s="22" t="str">
        <f>IFERROR(__xludf.DUMMYFUNCTION("""COMPUTED_VALUE"""),"")</f>
        <v/>
      </c>
      <c r="EC5" s="22" t="str">
        <f>IFERROR(__xludf.DUMMYFUNCTION("""COMPUTED_VALUE"""),"")</f>
        <v/>
      </c>
      <c r="ED5" s="22" t="str">
        <f>IFERROR(__xludf.DUMMYFUNCTION("""COMPUTED_VALUE"""),"")</f>
        <v/>
      </c>
      <c r="EE5" s="22" t="str">
        <f>IFERROR(__xludf.DUMMYFUNCTION("""COMPUTED_VALUE"""),"")</f>
        <v/>
      </c>
      <c r="EF5" s="22" t="str">
        <f>IFERROR(__xludf.DUMMYFUNCTION("""COMPUTED_VALUE"""),"")</f>
        <v/>
      </c>
      <c r="EG5" s="22" t="str">
        <f>IFERROR(__xludf.DUMMYFUNCTION("""COMPUTED_VALUE"""),"")</f>
        <v/>
      </c>
      <c r="EH5" s="22" t="str">
        <f>IFERROR(__xludf.DUMMYFUNCTION("""COMPUTED_VALUE"""),"")</f>
        <v/>
      </c>
      <c r="EI5" s="22" t="str">
        <f>IFERROR(__xludf.DUMMYFUNCTION("""COMPUTED_VALUE"""),"")</f>
        <v/>
      </c>
      <c r="EJ5" s="22" t="str">
        <f>IFERROR(__xludf.DUMMYFUNCTION("""COMPUTED_VALUE"""),"")</f>
        <v/>
      </c>
      <c r="EK5" s="22" t="str">
        <f>IFERROR(__xludf.DUMMYFUNCTION("""COMPUTED_VALUE"""),"")</f>
        <v/>
      </c>
      <c r="EL5" s="22" t="str">
        <f>IFERROR(__xludf.DUMMYFUNCTION("""COMPUTED_VALUE"""),"")</f>
        <v/>
      </c>
      <c r="EM5" s="22" t="str">
        <f>IFERROR(__xludf.DUMMYFUNCTION("""COMPUTED_VALUE"""),"")</f>
        <v/>
      </c>
      <c r="EN5" s="22" t="str">
        <f>IFERROR(__xludf.DUMMYFUNCTION("""COMPUTED_VALUE"""),"")</f>
        <v/>
      </c>
      <c r="EO5" s="22" t="str">
        <f>IFERROR(__xludf.DUMMYFUNCTION("""COMPUTED_VALUE"""),"")</f>
        <v/>
      </c>
      <c r="EP5" s="22" t="str">
        <f>IFERROR(__xludf.DUMMYFUNCTION("""COMPUTED_VALUE"""),"")</f>
        <v/>
      </c>
      <c r="EQ5" s="22" t="str">
        <f>IFERROR(__xludf.DUMMYFUNCTION("""COMPUTED_VALUE"""),"")</f>
        <v/>
      </c>
      <c r="ER5" s="22" t="str">
        <f>IFERROR(__xludf.DUMMYFUNCTION("""COMPUTED_VALUE"""),"")</f>
        <v/>
      </c>
      <c r="ES5" s="22" t="str">
        <f>IFERROR(__xludf.DUMMYFUNCTION("""COMPUTED_VALUE"""),"")</f>
        <v/>
      </c>
      <c r="ET5" s="22" t="str">
        <f>IFERROR(__xludf.DUMMYFUNCTION("""COMPUTED_VALUE"""),"")</f>
        <v/>
      </c>
      <c r="EU5" s="22" t="str">
        <f>IFERROR(__xludf.DUMMYFUNCTION("""COMPUTED_VALUE"""),"")</f>
        <v/>
      </c>
      <c r="EV5" s="22" t="str">
        <f>IFERROR(__xludf.DUMMYFUNCTION("""COMPUTED_VALUE"""),"")</f>
        <v/>
      </c>
      <c r="EW5" s="22" t="str">
        <f>IFERROR(__xludf.DUMMYFUNCTION("""COMPUTED_VALUE"""),"")</f>
        <v/>
      </c>
      <c r="EX5" s="22" t="str">
        <f>IFERROR(__xludf.DUMMYFUNCTION("""COMPUTED_VALUE"""),"")</f>
        <v/>
      </c>
    </row>
    <row r="6" ht="15.75" customHeight="1">
      <c r="A6" s="6"/>
      <c r="B6" s="6" t="s">
        <v>13</v>
      </c>
      <c r="C6" s="6" t="s">
        <v>14</v>
      </c>
      <c r="D6" s="6">
        <v>10000.0</v>
      </c>
      <c r="E6" s="25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27" t="s">
        <v>15</v>
      </c>
      <c r="C7" s="6" t="s">
        <v>14</v>
      </c>
      <c r="D7" s="6">
        <v>20000.0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1b5S4Xpp4fgZ1ez6cK92QFnVBylqz8jhwxdAyEvwDqUI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20</v>
      </c>
      <c r="D3" s="5" t="s">
        <v>8</v>
      </c>
      <c r="E3" s="14" t="s">
        <v>21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IFERROR(__xludf.DUMMYFUNCTION("IF(C3="""","""",Transpose(IMPORTRANGE('_Settings'!$B$3,C3&amp;""!A4:A1000"")))"),"OpenTTFromPST")</f>
        <v>OpenTTFromPST</v>
      </c>
      <c r="C4" s="16" t="str">
        <f>IFERROR(__xludf.DUMMYFUNCTION("""COMPUTED_VALUE"""),"EnterDetailsOnTT")</f>
        <v>EnterDetailsOnTT</v>
      </c>
      <c r="D4" s="16" t="str">
        <f>IFERROR(__xludf.DUMMYFUNCTION("""COMPUTED_VALUE"""),"ValidateSymbolTT")</f>
        <v>ValidateSymbolTT</v>
      </c>
      <c r="E4" s="16" t="str">
        <f>IFERROR(__xludf.DUMMYFUNCTION("""COMPUTED_VALUE"""),"VerifyDataTT")</f>
        <v>VerifyDataTT</v>
      </c>
      <c r="F4" s="16" t="str">
        <f>IFERROR(__xludf.DUMMYFUNCTION("""COMPUTED_VALUE"""),"SetUIPreferencesTT")</f>
        <v>SetUIPreferencesTT</v>
      </c>
      <c r="G4" s="16" t="str">
        <f>IFERROR(__xludf.DUMMYFUNCTION("""COMPUTED_VALUE"""),"SetBrokerWisePreferencesTT")</f>
        <v>SetBrokerWisePreferencesTT</v>
      </c>
      <c r="H4" s="16" t="str">
        <f>IFERROR(__xludf.DUMMYFUNCTION("""COMPUTED_VALUE"""),"TradeNewSub")</f>
        <v>TradeNewSub</v>
      </c>
      <c r="I4" s="16" t="str">
        <f>IFERROR(__xludf.DUMMYFUNCTION("""COMPUTED_VALUE"""),"CreateStageOrder")</f>
        <v>CreateStageOrder</v>
      </c>
      <c r="J4" s="16" t="str">
        <f>IFERROR(__xludf.DUMMYFUNCTION("""COMPUTED_VALUE"""),"CreateReplaceOrder")</f>
        <v>CreateReplaceOrder</v>
      </c>
      <c r="K4" s="16" t="str">
        <f>IFERROR(__xludf.DUMMYFUNCTION("""COMPUTED_VALUE"""),"SetGeneralPreference")</f>
        <v>SetGeneralPreference</v>
      </c>
      <c r="L4" s="16" t="str">
        <f>IFERROR(__xludf.DUMMYFUNCTION("""COMPUTED_VALUE"""),"CreateDoneAwayOrder")</f>
        <v>CreateDoneAwayOrder</v>
      </c>
      <c r="M4" s="16" t="str">
        <f>IFERROR(__xludf.DUMMYFUNCTION("""COMPUTED_VALUE"""),"CreateNewSubOrder")</f>
        <v>CreateNewSubOrder</v>
      </c>
      <c r="N4" s="16" t="str">
        <f>IFERROR(__xludf.DUMMYFUNCTION("""COMPUTED_VALUE"""),"TradeBloomberg")</f>
        <v>TradeBloomberg</v>
      </c>
      <c r="O4" s="16" t="str">
        <f>IFERROR(__xludf.DUMMYFUNCTION("""COMPUTED_VALUE"""),"ClickSymbolLookup")</f>
        <v>ClickSymbolLookup</v>
      </c>
      <c r="P4" s="17" t="str">
        <f>IFERROR(__xludf.DUMMYFUNCTION("""COMPUTED_VALUE"""),"VerifyTT")</f>
        <v>VerifyTT</v>
      </c>
      <c r="Q4" s="17" t="str">
        <f>IFERROR(__xludf.DUMMYFUNCTION("""COMPUTED_VALUE"""),"CreateLiveOrder")</f>
        <v>CreateLiveOrder</v>
      </c>
      <c r="R4" s="17" t="str">
        <f>IFERROR(__xludf.DUMMYFUNCTION("""COMPUTED_VALUE"""),"")</f>
        <v/>
      </c>
      <c r="S4" s="17" t="str">
        <f>IFERROR(__xludf.DUMMYFUNCTION("""COMPUTED_VALUE"""),"")</f>
        <v/>
      </c>
      <c r="T4" s="17" t="str">
        <f>IFERROR(__xludf.DUMMYFUNCTION("""COMPUTED_VALUE"""),"")</f>
        <v/>
      </c>
      <c r="U4" s="17" t="str">
        <f>IFERROR(__xludf.DUMMYFUNCTION("""COMPUTED_VALUE"""),"")</f>
        <v/>
      </c>
      <c r="V4" s="17" t="str">
        <f>IFERROR(__xludf.DUMMYFUNCTION("""COMPUTED_VALUE"""),"")</f>
        <v/>
      </c>
      <c r="W4" s="17" t="str">
        <f>IFERROR(__xludf.DUMMYFUNCTION("""COMPUTED_VALUE"""),"")</f>
        <v/>
      </c>
      <c r="X4" s="17" t="str">
        <f>IFERROR(__xludf.DUMMYFUNCTION("""COMPUTED_VALUE"""),"")</f>
        <v/>
      </c>
      <c r="Y4" s="17" t="str">
        <f>IFERROR(__xludf.DUMMYFUNCTION("""COMPUTED_VALUE"""),"")</f>
        <v/>
      </c>
      <c r="Z4" s="17" t="str">
        <f>IFERROR(__xludf.DUMMYFUNCTION("""COMPUTED_VALUE"""),"")</f>
        <v/>
      </c>
      <c r="AA4" s="17" t="str">
        <f>IFERROR(__xludf.DUMMYFUNCTION("""COMPUTED_VALUE"""),"")</f>
        <v/>
      </c>
      <c r="AB4" s="17" t="str">
        <f>IFERROR(__xludf.DUMMYFUNCTION("""COMPUTED_VALUE"""),"")</f>
        <v/>
      </c>
      <c r="AC4" s="17" t="str">
        <f>IFERROR(__xludf.DUMMYFUNCTION("""COMPUTED_VALUE"""),"")</f>
        <v/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IFERROR(__xludf.DUMMYFUNCTION("""COMPUTED_VALUE"""),"Symbol")</f>
        <v>Symbol</v>
      </c>
      <c r="C5" s="20" t="str">
        <f>IFERROR(__xludf.DUMMYFUNCTION("""COMPUTED_VALUE"""),"Order Side")</f>
        <v>Order Side</v>
      </c>
      <c r="D5" s="20" t="str">
        <f>IFERROR(__xludf.DUMMYFUNCTION("""COMPUTED_VALUE"""),"Quantity")</f>
        <v>Quantity</v>
      </c>
      <c r="E5" s="20" t="str">
        <f>IFERROR(__xludf.DUMMYFUNCTION("""COMPUTED_VALUE"""),"TargetQuantityIn")</f>
        <v>TargetQuantityIn</v>
      </c>
      <c r="F5" s="21" t="str">
        <f>IFERROR(__xludf.DUMMYFUNCTION("""COMPUTED_VALUE"""),"AllocationMethod")</f>
        <v>AllocationMethod</v>
      </c>
      <c r="G5" s="20" t="str">
        <f>IFERROR(__xludf.DUMMYFUNCTION("""COMPUTED_VALUE"""),"Broker")</f>
        <v>Broker</v>
      </c>
      <c r="H5" s="20" t="str">
        <f>IFERROR(__xludf.DUMMYFUNCTION("""COMPUTED_VALUE"""),"TIF")</f>
        <v>TIF</v>
      </c>
      <c r="I5" s="20" t="str">
        <f>IFERROR(__xludf.DUMMYFUNCTION("""COMPUTED_VALUE"""),"Order Type")</f>
        <v>Order Type</v>
      </c>
      <c r="J5" s="20" t="str">
        <f>IFERROR(__xludf.DUMMYFUNCTION("""COMPUTED_VALUE"""),"Price")</f>
        <v>Price</v>
      </c>
      <c r="K5" s="20" t="str">
        <f>IFERROR(__xludf.DUMMYFUNCTION("""COMPUTED_VALUE"""),"Stop")</f>
        <v>Stop</v>
      </c>
      <c r="L5" s="20" t="str">
        <f>IFERROR(__xludf.DUMMYFUNCTION("""COMPUTED_VALUE"""),"Limit")</f>
        <v>Limit</v>
      </c>
      <c r="M5" s="20" t="str">
        <f>IFERROR(__xludf.DUMMYFUNCTION("""COMPUTED_VALUE"""),"Strategy")</f>
        <v>Strategy</v>
      </c>
      <c r="N5" s="20" t="str">
        <f>IFERROR(__xludf.DUMMYFUNCTION("""COMPUTED_VALUE"""),"Trade Date")</f>
        <v>Trade Date</v>
      </c>
      <c r="O5" s="20" t="str">
        <f>IFERROR(__xludf.DUMMYFUNCTION("""COMPUTED_VALUE"""),"FxRate")</f>
        <v>FxRate</v>
      </c>
      <c r="P5" s="20" t="str">
        <f>IFERROR(__xludf.DUMMYFUNCTION("""COMPUTED_VALUE"""),"Notes")</f>
        <v>Notes</v>
      </c>
      <c r="Q5" s="20" t="str">
        <f>IFERROR(__xludf.DUMMYFUNCTION("""COMPUTED_VALUE"""),"Broker Notes")</f>
        <v>Broker Notes</v>
      </c>
      <c r="R5" s="20" t="str">
        <f>IFERROR(__xludf.DUMMYFUNCTION("""COMPUTED_VALUE"""),"CommissionBasis")</f>
        <v>CommissionBasis</v>
      </c>
      <c r="S5" s="20" t="str">
        <f>IFERROR(__xludf.DUMMYFUNCTION("""COMPUTED_VALUE"""),"CommissionRate")</f>
        <v>CommissionRate</v>
      </c>
      <c r="T5" s="22" t="str">
        <f>IFERROR(__xludf.DUMMYFUNCTION("""COMPUTED_VALUE"""),"SoftBasis")</f>
        <v>SoftBasis</v>
      </c>
      <c r="U5" s="22" t="str">
        <f>IFERROR(__xludf.DUMMYFUNCTION("""COMPUTED_VALUE"""),"SoftRate")</f>
        <v>SoftRate</v>
      </c>
      <c r="V5" s="22" t="str">
        <f>IFERROR(__xludf.DUMMYFUNCTION("""COMPUTED_VALUE"""),"TradeAttribute1")</f>
        <v>TradeAttribute1</v>
      </c>
      <c r="W5" s="22" t="str">
        <f>IFERROR(__xludf.DUMMYFUNCTION("""COMPUTED_VALUE"""),"TradeAttribute2")</f>
        <v>TradeAttribute2</v>
      </c>
      <c r="X5" s="22" t="str">
        <f>IFERROR(__xludf.DUMMYFUNCTION("""COMPUTED_VALUE"""),"TradeAttribute3")</f>
        <v>TradeAttribute3</v>
      </c>
      <c r="Y5" s="22" t="str">
        <f>IFERROR(__xludf.DUMMYFUNCTION("""COMPUTED_VALUE"""),"TradeAttribute4")</f>
        <v>TradeAttribute4</v>
      </c>
      <c r="Z5" s="22" t="str">
        <f>IFERROR(__xludf.DUMMYFUNCTION("""COMPUTED_VALUE"""),"TradeAttribute5")</f>
        <v>TradeAttribute5</v>
      </c>
      <c r="AA5" s="22" t="str">
        <f>IFERROR(__xludf.DUMMYFUNCTION("""COMPUTED_VALUE"""),"TradeAttribute6")</f>
        <v>TradeAttribute6</v>
      </c>
      <c r="AB5" s="22" t="str">
        <f>IFERROR(__xludf.DUMMYFUNCTION("""COMPUTED_VALUE"""),"Venue")</f>
        <v>Venue</v>
      </c>
      <c r="AC5" s="22" t="str">
        <f>IFERROR(__xludf.DUMMYFUNCTION("""COMPUTED_VALUE"""),"ExecutionInstructions")</f>
        <v>ExecutionInstructions</v>
      </c>
      <c r="AD5" s="22" t="str">
        <f>IFERROR(__xludf.DUMMYFUNCTION("""COMPUTED_VALUE"""),"HandlingInstructions")</f>
        <v>HandlingInstructions</v>
      </c>
      <c r="AE5" s="22" t="str">
        <f>IFERROR(__xludf.DUMMYFUNCTION("""COMPUTED_VALUE"""),"Trader")</f>
        <v>Trader</v>
      </c>
      <c r="AF5" s="22" t="str">
        <f>IFERROR(__xludf.DUMMYFUNCTION("""COMPUTED_VALUE"""),"SettlementCurrency")</f>
        <v>SettlementCurrency</v>
      </c>
      <c r="AG5" s="22" t="str">
        <f>IFERROR(__xludf.DUMMYFUNCTION("""COMPUTED_VALUE"""),"SettlementFXRate")</f>
        <v>SettlementFXRate</v>
      </c>
      <c r="AH5" s="22" t="str">
        <f>IFERROR(__xludf.DUMMYFUNCTION("""COMPUTED_VALUE"""),"SettlementAmount")</f>
        <v>SettlementAmount</v>
      </c>
      <c r="AI5" s="22" t="str">
        <f>IFERROR(__xludf.DUMMYFUNCTION("""COMPUTED_VALUE"""),"SettlementFXOperator")</f>
        <v>SettlementFXOperator</v>
      </c>
      <c r="AJ5" s="22" t="str">
        <f>IFERROR(__xludf.DUMMYFUNCTION("""COMPUTED_VALUE"""),"SettleByBroker")</f>
        <v>SettleByBroker</v>
      </c>
      <c r="AK5" s="22" t="str">
        <f>IFERROR(__xludf.DUMMYFUNCTION("""COMPUTED_VALUE"""),"Account")</f>
        <v>Account</v>
      </c>
      <c r="AL5" s="22" t="str">
        <f>IFERROR(__xludf.DUMMYFUNCTION("""COMPUTED_VALUE"""),"Account %")</f>
        <v>Account %</v>
      </c>
      <c r="AM5" s="22" t="str">
        <f>IFERROR(__xludf.DUMMYFUNCTION("""COMPUTED_VALUE"""),"Deal In")</f>
        <v>Deal In</v>
      </c>
      <c r="AN5" s="22" t="str">
        <f>IFERROR(__xludf.DUMMYFUNCTION("""COMPUTED_VALUE"""),"")</f>
        <v/>
      </c>
      <c r="AO5" s="22" t="str">
        <f>IFERROR(__xludf.DUMMYFUNCTION("""COMPUTED_VALUE"""),"")</f>
        <v/>
      </c>
      <c r="AP5" s="22" t="str">
        <f>IFERROR(__xludf.DUMMYFUNCTION("""COMPUTED_VALUE"""),"")</f>
        <v/>
      </c>
      <c r="AQ5" s="22" t="str">
        <f>IFERROR(__xludf.DUMMYFUNCTION("""COMPUTED_VALUE"""),"")</f>
        <v/>
      </c>
      <c r="AR5" s="22" t="str">
        <f>IFERROR(__xludf.DUMMYFUNCTION("""COMPUTED_VALUE"""),"")</f>
        <v/>
      </c>
      <c r="AS5" s="22" t="str">
        <f>IFERROR(__xludf.DUMMYFUNCTION("""COMPUTED_VALUE"""),"")</f>
        <v/>
      </c>
      <c r="AT5" s="22" t="str">
        <f>IFERROR(__xludf.DUMMYFUNCTION("""COMPUTED_VALUE"""),"")</f>
        <v/>
      </c>
      <c r="AU5" s="22" t="str">
        <f>IFERROR(__xludf.DUMMYFUNCTION("""COMPUTED_VALUE"""),"")</f>
        <v/>
      </c>
      <c r="AV5" s="22" t="str">
        <f>IFERROR(__xludf.DUMMYFUNCTION("""COMPUTED_VALUE"""),"")</f>
        <v/>
      </c>
      <c r="AW5" s="22" t="str">
        <f>IFERROR(__xludf.DUMMYFUNCTION("""COMPUTED_VALUE"""),"")</f>
        <v/>
      </c>
      <c r="AX5" s="22" t="str">
        <f>IFERROR(__xludf.DUMMYFUNCTION("""COMPUTED_VALUE"""),"")</f>
        <v/>
      </c>
      <c r="AY5" s="22" t="str">
        <f>IFERROR(__xludf.DUMMYFUNCTION("""COMPUTED_VALUE"""),"")</f>
        <v/>
      </c>
      <c r="AZ5" s="22" t="str">
        <f>IFERROR(__xludf.DUMMYFUNCTION("""COMPUTED_VALUE"""),"")</f>
        <v/>
      </c>
      <c r="BA5" s="22" t="str">
        <f>IFERROR(__xludf.DUMMYFUNCTION("""COMPUTED_VALUE"""),"")</f>
        <v/>
      </c>
      <c r="BB5" s="22" t="str">
        <f>IFERROR(__xludf.DUMMYFUNCTION("""COMPUTED_VALUE"""),"")</f>
        <v/>
      </c>
      <c r="BC5" s="22" t="str">
        <f>IFERROR(__xludf.DUMMYFUNCTION("""COMPUTED_VALUE"""),"")</f>
        <v/>
      </c>
      <c r="BD5" s="22" t="str">
        <f>IFERROR(__xludf.DUMMYFUNCTION("""COMPUTED_VALUE"""),"")</f>
        <v/>
      </c>
      <c r="BE5" s="22" t="str">
        <f>IFERROR(__xludf.DUMMYFUNCTION("""COMPUTED_VALUE"""),"")</f>
        <v/>
      </c>
      <c r="BF5" s="22" t="str">
        <f>IFERROR(__xludf.DUMMYFUNCTION("""COMPUTED_VALUE"""),"")</f>
        <v/>
      </c>
      <c r="BG5" s="22" t="str">
        <f>IFERROR(__xludf.DUMMYFUNCTION("""COMPUTED_VALUE"""),"")</f>
        <v/>
      </c>
      <c r="BH5" s="22" t="str">
        <f>IFERROR(__xludf.DUMMYFUNCTION("""COMPUTED_VALUE"""),"")</f>
        <v/>
      </c>
      <c r="BI5" s="22" t="str">
        <f>IFERROR(__xludf.DUMMYFUNCTION("""COMPUTED_VALUE"""),"")</f>
        <v/>
      </c>
      <c r="BJ5" s="22" t="str">
        <f>IFERROR(__xludf.DUMMYFUNCTION("""COMPUTED_VALUE"""),"")</f>
        <v/>
      </c>
      <c r="BK5" s="22" t="str">
        <f>IFERROR(__xludf.DUMMYFUNCTION("""COMPUTED_VALUE"""),"")</f>
        <v/>
      </c>
      <c r="BL5" s="22" t="str">
        <f>IFERROR(__xludf.DUMMYFUNCTION("""COMPUTED_VALUE"""),"")</f>
        <v/>
      </c>
      <c r="BM5" s="22" t="str">
        <f>IFERROR(__xludf.DUMMYFUNCTION("""COMPUTED_VALUE"""),"")</f>
        <v/>
      </c>
      <c r="BN5" s="22" t="str">
        <f>IFERROR(__xludf.DUMMYFUNCTION("""COMPUTED_VALUE"""),"")</f>
        <v/>
      </c>
      <c r="BO5" s="22" t="str">
        <f>IFERROR(__xludf.DUMMYFUNCTION("""COMPUTED_VALUE"""),"")</f>
        <v/>
      </c>
      <c r="BP5" s="22" t="str">
        <f>IFERROR(__xludf.DUMMYFUNCTION("""COMPUTED_VALUE"""),"")</f>
        <v/>
      </c>
      <c r="BQ5" s="22" t="str">
        <f>IFERROR(__xludf.DUMMYFUNCTION("""COMPUTED_VALUE"""),"")</f>
        <v/>
      </c>
      <c r="BR5" s="22" t="str">
        <f>IFERROR(__xludf.DUMMYFUNCTION("""COMPUTED_VALUE"""),"")</f>
        <v/>
      </c>
      <c r="BS5" s="22" t="str">
        <f>IFERROR(__xludf.DUMMYFUNCTION("""COMPUTED_VALUE"""),"")</f>
        <v/>
      </c>
      <c r="BT5" s="22" t="str">
        <f>IFERROR(__xludf.DUMMYFUNCTION("""COMPUTED_VALUE"""),"")</f>
        <v/>
      </c>
      <c r="BU5" s="22" t="str">
        <f>IFERROR(__xludf.DUMMYFUNCTION("""COMPUTED_VALUE"""),"")</f>
        <v/>
      </c>
      <c r="BV5" s="22" t="str">
        <f>IFERROR(__xludf.DUMMYFUNCTION("""COMPUTED_VALUE"""),"")</f>
        <v/>
      </c>
      <c r="BW5" s="22" t="str">
        <f>IFERROR(__xludf.DUMMYFUNCTION("""COMPUTED_VALUE"""),"")</f>
        <v/>
      </c>
      <c r="BX5" s="22" t="str">
        <f>IFERROR(__xludf.DUMMYFUNCTION("""COMPUTED_VALUE"""),"")</f>
        <v/>
      </c>
      <c r="BY5" s="22" t="str">
        <f>IFERROR(__xludf.DUMMYFUNCTION("""COMPUTED_VALUE"""),"")</f>
        <v/>
      </c>
      <c r="BZ5" s="22" t="str">
        <f>IFERROR(__xludf.DUMMYFUNCTION("""COMPUTED_VALUE"""),"")</f>
        <v/>
      </c>
      <c r="CA5" s="22" t="str">
        <f>IFERROR(__xludf.DUMMYFUNCTION("""COMPUTED_VALUE"""),"")</f>
        <v/>
      </c>
      <c r="CB5" s="22" t="str">
        <f>IFERROR(__xludf.DUMMYFUNCTION("""COMPUTED_VALUE"""),"")</f>
        <v/>
      </c>
      <c r="CC5" s="22" t="str">
        <f>IFERROR(__xludf.DUMMYFUNCTION("""COMPUTED_VALUE"""),"")</f>
        <v/>
      </c>
      <c r="CD5" s="22" t="str">
        <f>IFERROR(__xludf.DUMMYFUNCTION("""COMPUTED_VALUE"""),"")</f>
        <v/>
      </c>
      <c r="CE5" s="22" t="str">
        <f>IFERROR(__xludf.DUMMYFUNCTION("""COMPUTED_VALUE"""),"")</f>
        <v/>
      </c>
      <c r="CF5" s="22" t="str">
        <f>IFERROR(__xludf.DUMMYFUNCTION("""COMPUTED_VALUE"""),"")</f>
        <v/>
      </c>
      <c r="CG5" s="22" t="str">
        <f>IFERROR(__xludf.DUMMYFUNCTION("""COMPUTED_VALUE"""),"")</f>
        <v/>
      </c>
      <c r="CH5" s="22" t="str">
        <f>IFERROR(__xludf.DUMMYFUNCTION("""COMPUTED_VALUE"""),"")</f>
        <v/>
      </c>
      <c r="CI5" s="22" t="str">
        <f>IFERROR(__xludf.DUMMYFUNCTION("""COMPUTED_VALUE"""),"")</f>
        <v/>
      </c>
      <c r="CJ5" s="22" t="str">
        <f>IFERROR(__xludf.DUMMYFUNCTION("""COMPUTED_VALUE"""),"")</f>
        <v/>
      </c>
      <c r="CK5" s="22" t="str">
        <f>IFERROR(__xludf.DUMMYFUNCTION("""COMPUTED_VALUE"""),"")</f>
        <v/>
      </c>
      <c r="CL5" s="22" t="str">
        <f>IFERROR(__xludf.DUMMYFUNCTION("""COMPUTED_VALUE"""),"")</f>
        <v/>
      </c>
      <c r="CM5" s="22" t="str">
        <f>IFERROR(__xludf.DUMMYFUNCTION("""COMPUTED_VALUE"""),"")</f>
        <v/>
      </c>
      <c r="CN5" s="22" t="str">
        <f>IFERROR(__xludf.DUMMYFUNCTION("""COMPUTED_VALUE"""),"")</f>
        <v/>
      </c>
      <c r="CO5" s="22" t="str">
        <f>IFERROR(__xludf.DUMMYFUNCTION("""COMPUTED_VALUE"""),"")</f>
        <v/>
      </c>
      <c r="CP5" s="22" t="str">
        <f>IFERROR(__xludf.DUMMYFUNCTION("""COMPUTED_VALUE"""),"")</f>
        <v/>
      </c>
      <c r="CQ5" s="22" t="str">
        <f>IFERROR(__xludf.DUMMYFUNCTION("""COMPUTED_VALUE"""),"")</f>
        <v/>
      </c>
      <c r="CR5" s="22" t="str">
        <f>IFERROR(__xludf.DUMMYFUNCTION("""COMPUTED_VALUE"""),"")</f>
        <v/>
      </c>
      <c r="CS5" s="22" t="str">
        <f>IFERROR(__xludf.DUMMYFUNCTION("""COMPUTED_VALUE"""),"")</f>
        <v/>
      </c>
      <c r="CT5" s="22" t="str">
        <f>IFERROR(__xludf.DUMMYFUNCTION("""COMPUTED_VALUE"""),"")</f>
        <v/>
      </c>
      <c r="CU5" s="22" t="str">
        <f>IFERROR(__xludf.DUMMYFUNCTION("""COMPUTED_VALUE"""),"")</f>
        <v/>
      </c>
      <c r="CV5" s="22" t="str">
        <f>IFERROR(__xludf.DUMMYFUNCTION("""COMPUTED_VALUE"""),"")</f>
        <v/>
      </c>
      <c r="CW5" s="22" t="str">
        <f>IFERROR(__xludf.DUMMYFUNCTION("""COMPUTED_VALUE"""),"")</f>
        <v/>
      </c>
      <c r="CX5" s="22" t="str">
        <f>IFERROR(__xludf.DUMMYFUNCTION("""COMPUTED_VALUE"""),"")</f>
        <v/>
      </c>
      <c r="CY5" s="22" t="str">
        <f>IFERROR(__xludf.DUMMYFUNCTION("""COMPUTED_VALUE"""),"")</f>
        <v/>
      </c>
      <c r="CZ5" s="22" t="str">
        <f>IFERROR(__xludf.DUMMYFUNCTION("""COMPUTED_VALUE"""),"")</f>
        <v/>
      </c>
      <c r="DA5" s="22" t="str">
        <f>IFERROR(__xludf.DUMMYFUNCTION("""COMPUTED_VALUE"""),"")</f>
        <v/>
      </c>
      <c r="DB5" s="22" t="str">
        <f>IFERROR(__xludf.DUMMYFUNCTION("""COMPUTED_VALUE"""),"")</f>
        <v/>
      </c>
      <c r="DC5" s="22" t="str">
        <f>IFERROR(__xludf.DUMMYFUNCTION("""COMPUTED_VALUE"""),"")</f>
        <v/>
      </c>
      <c r="DD5" s="22" t="str">
        <f>IFERROR(__xludf.DUMMYFUNCTION("""COMPUTED_VALUE"""),"")</f>
        <v/>
      </c>
      <c r="DE5" s="22" t="str">
        <f>IFERROR(__xludf.DUMMYFUNCTION("""COMPUTED_VALUE"""),"")</f>
        <v/>
      </c>
      <c r="DF5" s="22" t="str">
        <f>IFERROR(__xludf.DUMMYFUNCTION("""COMPUTED_VALUE"""),"")</f>
        <v/>
      </c>
      <c r="DG5" s="22" t="str">
        <f>IFERROR(__xludf.DUMMYFUNCTION("""COMPUTED_VALUE"""),"")</f>
        <v/>
      </c>
      <c r="DH5" s="22" t="str">
        <f>IFERROR(__xludf.DUMMYFUNCTION("""COMPUTED_VALUE"""),"")</f>
        <v/>
      </c>
      <c r="DI5" s="22" t="str">
        <f>IFERROR(__xludf.DUMMYFUNCTION("""COMPUTED_VALUE"""),"")</f>
        <v/>
      </c>
      <c r="DJ5" s="22" t="str">
        <f>IFERROR(__xludf.DUMMYFUNCTION("""COMPUTED_VALUE"""),"")</f>
        <v/>
      </c>
      <c r="DK5" s="22" t="str">
        <f>IFERROR(__xludf.DUMMYFUNCTION("""COMPUTED_VALUE"""),"")</f>
        <v/>
      </c>
      <c r="DL5" s="22" t="str">
        <f>IFERROR(__xludf.DUMMYFUNCTION("""COMPUTED_VALUE"""),"")</f>
        <v/>
      </c>
      <c r="DM5" s="22" t="str">
        <f>IFERROR(__xludf.DUMMYFUNCTION("""COMPUTED_VALUE"""),"")</f>
        <v/>
      </c>
      <c r="DN5" s="22" t="str">
        <f>IFERROR(__xludf.DUMMYFUNCTION("""COMPUTED_VALUE"""),"")</f>
        <v/>
      </c>
      <c r="DO5" s="22" t="str">
        <f>IFERROR(__xludf.DUMMYFUNCTION("""COMPUTED_VALUE"""),"")</f>
        <v/>
      </c>
      <c r="DP5" s="22" t="str">
        <f>IFERROR(__xludf.DUMMYFUNCTION("""COMPUTED_VALUE"""),"")</f>
        <v/>
      </c>
      <c r="DQ5" s="22" t="str">
        <f>IFERROR(__xludf.DUMMYFUNCTION("""COMPUTED_VALUE"""),"")</f>
        <v/>
      </c>
      <c r="DR5" s="22" t="str">
        <f>IFERROR(__xludf.DUMMYFUNCTION("""COMPUTED_VALUE"""),"")</f>
        <v/>
      </c>
      <c r="DS5" s="22" t="str">
        <f>IFERROR(__xludf.DUMMYFUNCTION("""COMPUTED_VALUE"""),"")</f>
        <v/>
      </c>
      <c r="DT5" s="22" t="str">
        <f>IFERROR(__xludf.DUMMYFUNCTION("""COMPUTED_VALUE"""),"")</f>
        <v/>
      </c>
      <c r="DU5" s="22" t="str">
        <f>IFERROR(__xludf.DUMMYFUNCTION("""COMPUTED_VALUE"""),"")</f>
        <v/>
      </c>
      <c r="DV5" s="22" t="str">
        <f>IFERROR(__xludf.DUMMYFUNCTION("""COMPUTED_VALUE"""),"")</f>
        <v/>
      </c>
      <c r="DW5" s="22" t="str">
        <f>IFERROR(__xludf.DUMMYFUNCTION("""COMPUTED_VALUE"""),"")</f>
        <v/>
      </c>
      <c r="DX5" s="22" t="str">
        <f>IFERROR(__xludf.DUMMYFUNCTION("""COMPUTED_VALUE"""),"")</f>
        <v/>
      </c>
      <c r="DY5" s="22" t="str">
        <f>IFERROR(__xludf.DUMMYFUNCTION("""COMPUTED_VALUE"""),"")</f>
        <v/>
      </c>
      <c r="DZ5" s="22" t="str">
        <f>IFERROR(__xludf.DUMMYFUNCTION("""COMPUTED_VALUE"""),"")</f>
        <v/>
      </c>
      <c r="EA5" s="22" t="str">
        <f>IFERROR(__xludf.DUMMYFUNCTION("""COMPUTED_VALUE"""),"")</f>
        <v/>
      </c>
      <c r="EB5" s="22" t="str">
        <f>IFERROR(__xludf.DUMMYFUNCTION("""COMPUTED_VALUE"""),"")</f>
        <v/>
      </c>
      <c r="EC5" s="22" t="str">
        <f>IFERROR(__xludf.DUMMYFUNCTION("""COMPUTED_VALUE"""),"")</f>
        <v/>
      </c>
      <c r="ED5" s="22" t="str">
        <f>IFERROR(__xludf.DUMMYFUNCTION("""COMPUTED_VALUE"""),"")</f>
        <v/>
      </c>
      <c r="EE5" s="22" t="str">
        <f>IFERROR(__xludf.DUMMYFUNCTION("""COMPUTED_VALUE"""),"")</f>
        <v/>
      </c>
      <c r="EF5" s="22" t="str">
        <f>IFERROR(__xludf.DUMMYFUNCTION("""COMPUTED_VALUE"""),"")</f>
        <v/>
      </c>
      <c r="EG5" s="22" t="str">
        <f>IFERROR(__xludf.DUMMYFUNCTION("""COMPUTED_VALUE"""),"")</f>
        <v/>
      </c>
      <c r="EH5" s="22" t="str">
        <f>IFERROR(__xludf.DUMMYFUNCTION("""COMPUTED_VALUE"""),"")</f>
        <v/>
      </c>
      <c r="EI5" s="22" t="str">
        <f>IFERROR(__xludf.DUMMYFUNCTION("""COMPUTED_VALUE"""),"")</f>
        <v/>
      </c>
      <c r="EJ5" s="22" t="str">
        <f>IFERROR(__xludf.DUMMYFUNCTION("""COMPUTED_VALUE"""),"")</f>
        <v/>
      </c>
      <c r="EK5" s="22" t="str">
        <f>IFERROR(__xludf.DUMMYFUNCTION("""COMPUTED_VALUE"""),"")</f>
        <v/>
      </c>
      <c r="EL5" s="22" t="str">
        <f>IFERROR(__xludf.DUMMYFUNCTION("""COMPUTED_VALUE"""),"")</f>
        <v/>
      </c>
      <c r="EM5" s="22" t="str">
        <f>IFERROR(__xludf.DUMMYFUNCTION("""COMPUTED_VALUE"""),"")</f>
        <v/>
      </c>
      <c r="EN5" s="22" t="str">
        <f>IFERROR(__xludf.DUMMYFUNCTION("""COMPUTED_VALUE"""),"")</f>
        <v/>
      </c>
      <c r="EO5" s="22" t="str">
        <f>IFERROR(__xludf.DUMMYFUNCTION("""COMPUTED_VALUE"""),"")</f>
        <v/>
      </c>
      <c r="EP5" s="22" t="str">
        <f>IFERROR(__xludf.DUMMYFUNCTION("""COMPUTED_VALUE"""),"")</f>
        <v/>
      </c>
      <c r="EQ5" s="22" t="str">
        <f>IFERROR(__xludf.DUMMYFUNCTION("""COMPUTED_VALUE"""),"")</f>
        <v/>
      </c>
      <c r="ER5" s="22" t="str">
        <f>IFERROR(__xludf.DUMMYFUNCTION("""COMPUTED_VALUE"""),"")</f>
        <v/>
      </c>
      <c r="ES5" s="22" t="str">
        <f>IFERROR(__xludf.DUMMYFUNCTION("""COMPUTED_VALUE"""),"")</f>
        <v/>
      </c>
      <c r="ET5" s="22" t="str">
        <f>IFERROR(__xludf.DUMMYFUNCTION("""COMPUTED_VALUE"""),"")</f>
        <v/>
      </c>
      <c r="EU5" s="22" t="str">
        <f>IFERROR(__xludf.DUMMYFUNCTION("""COMPUTED_VALUE"""),"")</f>
        <v/>
      </c>
      <c r="EV5" s="22" t="str">
        <f>IFERROR(__xludf.DUMMYFUNCTION("""COMPUTED_VALUE"""),"")</f>
        <v/>
      </c>
      <c r="EW5" s="22" t="str">
        <f>IFERROR(__xludf.DUMMYFUNCTION("""COMPUTED_VALUE"""),"")</f>
        <v/>
      </c>
      <c r="EX5" s="22" t="str">
        <f>IFERROR(__xludf.DUMMYFUNCTION("""COMPUTED_VALUE"""),"")</f>
        <v/>
      </c>
    </row>
    <row r="6" ht="15.75" customHeight="1">
      <c r="A6" s="6"/>
      <c r="B6" s="35" t="s">
        <v>22</v>
      </c>
      <c r="C6" s="36" t="s">
        <v>23</v>
      </c>
      <c r="D6" s="37">
        <v>100.0</v>
      </c>
      <c r="E6" s="37">
        <v>100.0</v>
      </c>
      <c r="F6" s="36" t="s">
        <v>15</v>
      </c>
      <c r="G6" s="38"/>
      <c r="H6" s="38"/>
      <c r="I6" s="38"/>
      <c r="J6" s="37">
        <v>20.0</v>
      </c>
      <c r="K6" s="4"/>
      <c r="L6" s="4"/>
      <c r="M6" s="4"/>
      <c r="N6" s="39">
        <f>TODAY()</f>
        <v>43641</v>
      </c>
      <c r="O6" s="4"/>
    </row>
    <row r="7" ht="15.75" customHeight="1">
      <c r="A7" s="4"/>
      <c r="B7" s="40" t="s">
        <v>24</v>
      </c>
      <c r="C7" s="40" t="s">
        <v>23</v>
      </c>
      <c r="D7" s="41">
        <v>100.0</v>
      </c>
      <c r="E7" s="41">
        <v>100.0</v>
      </c>
      <c r="F7" s="40" t="s">
        <v>13</v>
      </c>
      <c r="G7" s="42"/>
      <c r="H7" s="42"/>
      <c r="I7" s="42"/>
      <c r="J7" s="41">
        <v>20.0</v>
      </c>
      <c r="K7" s="4"/>
      <c r="L7" s="4"/>
      <c r="M7" s="4"/>
      <c r="N7" s="4"/>
      <c r="O7" s="4"/>
    </row>
    <row r="8" ht="15.75" customHeight="1">
      <c r="A8" s="4"/>
      <c r="B8" s="40" t="s">
        <v>25</v>
      </c>
      <c r="C8" s="40" t="s">
        <v>23</v>
      </c>
      <c r="D8" s="41">
        <v>10.0</v>
      </c>
      <c r="E8" s="41">
        <v>10.0</v>
      </c>
      <c r="F8" s="40" t="s">
        <v>15</v>
      </c>
      <c r="G8" s="42"/>
      <c r="H8" s="42"/>
      <c r="I8" s="42"/>
      <c r="J8" s="41">
        <v>30.0</v>
      </c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26</v>
      </c>
      <c r="D3" s="5" t="s">
        <v>8</v>
      </c>
      <c r="E3" s="14" t="s">
        <v>26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IFERROR(__xludf.DUMMYFUNCTION("IF(C3="""","""",Transpose(IMPORTRANGE('_Settings'!$B$3,C3&amp;""!A4:A1000"")))"),"PricingInput")</f>
        <v>PricingInput</v>
      </c>
      <c r="C4" s="16" t="str">
        <f>IFERROR(__xludf.DUMMYFUNCTION("""COMPUTED_VALUE"""),"UpdateSharesOutstanding")</f>
        <v>UpdateSharesOutstanding</v>
      </c>
      <c r="D4" s="16" t="str">
        <f>IFERROR(__xludf.DUMMYFUNCTION("""COMPUTED_VALUE"""),"EODTPreferences")</f>
        <v>EODTPreferences</v>
      </c>
      <c r="E4" s="16" t="str">
        <f>IFERROR(__xludf.DUMMYFUNCTION("""COMPUTED_VALUE"""),"LiveData")</f>
        <v>LiveData</v>
      </c>
      <c r="F4" s="16" t="str">
        <f>IFERROR(__xludf.DUMMYFUNCTION("""COMPUTED_VALUE"""),"")</f>
        <v/>
      </c>
      <c r="G4" s="16" t="str">
        <f>IFERROR(__xludf.DUMMYFUNCTION("""COMPUTED_VALUE"""),"")</f>
        <v/>
      </c>
      <c r="H4" s="16" t="str">
        <f>IFERROR(__xludf.DUMMYFUNCTION("""COMPUTED_VALUE"""),"")</f>
        <v/>
      </c>
      <c r="I4" s="16" t="str">
        <f>IFERROR(__xludf.DUMMYFUNCTION("""COMPUTED_VALUE"""),"")</f>
        <v/>
      </c>
      <c r="J4" s="16" t="str">
        <f>IFERROR(__xludf.DUMMYFUNCTION("""COMPUTED_VALUE"""),"")</f>
        <v/>
      </c>
      <c r="K4" s="16" t="str">
        <f>IFERROR(__xludf.DUMMYFUNCTION("""COMPUTED_VALUE"""),"")</f>
        <v/>
      </c>
      <c r="L4" s="16" t="str">
        <f>IFERROR(__xludf.DUMMYFUNCTION("""COMPUTED_VALUE"""),"")</f>
        <v/>
      </c>
      <c r="M4" s="16" t="str">
        <f>IFERROR(__xludf.DUMMYFUNCTION("""COMPUTED_VALUE"""),"")</f>
        <v/>
      </c>
      <c r="N4" s="16" t="str">
        <f>IFERROR(__xludf.DUMMYFUNCTION("""COMPUTED_VALUE"""),"")</f>
        <v/>
      </c>
      <c r="O4" s="16" t="str">
        <f>IFERROR(__xludf.DUMMYFUNCTION("""COMPUTED_VALUE"""),"")</f>
        <v/>
      </c>
      <c r="P4" s="17" t="str">
        <f>IFERROR(__xludf.DUMMYFUNCTION("""COMPUTED_VALUE"""),"")</f>
        <v/>
      </c>
      <c r="Q4" s="17" t="str">
        <f>IFERROR(__xludf.DUMMYFUNCTION("""COMPUTED_VALUE"""),"")</f>
        <v/>
      </c>
      <c r="R4" s="17" t="str">
        <f>IFERROR(__xludf.DUMMYFUNCTION("""COMPUTED_VALUE"""),"")</f>
        <v/>
      </c>
      <c r="S4" s="17" t="str">
        <f>IFERROR(__xludf.DUMMYFUNCTION("""COMPUTED_VALUE"""),"")</f>
        <v/>
      </c>
      <c r="T4" s="17" t="str">
        <f>IFERROR(__xludf.DUMMYFUNCTION("""COMPUTED_VALUE"""),"")</f>
        <v/>
      </c>
      <c r="U4" s="17" t="str">
        <f>IFERROR(__xludf.DUMMYFUNCTION("""COMPUTED_VALUE"""),"")</f>
        <v/>
      </c>
      <c r="V4" s="17" t="str">
        <f>IFERROR(__xludf.DUMMYFUNCTION("""COMPUTED_VALUE"""),"")</f>
        <v/>
      </c>
      <c r="W4" s="17" t="str">
        <f>IFERROR(__xludf.DUMMYFUNCTION("""COMPUTED_VALUE"""),"")</f>
        <v/>
      </c>
      <c r="X4" s="17" t="str">
        <f>IFERROR(__xludf.DUMMYFUNCTION("""COMPUTED_VALUE"""),"")</f>
        <v/>
      </c>
      <c r="Y4" s="17" t="str">
        <f>IFERROR(__xludf.DUMMYFUNCTION("""COMPUTED_VALUE"""),"")</f>
        <v/>
      </c>
      <c r="Z4" s="17" t="str">
        <f>IFERROR(__xludf.DUMMYFUNCTION("""COMPUTED_VALUE"""),"")</f>
        <v/>
      </c>
      <c r="AA4" s="17" t="str">
        <f>IFERROR(__xludf.DUMMYFUNCTION("""COMPUTED_VALUE"""),"")</f>
        <v/>
      </c>
      <c r="AB4" s="17" t="str">
        <f>IFERROR(__xludf.DUMMYFUNCTION("""COMPUTED_VALUE"""),"")</f>
        <v/>
      </c>
      <c r="AC4" s="17" t="str">
        <f>IFERROR(__xludf.DUMMYFUNCTION("""COMPUTED_VALUE"""),"")</f>
        <v/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IFERROR(__xludf.DUMMYFUNCTION("""COMPUTED_VALUE"""),"Symbol")</f>
        <v>Symbol</v>
      </c>
      <c r="C5" s="20" t="str">
        <f>IFERROR(__xludf.DUMMYFUNCTION("""COMPUTED_VALUE"""),"User Px")</f>
        <v>User Px</v>
      </c>
      <c r="D5" s="20" t="str">
        <f>IFERROR(__xludf.DUMMYFUNCTION("""COMPUTED_VALUE"""),"Asset Class")</f>
        <v>Asset Class</v>
      </c>
      <c r="E5" s="20" t="str">
        <f>IFERROR(__xludf.DUMMYFUNCTION("""COMPUTED_VALUE"""),"Volatility(%)")</f>
        <v>Volatility(%)</v>
      </c>
      <c r="F5" s="21" t="str">
        <f>IFERROR(__xludf.DUMMYFUNCTION("""COMPUTED_VALUE"""),"Historical Volatility")</f>
        <v>Historical Volatility</v>
      </c>
      <c r="G5" s="20" t="str">
        <f>IFERROR(__xludf.DUMMYFUNCTION("""COMPUTED_VALUE"""),"User Volatility")</f>
        <v>User Volatility</v>
      </c>
      <c r="H5" s="20" t="str">
        <f>IFERROR(__xludf.DUMMYFUNCTION("""COMPUTED_VALUE"""),"Interest Rate")</f>
        <v>Interest Rate</v>
      </c>
      <c r="I5" s="20" t="str">
        <f>IFERROR(__xludf.DUMMYFUNCTION("""COMPUTED_VALUE"""),"User Interest Rate")</f>
        <v>User Interest Rate</v>
      </c>
      <c r="J5" s="20" t="str">
        <f>IFERROR(__xludf.DUMMYFUNCTION("""COMPUTED_VALUE"""),"Dividend Yield")</f>
        <v>Dividend Yield</v>
      </c>
      <c r="K5" s="20" t="str">
        <f>IFERROR(__xludf.DUMMYFUNCTION("""COMPUTED_VALUE"""),"User Dividend Yield")</f>
        <v>User Dividend Yield</v>
      </c>
      <c r="L5" s="20" t="str">
        <f>IFERROR(__xludf.DUMMYFUNCTION("""COMPUTED_VALUE"""),"Actual Delta")</f>
        <v>Actual Delta</v>
      </c>
      <c r="M5" s="20" t="str">
        <f>IFERROR(__xludf.DUMMYFUNCTION("""COMPUTED_VALUE"""),"User Delta")</f>
        <v>User Delta</v>
      </c>
      <c r="N5" s="20" t="str">
        <f>IFERROR(__xludf.DUMMYFUNCTION("""COMPUTED_VALUE"""),"Selected Px")</f>
        <v>Selected Px</v>
      </c>
      <c r="O5" s="20" t="str">
        <f>IFERROR(__xludf.DUMMYFUNCTION("""COMPUTED_VALUE"""),"Forward Points")</f>
        <v>Forward Points</v>
      </c>
      <c r="P5" s="20" t="str">
        <f>IFERROR(__xludf.DUMMYFUNCTION("""COMPUTED_VALUE"""),"Shares Outstanding")</f>
        <v>Shares Outstanding</v>
      </c>
      <c r="Q5" s="20" t="str">
        <f>IFERROR(__xludf.DUMMYFUNCTION("""COMPUTED_VALUE"""),"User Shares Outstanding")</f>
        <v>User Shares Outstanding</v>
      </c>
      <c r="R5" s="20" t="str">
        <f>IFERROR(__xludf.DUMMYFUNCTION("""COMPUTED_VALUE"""),"LastPriceUsed")</f>
        <v>LastPriceUsed</v>
      </c>
      <c r="S5" s="20" t="str">
        <f>IFERROR(__xludf.DUMMYFUNCTION("""COMPUTED_VALUE"""),"VolatilityUsed")</f>
        <v>VolatilityUsed</v>
      </c>
      <c r="T5" s="22" t="str">
        <f>IFERROR(__xludf.DUMMYFUNCTION("""COMPUTED_VALUE"""),"IntRateUsed")</f>
        <v>IntRateUsed</v>
      </c>
      <c r="U5" s="22" t="str">
        <f>IFERROR(__xludf.DUMMYFUNCTION("""COMPUTED_VALUE"""),"")</f>
        <v/>
      </c>
      <c r="V5" s="22" t="str">
        <f>IFERROR(__xludf.DUMMYFUNCTION("""COMPUTED_VALUE"""),"")</f>
        <v/>
      </c>
      <c r="W5" s="22" t="str">
        <f>IFERROR(__xludf.DUMMYFUNCTION("""COMPUTED_VALUE"""),"")</f>
        <v/>
      </c>
      <c r="X5" s="22" t="str">
        <f>IFERROR(__xludf.DUMMYFUNCTION("""COMPUTED_VALUE"""),"")</f>
        <v/>
      </c>
      <c r="Y5" s="22" t="str">
        <f>IFERROR(__xludf.DUMMYFUNCTION("""COMPUTED_VALUE"""),"")</f>
        <v/>
      </c>
      <c r="Z5" s="22" t="str">
        <f>IFERROR(__xludf.DUMMYFUNCTION("""COMPUTED_VALUE"""),"")</f>
        <v/>
      </c>
      <c r="AA5" s="22" t="str">
        <f>IFERROR(__xludf.DUMMYFUNCTION("""COMPUTED_VALUE"""),"")</f>
        <v/>
      </c>
      <c r="AB5" s="22" t="str">
        <f>IFERROR(__xludf.DUMMYFUNCTION("""COMPUTED_VALUE"""),"")</f>
        <v/>
      </c>
      <c r="AC5" s="22" t="str">
        <f>IFERROR(__xludf.DUMMYFUNCTION("""COMPUTED_VALUE"""),"")</f>
        <v/>
      </c>
      <c r="AD5" s="22" t="str">
        <f>IFERROR(__xludf.DUMMYFUNCTION("""COMPUTED_VALUE"""),"")</f>
        <v/>
      </c>
      <c r="AE5" s="22" t="str">
        <f>IFERROR(__xludf.DUMMYFUNCTION("""COMPUTED_VALUE"""),"")</f>
        <v/>
      </c>
      <c r="AF5" s="22" t="str">
        <f>IFERROR(__xludf.DUMMYFUNCTION("""COMPUTED_VALUE"""),"")</f>
        <v/>
      </c>
      <c r="AG5" s="22" t="str">
        <f>IFERROR(__xludf.DUMMYFUNCTION("""COMPUTED_VALUE"""),"")</f>
        <v/>
      </c>
      <c r="AH5" s="22" t="str">
        <f>IFERROR(__xludf.DUMMYFUNCTION("""COMPUTED_VALUE"""),"")</f>
        <v/>
      </c>
      <c r="AI5" s="22" t="str">
        <f>IFERROR(__xludf.DUMMYFUNCTION("""COMPUTED_VALUE"""),"")</f>
        <v/>
      </c>
      <c r="AJ5" s="22" t="str">
        <f>IFERROR(__xludf.DUMMYFUNCTION("""COMPUTED_VALUE"""),"")</f>
        <v/>
      </c>
      <c r="AK5" s="22" t="str">
        <f>IFERROR(__xludf.DUMMYFUNCTION("""COMPUTED_VALUE"""),"")</f>
        <v/>
      </c>
      <c r="AL5" s="22" t="str">
        <f>IFERROR(__xludf.DUMMYFUNCTION("""COMPUTED_VALUE"""),"")</f>
        <v/>
      </c>
      <c r="AM5" s="22" t="str">
        <f>IFERROR(__xludf.DUMMYFUNCTION("""COMPUTED_VALUE"""),"")</f>
        <v/>
      </c>
      <c r="AN5" s="22" t="str">
        <f>IFERROR(__xludf.DUMMYFUNCTION("""COMPUTED_VALUE"""),"")</f>
        <v/>
      </c>
      <c r="AO5" s="22" t="str">
        <f>IFERROR(__xludf.DUMMYFUNCTION("""COMPUTED_VALUE"""),"")</f>
        <v/>
      </c>
      <c r="AP5" s="22" t="str">
        <f>IFERROR(__xludf.DUMMYFUNCTION("""COMPUTED_VALUE"""),"")</f>
        <v/>
      </c>
      <c r="AQ5" s="22" t="str">
        <f>IFERROR(__xludf.DUMMYFUNCTION("""COMPUTED_VALUE"""),"")</f>
        <v/>
      </c>
      <c r="AR5" s="22" t="str">
        <f>IFERROR(__xludf.DUMMYFUNCTION("""COMPUTED_VALUE"""),"")</f>
        <v/>
      </c>
      <c r="AS5" s="22" t="str">
        <f>IFERROR(__xludf.DUMMYFUNCTION("""COMPUTED_VALUE"""),"")</f>
        <v/>
      </c>
      <c r="AT5" s="22" t="str">
        <f>IFERROR(__xludf.DUMMYFUNCTION("""COMPUTED_VALUE"""),"")</f>
        <v/>
      </c>
      <c r="AU5" s="22" t="str">
        <f>IFERROR(__xludf.DUMMYFUNCTION("""COMPUTED_VALUE"""),"")</f>
        <v/>
      </c>
      <c r="AV5" s="22" t="str">
        <f>IFERROR(__xludf.DUMMYFUNCTION("""COMPUTED_VALUE"""),"")</f>
        <v/>
      </c>
      <c r="AW5" s="22" t="str">
        <f>IFERROR(__xludf.DUMMYFUNCTION("""COMPUTED_VALUE"""),"")</f>
        <v/>
      </c>
      <c r="AX5" s="22" t="str">
        <f>IFERROR(__xludf.DUMMYFUNCTION("""COMPUTED_VALUE"""),"")</f>
        <v/>
      </c>
      <c r="AY5" s="22" t="str">
        <f>IFERROR(__xludf.DUMMYFUNCTION("""COMPUTED_VALUE"""),"")</f>
        <v/>
      </c>
      <c r="AZ5" s="22" t="str">
        <f>IFERROR(__xludf.DUMMYFUNCTION("""COMPUTED_VALUE"""),"")</f>
        <v/>
      </c>
      <c r="BA5" s="22" t="str">
        <f>IFERROR(__xludf.DUMMYFUNCTION("""COMPUTED_VALUE"""),"")</f>
        <v/>
      </c>
      <c r="BB5" s="22" t="str">
        <f>IFERROR(__xludf.DUMMYFUNCTION("""COMPUTED_VALUE"""),"")</f>
        <v/>
      </c>
      <c r="BC5" s="22" t="str">
        <f>IFERROR(__xludf.DUMMYFUNCTION("""COMPUTED_VALUE"""),"")</f>
        <v/>
      </c>
      <c r="BD5" s="22" t="str">
        <f>IFERROR(__xludf.DUMMYFUNCTION("""COMPUTED_VALUE"""),"")</f>
        <v/>
      </c>
      <c r="BE5" s="22" t="str">
        <f>IFERROR(__xludf.DUMMYFUNCTION("""COMPUTED_VALUE"""),"")</f>
        <v/>
      </c>
      <c r="BF5" s="22" t="str">
        <f>IFERROR(__xludf.DUMMYFUNCTION("""COMPUTED_VALUE"""),"")</f>
        <v/>
      </c>
      <c r="BG5" s="22" t="str">
        <f>IFERROR(__xludf.DUMMYFUNCTION("""COMPUTED_VALUE"""),"")</f>
        <v/>
      </c>
      <c r="BH5" s="22" t="str">
        <f>IFERROR(__xludf.DUMMYFUNCTION("""COMPUTED_VALUE"""),"")</f>
        <v/>
      </c>
      <c r="BI5" s="22" t="str">
        <f>IFERROR(__xludf.DUMMYFUNCTION("""COMPUTED_VALUE"""),"")</f>
        <v/>
      </c>
      <c r="BJ5" s="22" t="str">
        <f>IFERROR(__xludf.DUMMYFUNCTION("""COMPUTED_VALUE"""),"")</f>
        <v/>
      </c>
      <c r="BK5" s="22" t="str">
        <f>IFERROR(__xludf.DUMMYFUNCTION("""COMPUTED_VALUE"""),"")</f>
        <v/>
      </c>
      <c r="BL5" s="22" t="str">
        <f>IFERROR(__xludf.DUMMYFUNCTION("""COMPUTED_VALUE"""),"")</f>
        <v/>
      </c>
      <c r="BM5" s="22" t="str">
        <f>IFERROR(__xludf.DUMMYFUNCTION("""COMPUTED_VALUE"""),"")</f>
        <v/>
      </c>
      <c r="BN5" s="22" t="str">
        <f>IFERROR(__xludf.DUMMYFUNCTION("""COMPUTED_VALUE"""),"")</f>
        <v/>
      </c>
      <c r="BO5" s="22" t="str">
        <f>IFERROR(__xludf.DUMMYFUNCTION("""COMPUTED_VALUE"""),"")</f>
        <v/>
      </c>
      <c r="BP5" s="22" t="str">
        <f>IFERROR(__xludf.DUMMYFUNCTION("""COMPUTED_VALUE"""),"")</f>
        <v/>
      </c>
      <c r="BQ5" s="22" t="str">
        <f>IFERROR(__xludf.DUMMYFUNCTION("""COMPUTED_VALUE"""),"")</f>
        <v/>
      </c>
      <c r="BR5" s="22" t="str">
        <f>IFERROR(__xludf.DUMMYFUNCTION("""COMPUTED_VALUE"""),"")</f>
        <v/>
      </c>
      <c r="BS5" s="22" t="str">
        <f>IFERROR(__xludf.DUMMYFUNCTION("""COMPUTED_VALUE"""),"")</f>
        <v/>
      </c>
      <c r="BT5" s="22" t="str">
        <f>IFERROR(__xludf.DUMMYFUNCTION("""COMPUTED_VALUE"""),"")</f>
        <v/>
      </c>
      <c r="BU5" s="22" t="str">
        <f>IFERROR(__xludf.DUMMYFUNCTION("""COMPUTED_VALUE"""),"")</f>
        <v/>
      </c>
      <c r="BV5" s="22" t="str">
        <f>IFERROR(__xludf.DUMMYFUNCTION("""COMPUTED_VALUE"""),"")</f>
        <v/>
      </c>
      <c r="BW5" s="22" t="str">
        <f>IFERROR(__xludf.DUMMYFUNCTION("""COMPUTED_VALUE"""),"")</f>
        <v/>
      </c>
      <c r="BX5" s="22" t="str">
        <f>IFERROR(__xludf.DUMMYFUNCTION("""COMPUTED_VALUE"""),"")</f>
        <v/>
      </c>
      <c r="BY5" s="22" t="str">
        <f>IFERROR(__xludf.DUMMYFUNCTION("""COMPUTED_VALUE"""),"")</f>
        <v/>
      </c>
      <c r="BZ5" s="22" t="str">
        <f>IFERROR(__xludf.DUMMYFUNCTION("""COMPUTED_VALUE"""),"")</f>
        <v/>
      </c>
      <c r="CA5" s="22" t="str">
        <f>IFERROR(__xludf.DUMMYFUNCTION("""COMPUTED_VALUE"""),"")</f>
        <v/>
      </c>
      <c r="CB5" s="22" t="str">
        <f>IFERROR(__xludf.DUMMYFUNCTION("""COMPUTED_VALUE"""),"")</f>
        <v/>
      </c>
      <c r="CC5" s="22" t="str">
        <f>IFERROR(__xludf.DUMMYFUNCTION("""COMPUTED_VALUE"""),"")</f>
        <v/>
      </c>
      <c r="CD5" s="22" t="str">
        <f>IFERROR(__xludf.DUMMYFUNCTION("""COMPUTED_VALUE"""),"")</f>
        <v/>
      </c>
      <c r="CE5" s="22" t="str">
        <f>IFERROR(__xludf.DUMMYFUNCTION("""COMPUTED_VALUE"""),"")</f>
        <v/>
      </c>
      <c r="CF5" s="22" t="str">
        <f>IFERROR(__xludf.DUMMYFUNCTION("""COMPUTED_VALUE"""),"")</f>
        <v/>
      </c>
      <c r="CG5" s="22" t="str">
        <f>IFERROR(__xludf.DUMMYFUNCTION("""COMPUTED_VALUE"""),"")</f>
        <v/>
      </c>
      <c r="CH5" s="22" t="str">
        <f>IFERROR(__xludf.DUMMYFUNCTION("""COMPUTED_VALUE"""),"")</f>
        <v/>
      </c>
      <c r="CI5" s="22" t="str">
        <f>IFERROR(__xludf.DUMMYFUNCTION("""COMPUTED_VALUE"""),"")</f>
        <v/>
      </c>
      <c r="CJ5" s="22" t="str">
        <f>IFERROR(__xludf.DUMMYFUNCTION("""COMPUTED_VALUE"""),"")</f>
        <v/>
      </c>
      <c r="CK5" s="22" t="str">
        <f>IFERROR(__xludf.DUMMYFUNCTION("""COMPUTED_VALUE"""),"")</f>
        <v/>
      </c>
      <c r="CL5" s="22" t="str">
        <f>IFERROR(__xludf.DUMMYFUNCTION("""COMPUTED_VALUE"""),"")</f>
        <v/>
      </c>
      <c r="CM5" s="22" t="str">
        <f>IFERROR(__xludf.DUMMYFUNCTION("""COMPUTED_VALUE"""),"")</f>
        <v/>
      </c>
      <c r="CN5" s="22" t="str">
        <f>IFERROR(__xludf.DUMMYFUNCTION("""COMPUTED_VALUE"""),"")</f>
        <v/>
      </c>
      <c r="CO5" s="22" t="str">
        <f>IFERROR(__xludf.DUMMYFUNCTION("""COMPUTED_VALUE"""),"")</f>
        <v/>
      </c>
      <c r="CP5" s="22" t="str">
        <f>IFERROR(__xludf.DUMMYFUNCTION("""COMPUTED_VALUE"""),"")</f>
        <v/>
      </c>
      <c r="CQ5" s="22" t="str">
        <f>IFERROR(__xludf.DUMMYFUNCTION("""COMPUTED_VALUE"""),"")</f>
        <v/>
      </c>
      <c r="CR5" s="22" t="str">
        <f>IFERROR(__xludf.DUMMYFUNCTION("""COMPUTED_VALUE"""),"")</f>
        <v/>
      </c>
      <c r="CS5" s="22" t="str">
        <f>IFERROR(__xludf.DUMMYFUNCTION("""COMPUTED_VALUE"""),"")</f>
        <v/>
      </c>
      <c r="CT5" s="22" t="str">
        <f>IFERROR(__xludf.DUMMYFUNCTION("""COMPUTED_VALUE"""),"")</f>
        <v/>
      </c>
      <c r="CU5" s="22" t="str">
        <f>IFERROR(__xludf.DUMMYFUNCTION("""COMPUTED_VALUE"""),"")</f>
        <v/>
      </c>
      <c r="CV5" s="22" t="str">
        <f>IFERROR(__xludf.DUMMYFUNCTION("""COMPUTED_VALUE"""),"")</f>
        <v/>
      </c>
      <c r="CW5" s="22" t="str">
        <f>IFERROR(__xludf.DUMMYFUNCTION("""COMPUTED_VALUE"""),"")</f>
        <v/>
      </c>
      <c r="CX5" s="22" t="str">
        <f>IFERROR(__xludf.DUMMYFUNCTION("""COMPUTED_VALUE"""),"")</f>
        <v/>
      </c>
      <c r="CY5" s="22" t="str">
        <f>IFERROR(__xludf.DUMMYFUNCTION("""COMPUTED_VALUE"""),"")</f>
        <v/>
      </c>
      <c r="CZ5" s="22" t="str">
        <f>IFERROR(__xludf.DUMMYFUNCTION("""COMPUTED_VALUE"""),"")</f>
        <v/>
      </c>
      <c r="DA5" s="22" t="str">
        <f>IFERROR(__xludf.DUMMYFUNCTION("""COMPUTED_VALUE"""),"")</f>
        <v/>
      </c>
      <c r="DB5" s="22" t="str">
        <f>IFERROR(__xludf.DUMMYFUNCTION("""COMPUTED_VALUE"""),"")</f>
        <v/>
      </c>
      <c r="DC5" s="22" t="str">
        <f>IFERROR(__xludf.DUMMYFUNCTION("""COMPUTED_VALUE"""),"")</f>
        <v/>
      </c>
      <c r="DD5" s="22" t="str">
        <f>IFERROR(__xludf.DUMMYFUNCTION("""COMPUTED_VALUE"""),"")</f>
        <v/>
      </c>
      <c r="DE5" s="22" t="str">
        <f>IFERROR(__xludf.DUMMYFUNCTION("""COMPUTED_VALUE"""),"")</f>
        <v/>
      </c>
      <c r="DF5" s="22" t="str">
        <f>IFERROR(__xludf.DUMMYFUNCTION("""COMPUTED_VALUE"""),"")</f>
        <v/>
      </c>
      <c r="DG5" s="22" t="str">
        <f>IFERROR(__xludf.DUMMYFUNCTION("""COMPUTED_VALUE"""),"")</f>
        <v/>
      </c>
      <c r="DH5" s="22" t="str">
        <f>IFERROR(__xludf.DUMMYFUNCTION("""COMPUTED_VALUE"""),"")</f>
        <v/>
      </c>
      <c r="DI5" s="22" t="str">
        <f>IFERROR(__xludf.DUMMYFUNCTION("""COMPUTED_VALUE"""),"")</f>
        <v/>
      </c>
      <c r="DJ5" s="22" t="str">
        <f>IFERROR(__xludf.DUMMYFUNCTION("""COMPUTED_VALUE"""),"")</f>
        <v/>
      </c>
      <c r="DK5" s="22" t="str">
        <f>IFERROR(__xludf.DUMMYFUNCTION("""COMPUTED_VALUE"""),"")</f>
        <v/>
      </c>
      <c r="DL5" s="22" t="str">
        <f>IFERROR(__xludf.DUMMYFUNCTION("""COMPUTED_VALUE"""),"")</f>
        <v/>
      </c>
      <c r="DM5" s="22" t="str">
        <f>IFERROR(__xludf.DUMMYFUNCTION("""COMPUTED_VALUE"""),"")</f>
        <v/>
      </c>
      <c r="DN5" s="22" t="str">
        <f>IFERROR(__xludf.DUMMYFUNCTION("""COMPUTED_VALUE"""),"")</f>
        <v/>
      </c>
      <c r="DO5" s="22" t="str">
        <f>IFERROR(__xludf.DUMMYFUNCTION("""COMPUTED_VALUE"""),"")</f>
        <v/>
      </c>
      <c r="DP5" s="22" t="str">
        <f>IFERROR(__xludf.DUMMYFUNCTION("""COMPUTED_VALUE"""),"")</f>
        <v/>
      </c>
      <c r="DQ5" s="22" t="str">
        <f>IFERROR(__xludf.DUMMYFUNCTION("""COMPUTED_VALUE"""),"")</f>
        <v/>
      </c>
      <c r="DR5" s="22" t="str">
        <f>IFERROR(__xludf.DUMMYFUNCTION("""COMPUTED_VALUE"""),"")</f>
        <v/>
      </c>
      <c r="DS5" s="22" t="str">
        <f>IFERROR(__xludf.DUMMYFUNCTION("""COMPUTED_VALUE"""),"")</f>
        <v/>
      </c>
      <c r="DT5" s="22" t="str">
        <f>IFERROR(__xludf.DUMMYFUNCTION("""COMPUTED_VALUE"""),"")</f>
        <v/>
      </c>
      <c r="DU5" s="22" t="str">
        <f>IFERROR(__xludf.DUMMYFUNCTION("""COMPUTED_VALUE"""),"")</f>
        <v/>
      </c>
      <c r="DV5" s="22" t="str">
        <f>IFERROR(__xludf.DUMMYFUNCTION("""COMPUTED_VALUE"""),"")</f>
        <v/>
      </c>
      <c r="DW5" s="22" t="str">
        <f>IFERROR(__xludf.DUMMYFUNCTION("""COMPUTED_VALUE"""),"")</f>
        <v/>
      </c>
      <c r="DX5" s="22" t="str">
        <f>IFERROR(__xludf.DUMMYFUNCTION("""COMPUTED_VALUE"""),"")</f>
        <v/>
      </c>
      <c r="DY5" s="22" t="str">
        <f>IFERROR(__xludf.DUMMYFUNCTION("""COMPUTED_VALUE"""),"")</f>
        <v/>
      </c>
      <c r="DZ5" s="22" t="str">
        <f>IFERROR(__xludf.DUMMYFUNCTION("""COMPUTED_VALUE"""),"")</f>
        <v/>
      </c>
      <c r="EA5" s="22" t="str">
        <f>IFERROR(__xludf.DUMMYFUNCTION("""COMPUTED_VALUE"""),"")</f>
        <v/>
      </c>
      <c r="EB5" s="22" t="str">
        <f>IFERROR(__xludf.DUMMYFUNCTION("""COMPUTED_VALUE"""),"")</f>
        <v/>
      </c>
      <c r="EC5" s="22" t="str">
        <f>IFERROR(__xludf.DUMMYFUNCTION("""COMPUTED_VALUE"""),"")</f>
        <v/>
      </c>
      <c r="ED5" s="22" t="str">
        <f>IFERROR(__xludf.DUMMYFUNCTION("""COMPUTED_VALUE"""),"")</f>
        <v/>
      </c>
      <c r="EE5" s="22" t="str">
        <f>IFERROR(__xludf.DUMMYFUNCTION("""COMPUTED_VALUE"""),"")</f>
        <v/>
      </c>
      <c r="EF5" s="22" t="str">
        <f>IFERROR(__xludf.DUMMYFUNCTION("""COMPUTED_VALUE"""),"")</f>
        <v/>
      </c>
      <c r="EG5" s="22" t="str">
        <f>IFERROR(__xludf.DUMMYFUNCTION("""COMPUTED_VALUE"""),"")</f>
        <v/>
      </c>
      <c r="EH5" s="22" t="str">
        <f>IFERROR(__xludf.DUMMYFUNCTION("""COMPUTED_VALUE"""),"")</f>
        <v/>
      </c>
      <c r="EI5" s="22" t="str">
        <f>IFERROR(__xludf.DUMMYFUNCTION("""COMPUTED_VALUE"""),"")</f>
        <v/>
      </c>
      <c r="EJ5" s="22" t="str">
        <f>IFERROR(__xludf.DUMMYFUNCTION("""COMPUTED_VALUE"""),"")</f>
        <v/>
      </c>
      <c r="EK5" s="22" t="str">
        <f>IFERROR(__xludf.DUMMYFUNCTION("""COMPUTED_VALUE"""),"")</f>
        <v/>
      </c>
      <c r="EL5" s="22" t="str">
        <f>IFERROR(__xludf.DUMMYFUNCTION("""COMPUTED_VALUE"""),"")</f>
        <v/>
      </c>
      <c r="EM5" s="22" t="str">
        <f>IFERROR(__xludf.DUMMYFUNCTION("""COMPUTED_VALUE"""),"")</f>
        <v/>
      </c>
      <c r="EN5" s="22" t="str">
        <f>IFERROR(__xludf.DUMMYFUNCTION("""COMPUTED_VALUE"""),"")</f>
        <v/>
      </c>
      <c r="EO5" s="22" t="str">
        <f>IFERROR(__xludf.DUMMYFUNCTION("""COMPUTED_VALUE"""),"")</f>
        <v/>
      </c>
      <c r="EP5" s="22" t="str">
        <f>IFERROR(__xludf.DUMMYFUNCTION("""COMPUTED_VALUE"""),"")</f>
        <v/>
      </c>
      <c r="EQ5" s="22" t="str">
        <f>IFERROR(__xludf.DUMMYFUNCTION("""COMPUTED_VALUE"""),"")</f>
        <v/>
      </c>
      <c r="ER5" s="22" t="str">
        <f>IFERROR(__xludf.DUMMYFUNCTION("""COMPUTED_VALUE"""),"")</f>
        <v/>
      </c>
      <c r="ES5" s="22" t="str">
        <f>IFERROR(__xludf.DUMMYFUNCTION("""COMPUTED_VALUE"""),"")</f>
        <v/>
      </c>
      <c r="ET5" s="22" t="str">
        <f>IFERROR(__xludf.DUMMYFUNCTION("""COMPUTED_VALUE"""),"")</f>
        <v/>
      </c>
      <c r="EU5" s="22" t="str">
        <f>IFERROR(__xludf.DUMMYFUNCTION("""COMPUTED_VALUE"""),"")</f>
        <v/>
      </c>
      <c r="EV5" s="22" t="str">
        <f>IFERROR(__xludf.DUMMYFUNCTION("""COMPUTED_VALUE"""),"")</f>
        <v/>
      </c>
      <c r="EW5" s="22" t="str">
        <f>IFERROR(__xludf.DUMMYFUNCTION("""COMPUTED_VALUE"""),"")</f>
        <v/>
      </c>
      <c r="EX5" s="22" t="str">
        <f>IFERROR(__xludf.DUMMYFUNCTION("""COMPUTED_VALUE"""),"")</f>
        <v/>
      </c>
    </row>
    <row r="6" ht="15.75" customHeight="1">
      <c r="A6" s="6"/>
      <c r="B6" s="35" t="s">
        <v>22</v>
      </c>
      <c r="C6" s="37">
        <v>20.0</v>
      </c>
      <c r="D6" s="6"/>
      <c r="E6" s="25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0" t="s">
        <v>24</v>
      </c>
      <c r="C7" s="44">
        <v>10.0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0" t="s">
        <v>25</v>
      </c>
      <c r="C8" s="41">
        <v>30.0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27</v>
      </c>
      <c r="D3" s="5" t="s">
        <v>8</v>
      </c>
      <c r="E3" s="14" t="s">
        <v>28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IFERROR(__xludf.DUMMYFUNCTION("IF(C3="""","""",Transpose(IMPORTRANGE('_Settings'!$B$3,C3&amp;""!A4:A1000"")))"),"FetchAccountPositions")</f>
        <v>FetchAccountPositions</v>
      </c>
      <c r="C4" s="16" t="str">
        <f>IFERROR(__xludf.DUMMYFUNCTION("""COMPUTED_VALUE"""),"AddCash")</f>
        <v>AddCash</v>
      </c>
      <c r="D4" s="16" t="str">
        <f>IFERROR(__xludf.DUMMYFUNCTION("""COMPUTED_VALUE"""),"VerifyGridData")</f>
        <v>VerifyGridData</v>
      </c>
      <c r="E4" s="16" t="str">
        <f>IFERROR(__xludf.DUMMYFUNCTION("""COMPUTED_VALUE"""),"RunRebalance")</f>
        <v>RunRebalance</v>
      </c>
      <c r="F4" s="16" t="str">
        <f>IFERROR(__xludf.DUMMYFUNCTION("""COMPUTED_VALUE"""),"RebalanceAcrossSecurities")</f>
        <v>RebalanceAcrossSecurities</v>
      </c>
      <c r="G4" s="16" t="str">
        <f>IFERROR(__xludf.DUMMYFUNCTION("""COMPUTED_VALUE"""),"")</f>
        <v/>
      </c>
      <c r="H4" s="16" t="str">
        <f>IFERROR(__xludf.DUMMYFUNCTION("""COMPUTED_VALUE"""),"")</f>
        <v/>
      </c>
      <c r="I4" s="16" t="str">
        <f>IFERROR(__xludf.DUMMYFUNCTION("""COMPUTED_VALUE"""),"")</f>
        <v/>
      </c>
      <c r="J4" s="16" t="str">
        <f>IFERROR(__xludf.DUMMYFUNCTION("""COMPUTED_VALUE"""),"")</f>
        <v/>
      </c>
      <c r="K4" s="16" t="str">
        <f>IFERROR(__xludf.DUMMYFUNCTION("""COMPUTED_VALUE"""),"")</f>
        <v/>
      </c>
      <c r="L4" s="16" t="str">
        <f>IFERROR(__xludf.DUMMYFUNCTION("""COMPUTED_VALUE"""),"")</f>
        <v/>
      </c>
      <c r="M4" s="16" t="str">
        <f>IFERROR(__xludf.DUMMYFUNCTION("""COMPUTED_VALUE"""),"")</f>
        <v/>
      </c>
      <c r="N4" s="16" t="str">
        <f>IFERROR(__xludf.DUMMYFUNCTION("""COMPUTED_VALUE"""),"")</f>
        <v/>
      </c>
      <c r="O4" s="16" t="str">
        <f>IFERROR(__xludf.DUMMYFUNCTION("""COMPUTED_VALUE"""),"")</f>
        <v/>
      </c>
      <c r="P4" s="17" t="str">
        <f>IFERROR(__xludf.DUMMYFUNCTION("""COMPUTED_VALUE"""),"")</f>
        <v/>
      </c>
      <c r="Q4" s="17" t="str">
        <f>IFERROR(__xludf.DUMMYFUNCTION("""COMPUTED_VALUE"""),"")</f>
        <v/>
      </c>
      <c r="R4" s="17" t="str">
        <f>IFERROR(__xludf.DUMMYFUNCTION("""COMPUTED_VALUE"""),"")</f>
        <v/>
      </c>
      <c r="S4" s="17" t="str">
        <f>IFERROR(__xludf.DUMMYFUNCTION("""COMPUTED_VALUE"""),"")</f>
        <v/>
      </c>
      <c r="T4" s="17" t="str">
        <f>IFERROR(__xludf.DUMMYFUNCTION("""COMPUTED_VALUE"""),"")</f>
        <v/>
      </c>
      <c r="U4" s="17" t="str">
        <f>IFERROR(__xludf.DUMMYFUNCTION("""COMPUTED_VALUE"""),"")</f>
        <v/>
      </c>
      <c r="V4" s="17" t="str">
        <f>IFERROR(__xludf.DUMMYFUNCTION("""COMPUTED_VALUE"""),"")</f>
        <v/>
      </c>
      <c r="W4" s="17" t="str">
        <f>IFERROR(__xludf.DUMMYFUNCTION("""COMPUTED_VALUE"""),"")</f>
        <v/>
      </c>
      <c r="X4" s="17" t="str">
        <f>IFERROR(__xludf.DUMMYFUNCTION("""COMPUTED_VALUE"""),"")</f>
        <v/>
      </c>
      <c r="Y4" s="17" t="str">
        <f>IFERROR(__xludf.DUMMYFUNCTION("""COMPUTED_VALUE"""),"")</f>
        <v/>
      </c>
      <c r="Z4" s="17" t="str">
        <f>IFERROR(__xludf.DUMMYFUNCTION("""COMPUTED_VALUE"""),"")</f>
        <v/>
      </c>
      <c r="AA4" s="17" t="str">
        <f>IFERROR(__xludf.DUMMYFUNCTION("""COMPUTED_VALUE"""),"")</f>
        <v/>
      </c>
      <c r="AB4" s="17" t="str">
        <f>IFERROR(__xludf.DUMMYFUNCTION("""COMPUTED_VALUE"""),"")</f>
        <v/>
      </c>
      <c r="AC4" s="17" t="str">
        <f>IFERROR(__xludf.DUMMYFUNCTION("""COMPUTED_VALUE"""),"")</f>
        <v/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IFERROR(__xludf.DUMMYFUNCTION("""COMPUTED_VALUE"""),"Account/Groups")</f>
        <v>Account/Groups</v>
      </c>
      <c r="C5" s="20" t="str">
        <f>IFERROR(__xludf.DUMMYFUNCTION("""COMPUTED_VALUE"""),"Account Positions")</f>
        <v>Account Positions</v>
      </c>
      <c r="D5" s="20" t="str">
        <f>IFERROR(__xludf.DUMMYFUNCTION("""COMPUTED_VALUE"""),"Calculation Level")</f>
        <v>Calculation Level</v>
      </c>
      <c r="E5" s="20" t="str">
        <f>IFERROR(__xludf.DUMMYFUNCTION("""COMPUTED_VALUE"""),"Refresh")</f>
        <v>Refresh</v>
      </c>
      <c r="F5" s="21" t="str">
        <f>IFERROR(__xludf.DUMMYFUNCTION("""COMPUTED_VALUE"""),"")</f>
        <v/>
      </c>
      <c r="G5" s="20" t="str">
        <f>IFERROR(__xludf.DUMMYFUNCTION("""COMPUTED_VALUE"""),"")</f>
        <v/>
      </c>
      <c r="H5" s="20" t="str">
        <f>IFERROR(__xludf.DUMMYFUNCTION("""COMPUTED_VALUE"""),"")</f>
        <v/>
      </c>
      <c r="I5" s="20" t="str">
        <f>IFERROR(__xludf.DUMMYFUNCTION("""COMPUTED_VALUE"""),"")</f>
        <v/>
      </c>
      <c r="J5" s="20" t="str">
        <f>IFERROR(__xludf.DUMMYFUNCTION("""COMPUTED_VALUE"""),"")</f>
        <v/>
      </c>
      <c r="K5" s="20" t="str">
        <f>IFERROR(__xludf.DUMMYFUNCTION("""COMPUTED_VALUE"""),"")</f>
        <v/>
      </c>
      <c r="L5" s="20" t="str">
        <f>IFERROR(__xludf.DUMMYFUNCTION("""COMPUTED_VALUE"""),"")</f>
        <v/>
      </c>
      <c r="M5" s="20" t="str">
        <f>IFERROR(__xludf.DUMMYFUNCTION("""COMPUTED_VALUE"""),"")</f>
        <v/>
      </c>
      <c r="N5" s="20" t="str">
        <f>IFERROR(__xludf.DUMMYFUNCTION("""COMPUTED_VALUE"""),"")</f>
        <v/>
      </c>
      <c r="O5" s="20" t="str">
        <f>IFERROR(__xludf.DUMMYFUNCTION("""COMPUTED_VALUE"""),"")</f>
        <v/>
      </c>
      <c r="P5" s="20" t="str">
        <f>IFERROR(__xludf.DUMMYFUNCTION("""COMPUTED_VALUE"""),"")</f>
        <v/>
      </c>
      <c r="Q5" s="20" t="str">
        <f>IFERROR(__xludf.DUMMYFUNCTION("""COMPUTED_VALUE"""),"")</f>
        <v/>
      </c>
      <c r="R5" s="20" t="str">
        <f>IFERROR(__xludf.DUMMYFUNCTION("""COMPUTED_VALUE"""),"")</f>
        <v/>
      </c>
      <c r="S5" s="20" t="str">
        <f>IFERROR(__xludf.DUMMYFUNCTION("""COMPUTED_VALUE"""),"")</f>
        <v/>
      </c>
      <c r="T5" s="22" t="str">
        <f>IFERROR(__xludf.DUMMYFUNCTION("""COMPUTED_VALUE"""),"")</f>
        <v/>
      </c>
      <c r="U5" s="22" t="str">
        <f>IFERROR(__xludf.DUMMYFUNCTION("""COMPUTED_VALUE"""),"")</f>
        <v/>
      </c>
      <c r="V5" s="22" t="str">
        <f>IFERROR(__xludf.DUMMYFUNCTION("""COMPUTED_VALUE"""),"")</f>
        <v/>
      </c>
      <c r="W5" s="22" t="str">
        <f>IFERROR(__xludf.DUMMYFUNCTION("""COMPUTED_VALUE"""),"")</f>
        <v/>
      </c>
      <c r="X5" s="22" t="str">
        <f>IFERROR(__xludf.DUMMYFUNCTION("""COMPUTED_VALUE"""),"")</f>
        <v/>
      </c>
      <c r="Y5" s="22" t="str">
        <f>IFERROR(__xludf.DUMMYFUNCTION("""COMPUTED_VALUE"""),"")</f>
        <v/>
      </c>
      <c r="Z5" s="22" t="str">
        <f>IFERROR(__xludf.DUMMYFUNCTION("""COMPUTED_VALUE"""),"")</f>
        <v/>
      </c>
      <c r="AA5" s="22" t="str">
        <f>IFERROR(__xludf.DUMMYFUNCTION("""COMPUTED_VALUE"""),"")</f>
        <v/>
      </c>
      <c r="AB5" s="22" t="str">
        <f>IFERROR(__xludf.DUMMYFUNCTION("""COMPUTED_VALUE"""),"")</f>
        <v/>
      </c>
      <c r="AC5" s="22" t="str">
        <f>IFERROR(__xludf.DUMMYFUNCTION("""COMPUTED_VALUE"""),"")</f>
        <v/>
      </c>
      <c r="AD5" s="22" t="str">
        <f>IFERROR(__xludf.DUMMYFUNCTION("""COMPUTED_VALUE"""),"")</f>
        <v/>
      </c>
      <c r="AE5" s="22" t="str">
        <f>IFERROR(__xludf.DUMMYFUNCTION("""COMPUTED_VALUE"""),"")</f>
        <v/>
      </c>
      <c r="AF5" s="22" t="str">
        <f>IFERROR(__xludf.DUMMYFUNCTION("""COMPUTED_VALUE"""),"")</f>
        <v/>
      </c>
      <c r="AG5" s="22" t="str">
        <f>IFERROR(__xludf.DUMMYFUNCTION("""COMPUTED_VALUE"""),"")</f>
        <v/>
      </c>
      <c r="AH5" s="22" t="str">
        <f>IFERROR(__xludf.DUMMYFUNCTION("""COMPUTED_VALUE"""),"")</f>
        <v/>
      </c>
      <c r="AI5" s="22" t="str">
        <f>IFERROR(__xludf.DUMMYFUNCTION("""COMPUTED_VALUE"""),"")</f>
        <v/>
      </c>
      <c r="AJ5" s="22" t="str">
        <f>IFERROR(__xludf.DUMMYFUNCTION("""COMPUTED_VALUE"""),"")</f>
        <v/>
      </c>
      <c r="AK5" s="22" t="str">
        <f>IFERROR(__xludf.DUMMYFUNCTION("""COMPUTED_VALUE"""),"")</f>
        <v/>
      </c>
      <c r="AL5" s="22" t="str">
        <f>IFERROR(__xludf.DUMMYFUNCTION("""COMPUTED_VALUE"""),"")</f>
        <v/>
      </c>
      <c r="AM5" s="22" t="str">
        <f>IFERROR(__xludf.DUMMYFUNCTION("""COMPUTED_VALUE"""),"")</f>
        <v/>
      </c>
      <c r="AN5" s="22" t="str">
        <f>IFERROR(__xludf.DUMMYFUNCTION("""COMPUTED_VALUE"""),"")</f>
        <v/>
      </c>
      <c r="AO5" s="22" t="str">
        <f>IFERROR(__xludf.DUMMYFUNCTION("""COMPUTED_VALUE"""),"")</f>
        <v/>
      </c>
      <c r="AP5" s="22" t="str">
        <f>IFERROR(__xludf.DUMMYFUNCTION("""COMPUTED_VALUE"""),"")</f>
        <v/>
      </c>
      <c r="AQ5" s="22" t="str">
        <f>IFERROR(__xludf.DUMMYFUNCTION("""COMPUTED_VALUE"""),"")</f>
        <v/>
      </c>
      <c r="AR5" s="22" t="str">
        <f>IFERROR(__xludf.DUMMYFUNCTION("""COMPUTED_VALUE"""),"")</f>
        <v/>
      </c>
      <c r="AS5" s="22" t="str">
        <f>IFERROR(__xludf.DUMMYFUNCTION("""COMPUTED_VALUE"""),"")</f>
        <v/>
      </c>
      <c r="AT5" s="22" t="str">
        <f>IFERROR(__xludf.DUMMYFUNCTION("""COMPUTED_VALUE"""),"")</f>
        <v/>
      </c>
      <c r="AU5" s="22" t="str">
        <f>IFERROR(__xludf.DUMMYFUNCTION("""COMPUTED_VALUE"""),"")</f>
        <v/>
      </c>
      <c r="AV5" s="22" t="str">
        <f>IFERROR(__xludf.DUMMYFUNCTION("""COMPUTED_VALUE"""),"")</f>
        <v/>
      </c>
      <c r="AW5" s="22" t="str">
        <f>IFERROR(__xludf.DUMMYFUNCTION("""COMPUTED_VALUE"""),"")</f>
        <v/>
      </c>
      <c r="AX5" s="22" t="str">
        <f>IFERROR(__xludf.DUMMYFUNCTION("""COMPUTED_VALUE"""),"")</f>
        <v/>
      </c>
      <c r="AY5" s="22" t="str">
        <f>IFERROR(__xludf.DUMMYFUNCTION("""COMPUTED_VALUE"""),"")</f>
        <v/>
      </c>
      <c r="AZ5" s="22" t="str">
        <f>IFERROR(__xludf.DUMMYFUNCTION("""COMPUTED_VALUE"""),"")</f>
        <v/>
      </c>
      <c r="BA5" s="22" t="str">
        <f>IFERROR(__xludf.DUMMYFUNCTION("""COMPUTED_VALUE"""),"")</f>
        <v/>
      </c>
      <c r="BB5" s="22" t="str">
        <f>IFERROR(__xludf.DUMMYFUNCTION("""COMPUTED_VALUE"""),"")</f>
        <v/>
      </c>
      <c r="BC5" s="22" t="str">
        <f>IFERROR(__xludf.DUMMYFUNCTION("""COMPUTED_VALUE"""),"")</f>
        <v/>
      </c>
      <c r="BD5" s="22" t="str">
        <f>IFERROR(__xludf.DUMMYFUNCTION("""COMPUTED_VALUE"""),"")</f>
        <v/>
      </c>
      <c r="BE5" s="22" t="str">
        <f>IFERROR(__xludf.DUMMYFUNCTION("""COMPUTED_VALUE"""),"")</f>
        <v/>
      </c>
      <c r="BF5" s="22" t="str">
        <f>IFERROR(__xludf.DUMMYFUNCTION("""COMPUTED_VALUE"""),"")</f>
        <v/>
      </c>
      <c r="BG5" s="22" t="str">
        <f>IFERROR(__xludf.DUMMYFUNCTION("""COMPUTED_VALUE"""),"")</f>
        <v/>
      </c>
      <c r="BH5" s="22" t="str">
        <f>IFERROR(__xludf.DUMMYFUNCTION("""COMPUTED_VALUE"""),"")</f>
        <v/>
      </c>
      <c r="BI5" s="22" t="str">
        <f>IFERROR(__xludf.DUMMYFUNCTION("""COMPUTED_VALUE"""),"")</f>
        <v/>
      </c>
      <c r="BJ5" s="22" t="str">
        <f>IFERROR(__xludf.DUMMYFUNCTION("""COMPUTED_VALUE"""),"")</f>
        <v/>
      </c>
      <c r="BK5" s="22" t="str">
        <f>IFERROR(__xludf.DUMMYFUNCTION("""COMPUTED_VALUE"""),"")</f>
        <v/>
      </c>
      <c r="BL5" s="22" t="str">
        <f>IFERROR(__xludf.DUMMYFUNCTION("""COMPUTED_VALUE"""),"")</f>
        <v/>
      </c>
      <c r="BM5" s="22" t="str">
        <f>IFERROR(__xludf.DUMMYFUNCTION("""COMPUTED_VALUE"""),"")</f>
        <v/>
      </c>
      <c r="BN5" s="22" t="str">
        <f>IFERROR(__xludf.DUMMYFUNCTION("""COMPUTED_VALUE"""),"")</f>
        <v/>
      </c>
      <c r="BO5" s="22" t="str">
        <f>IFERROR(__xludf.DUMMYFUNCTION("""COMPUTED_VALUE"""),"")</f>
        <v/>
      </c>
      <c r="BP5" s="22" t="str">
        <f>IFERROR(__xludf.DUMMYFUNCTION("""COMPUTED_VALUE"""),"")</f>
        <v/>
      </c>
      <c r="BQ5" s="22" t="str">
        <f>IFERROR(__xludf.DUMMYFUNCTION("""COMPUTED_VALUE"""),"")</f>
        <v/>
      </c>
      <c r="BR5" s="22" t="str">
        <f>IFERROR(__xludf.DUMMYFUNCTION("""COMPUTED_VALUE"""),"")</f>
        <v/>
      </c>
      <c r="BS5" s="22" t="str">
        <f>IFERROR(__xludf.DUMMYFUNCTION("""COMPUTED_VALUE"""),"")</f>
        <v/>
      </c>
      <c r="BT5" s="22" t="str">
        <f>IFERROR(__xludf.DUMMYFUNCTION("""COMPUTED_VALUE"""),"")</f>
        <v/>
      </c>
      <c r="BU5" s="22" t="str">
        <f>IFERROR(__xludf.DUMMYFUNCTION("""COMPUTED_VALUE"""),"")</f>
        <v/>
      </c>
      <c r="BV5" s="22" t="str">
        <f>IFERROR(__xludf.DUMMYFUNCTION("""COMPUTED_VALUE"""),"")</f>
        <v/>
      </c>
      <c r="BW5" s="22" t="str">
        <f>IFERROR(__xludf.DUMMYFUNCTION("""COMPUTED_VALUE"""),"")</f>
        <v/>
      </c>
      <c r="BX5" s="22" t="str">
        <f>IFERROR(__xludf.DUMMYFUNCTION("""COMPUTED_VALUE"""),"")</f>
        <v/>
      </c>
      <c r="BY5" s="22" t="str">
        <f>IFERROR(__xludf.DUMMYFUNCTION("""COMPUTED_VALUE"""),"")</f>
        <v/>
      </c>
      <c r="BZ5" s="22" t="str">
        <f>IFERROR(__xludf.DUMMYFUNCTION("""COMPUTED_VALUE"""),"")</f>
        <v/>
      </c>
      <c r="CA5" s="22" t="str">
        <f>IFERROR(__xludf.DUMMYFUNCTION("""COMPUTED_VALUE"""),"")</f>
        <v/>
      </c>
      <c r="CB5" s="22" t="str">
        <f>IFERROR(__xludf.DUMMYFUNCTION("""COMPUTED_VALUE"""),"")</f>
        <v/>
      </c>
      <c r="CC5" s="22" t="str">
        <f>IFERROR(__xludf.DUMMYFUNCTION("""COMPUTED_VALUE"""),"")</f>
        <v/>
      </c>
      <c r="CD5" s="22" t="str">
        <f>IFERROR(__xludf.DUMMYFUNCTION("""COMPUTED_VALUE"""),"")</f>
        <v/>
      </c>
      <c r="CE5" s="22" t="str">
        <f>IFERROR(__xludf.DUMMYFUNCTION("""COMPUTED_VALUE"""),"")</f>
        <v/>
      </c>
      <c r="CF5" s="22" t="str">
        <f>IFERROR(__xludf.DUMMYFUNCTION("""COMPUTED_VALUE"""),"")</f>
        <v/>
      </c>
      <c r="CG5" s="22" t="str">
        <f>IFERROR(__xludf.DUMMYFUNCTION("""COMPUTED_VALUE"""),"")</f>
        <v/>
      </c>
      <c r="CH5" s="22" t="str">
        <f>IFERROR(__xludf.DUMMYFUNCTION("""COMPUTED_VALUE"""),"")</f>
        <v/>
      </c>
      <c r="CI5" s="22" t="str">
        <f>IFERROR(__xludf.DUMMYFUNCTION("""COMPUTED_VALUE"""),"")</f>
        <v/>
      </c>
      <c r="CJ5" s="22" t="str">
        <f>IFERROR(__xludf.DUMMYFUNCTION("""COMPUTED_VALUE"""),"")</f>
        <v/>
      </c>
      <c r="CK5" s="22" t="str">
        <f>IFERROR(__xludf.DUMMYFUNCTION("""COMPUTED_VALUE"""),"")</f>
        <v/>
      </c>
      <c r="CL5" s="22" t="str">
        <f>IFERROR(__xludf.DUMMYFUNCTION("""COMPUTED_VALUE"""),"")</f>
        <v/>
      </c>
      <c r="CM5" s="22" t="str">
        <f>IFERROR(__xludf.DUMMYFUNCTION("""COMPUTED_VALUE"""),"")</f>
        <v/>
      </c>
      <c r="CN5" s="22" t="str">
        <f>IFERROR(__xludf.DUMMYFUNCTION("""COMPUTED_VALUE"""),"")</f>
        <v/>
      </c>
      <c r="CO5" s="22" t="str">
        <f>IFERROR(__xludf.DUMMYFUNCTION("""COMPUTED_VALUE"""),"")</f>
        <v/>
      </c>
      <c r="CP5" s="22" t="str">
        <f>IFERROR(__xludf.DUMMYFUNCTION("""COMPUTED_VALUE"""),"")</f>
        <v/>
      </c>
      <c r="CQ5" s="22" t="str">
        <f>IFERROR(__xludf.DUMMYFUNCTION("""COMPUTED_VALUE"""),"")</f>
        <v/>
      </c>
      <c r="CR5" s="22" t="str">
        <f>IFERROR(__xludf.DUMMYFUNCTION("""COMPUTED_VALUE"""),"")</f>
        <v/>
      </c>
      <c r="CS5" s="22" t="str">
        <f>IFERROR(__xludf.DUMMYFUNCTION("""COMPUTED_VALUE"""),"")</f>
        <v/>
      </c>
      <c r="CT5" s="22" t="str">
        <f>IFERROR(__xludf.DUMMYFUNCTION("""COMPUTED_VALUE"""),"")</f>
        <v/>
      </c>
      <c r="CU5" s="22" t="str">
        <f>IFERROR(__xludf.DUMMYFUNCTION("""COMPUTED_VALUE"""),"")</f>
        <v/>
      </c>
      <c r="CV5" s="22" t="str">
        <f>IFERROR(__xludf.DUMMYFUNCTION("""COMPUTED_VALUE"""),"")</f>
        <v/>
      </c>
      <c r="CW5" s="22" t="str">
        <f>IFERROR(__xludf.DUMMYFUNCTION("""COMPUTED_VALUE"""),"")</f>
        <v/>
      </c>
      <c r="CX5" s="22" t="str">
        <f>IFERROR(__xludf.DUMMYFUNCTION("""COMPUTED_VALUE"""),"")</f>
        <v/>
      </c>
      <c r="CY5" s="22" t="str">
        <f>IFERROR(__xludf.DUMMYFUNCTION("""COMPUTED_VALUE"""),"")</f>
        <v/>
      </c>
      <c r="CZ5" s="22" t="str">
        <f>IFERROR(__xludf.DUMMYFUNCTION("""COMPUTED_VALUE"""),"")</f>
        <v/>
      </c>
      <c r="DA5" s="22" t="str">
        <f>IFERROR(__xludf.DUMMYFUNCTION("""COMPUTED_VALUE"""),"")</f>
        <v/>
      </c>
      <c r="DB5" s="22" t="str">
        <f>IFERROR(__xludf.DUMMYFUNCTION("""COMPUTED_VALUE"""),"")</f>
        <v/>
      </c>
      <c r="DC5" s="22" t="str">
        <f>IFERROR(__xludf.DUMMYFUNCTION("""COMPUTED_VALUE"""),"")</f>
        <v/>
      </c>
      <c r="DD5" s="22" t="str">
        <f>IFERROR(__xludf.DUMMYFUNCTION("""COMPUTED_VALUE"""),"")</f>
        <v/>
      </c>
      <c r="DE5" s="22" t="str">
        <f>IFERROR(__xludf.DUMMYFUNCTION("""COMPUTED_VALUE"""),"")</f>
        <v/>
      </c>
      <c r="DF5" s="22" t="str">
        <f>IFERROR(__xludf.DUMMYFUNCTION("""COMPUTED_VALUE"""),"")</f>
        <v/>
      </c>
      <c r="DG5" s="22" t="str">
        <f>IFERROR(__xludf.DUMMYFUNCTION("""COMPUTED_VALUE"""),"")</f>
        <v/>
      </c>
      <c r="DH5" s="22" t="str">
        <f>IFERROR(__xludf.DUMMYFUNCTION("""COMPUTED_VALUE"""),"")</f>
        <v/>
      </c>
      <c r="DI5" s="22" t="str">
        <f>IFERROR(__xludf.DUMMYFUNCTION("""COMPUTED_VALUE"""),"")</f>
        <v/>
      </c>
      <c r="DJ5" s="22" t="str">
        <f>IFERROR(__xludf.DUMMYFUNCTION("""COMPUTED_VALUE"""),"")</f>
        <v/>
      </c>
      <c r="DK5" s="22" t="str">
        <f>IFERROR(__xludf.DUMMYFUNCTION("""COMPUTED_VALUE"""),"")</f>
        <v/>
      </c>
      <c r="DL5" s="22" t="str">
        <f>IFERROR(__xludf.DUMMYFUNCTION("""COMPUTED_VALUE"""),"")</f>
        <v/>
      </c>
      <c r="DM5" s="22" t="str">
        <f>IFERROR(__xludf.DUMMYFUNCTION("""COMPUTED_VALUE"""),"")</f>
        <v/>
      </c>
      <c r="DN5" s="22" t="str">
        <f>IFERROR(__xludf.DUMMYFUNCTION("""COMPUTED_VALUE"""),"")</f>
        <v/>
      </c>
      <c r="DO5" s="22" t="str">
        <f>IFERROR(__xludf.DUMMYFUNCTION("""COMPUTED_VALUE"""),"")</f>
        <v/>
      </c>
      <c r="DP5" s="22" t="str">
        <f>IFERROR(__xludf.DUMMYFUNCTION("""COMPUTED_VALUE"""),"")</f>
        <v/>
      </c>
      <c r="DQ5" s="22" t="str">
        <f>IFERROR(__xludf.DUMMYFUNCTION("""COMPUTED_VALUE"""),"")</f>
        <v/>
      </c>
      <c r="DR5" s="22" t="str">
        <f>IFERROR(__xludf.DUMMYFUNCTION("""COMPUTED_VALUE"""),"")</f>
        <v/>
      </c>
      <c r="DS5" s="22" t="str">
        <f>IFERROR(__xludf.DUMMYFUNCTION("""COMPUTED_VALUE"""),"")</f>
        <v/>
      </c>
      <c r="DT5" s="22" t="str">
        <f>IFERROR(__xludf.DUMMYFUNCTION("""COMPUTED_VALUE"""),"")</f>
        <v/>
      </c>
      <c r="DU5" s="22" t="str">
        <f>IFERROR(__xludf.DUMMYFUNCTION("""COMPUTED_VALUE"""),"")</f>
        <v/>
      </c>
      <c r="DV5" s="22" t="str">
        <f>IFERROR(__xludf.DUMMYFUNCTION("""COMPUTED_VALUE"""),"")</f>
        <v/>
      </c>
      <c r="DW5" s="22" t="str">
        <f>IFERROR(__xludf.DUMMYFUNCTION("""COMPUTED_VALUE"""),"")</f>
        <v/>
      </c>
      <c r="DX5" s="22" t="str">
        <f>IFERROR(__xludf.DUMMYFUNCTION("""COMPUTED_VALUE"""),"")</f>
        <v/>
      </c>
      <c r="DY5" s="22" t="str">
        <f>IFERROR(__xludf.DUMMYFUNCTION("""COMPUTED_VALUE"""),"")</f>
        <v/>
      </c>
      <c r="DZ5" s="22" t="str">
        <f>IFERROR(__xludf.DUMMYFUNCTION("""COMPUTED_VALUE"""),"")</f>
        <v/>
      </c>
      <c r="EA5" s="22" t="str">
        <f>IFERROR(__xludf.DUMMYFUNCTION("""COMPUTED_VALUE"""),"")</f>
        <v/>
      </c>
      <c r="EB5" s="22" t="str">
        <f>IFERROR(__xludf.DUMMYFUNCTION("""COMPUTED_VALUE"""),"")</f>
        <v/>
      </c>
      <c r="EC5" s="22" t="str">
        <f>IFERROR(__xludf.DUMMYFUNCTION("""COMPUTED_VALUE"""),"")</f>
        <v/>
      </c>
      <c r="ED5" s="22" t="str">
        <f>IFERROR(__xludf.DUMMYFUNCTION("""COMPUTED_VALUE"""),"")</f>
        <v/>
      </c>
      <c r="EE5" s="22" t="str">
        <f>IFERROR(__xludf.DUMMYFUNCTION("""COMPUTED_VALUE"""),"")</f>
        <v/>
      </c>
      <c r="EF5" s="22" t="str">
        <f>IFERROR(__xludf.DUMMYFUNCTION("""COMPUTED_VALUE"""),"")</f>
        <v/>
      </c>
      <c r="EG5" s="22" t="str">
        <f>IFERROR(__xludf.DUMMYFUNCTION("""COMPUTED_VALUE"""),"")</f>
        <v/>
      </c>
      <c r="EH5" s="22" t="str">
        <f>IFERROR(__xludf.DUMMYFUNCTION("""COMPUTED_VALUE"""),"")</f>
        <v/>
      </c>
      <c r="EI5" s="22" t="str">
        <f>IFERROR(__xludf.DUMMYFUNCTION("""COMPUTED_VALUE"""),"")</f>
        <v/>
      </c>
      <c r="EJ5" s="22" t="str">
        <f>IFERROR(__xludf.DUMMYFUNCTION("""COMPUTED_VALUE"""),"")</f>
        <v/>
      </c>
      <c r="EK5" s="22" t="str">
        <f>IFERROR(__xludf.DUMMYFUNCTION("""COMPUTED_VALUE"""),"")</f>
        <v/>
      </c>
      <c r="EL5" s="22" t="str">
        <f>IFERROR(__xludf.DUMMYFUNCTION("""COMPUTED_VALUE"""),"")</f>
        <v/>
      </c>
      <c r="EM5" s="22" t="str">
        <f>IFERROR(__xludf.DUMMYFUNCTION("""COMPUTED_VALUE"""),"")</f>
        <v/>
      </c>
      <c r="EN5" s="22" t="str">
        <f>IFERROR(__xludf.DUMMYFUNCTION("""COMPUTED_VALUE"""),"")</f>
        <v/>
      </c>
      <c r="EO5" s="22" t="str">
        <f>IFERROR(__xludf.DUMMYFUNCTION("""COMPUTED_VALUE"""),"")</f>
        <v/>
      </c>
      <c r="EP5" s="22" t="str">
        <f>IFERROR(__xludf.DUMMYFUNCTION("""COMPUTED_VALUE"""),"")</f>
        <v/>
      </c>
      <c r="EQ5" s="22" t="str">
        <f>IFERROR(__xludf.DUMMYFUNCTION("""COMPUTED_VALUE"""),"")</f>
        <v/>
      </c>
      <c r="ER5" s="22" t="str">
        <f>IFERROR(__xludf.DUMMYFUNCTION("""COMPUTED_VALUE"""),"")</f>
        <v/>
      </c>
      <c r="ES5" s="22" t="str">
        <f>IFERROR(__xludf.DUMMYFUNCTION("""COMPUTED_VALUE"""),"")</f>
        <v/>
      </c>
      <c r="ET5" s="22" t="str">
        <f>IFERROR(__xludf.DUMMYFUNCTION("""COMPUTED_VALUE"""),"")</f>
        <v/>
      </c>
      <c r="EU5" s="22" t="str">
        <f>IFERROR(__xludf.DUMMYFUNCTION("""COMPUTED_VALUE"""),"")</f>
        <v/>
      </c>
      <c r="EV5" s="22" t="str">
        <f>IFERROR(__xludf.DUMMYFUNCTION("""COMPUTED_VALUE"""),"")</f>
        <v/>
      </c>
      <c r="EW5" s="22" t="str">
        <f>IFERROR(__xludf.DUMMYFUNCTION("""COMPUTED_VALUE"""),"")</f>
        <v/>
      </c>
      <c r="EX5" s="22" t="str">
        <f>IFERROR(__xludf.DUMMYFUNCTION("""COMPUTED_VALUE"""),"")</f>
        <v/>
      </c>
    </row>
    <row r="6" ht="15.75" customHeight="1">
      <c r="A6" s="6"/>
      <c r="B6" s="27" t="s">
        <v>13</v>
      </c>
      <c r="C6" s="36" t="s">
        <v>29</v>
      </c>
      <c r="D6" s="35"/>
      <c r="E6" s="36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27</v>
      </c>
      <c r="D3" s="5" t="s">
        <v>8</v>
      </c>
      <c r="E3" s="14" t="s">
        <v>30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IFERROR(__xludf.DUMMYFUNCTION("IF(C3="""","""",Transpose(IMPORTRANGE('_Settings'!$B$3,C3&amp;""!A4:A1000"")))"),"FetchAccountPositions")</f>
        <v>FetchAccountPositions</v>
      </c>
      <c r="C4" s="16" t="str">
        <f>IFERROR(__xludf.DUMMYFUNCTION("""COMPUTED_VALUE"""),"AddCash")</f>
        <v>AddCash</v>
      </c>
      <c r="D4" s="16" t="str">
        <f>IFERROR(__xludf.DUMMYFUNCTION("""COMPUTED_VALUE"""),"VerifyGridData")</f>
        <v>VerifyGridData</v>
      </c>
      <c r="E4" s="16" t="str">
        <f>IFERROR(__xludf.DUMMYFUNCTION("""COMPUTED_VALUE"""),"RunRebalance")</f>
        <v>RunRebalance</v>
      </c>
      <c r="F4" s="16" t="str">
        <f>IFERROR(__xludf.DUMMYFUNCTION("""COMPUTED_VALUE"""),"RebalanceAcrossSecurities")</f>
        <v>RebalanceAcrossSecurities</v>
      </c>
      <c r="G4" s="16" t="str">
        <f>IFERROR(__xludf.DUMMYFUNCTION("""COMPUTED_VALUE"""),"")</f>
        <v/>
      </c>
      <c r="H4" s="16" t="str">
        <f>IFERROR(__xludf.DUMMYFUNCTION("""COMPUTED_VALUE"""),"")</f>
        <v/>
      </c>
      <c r="I4" s="16" t="str">
        <f>IFERROR(__xludf.DUMMYFUNCTION("""COMPUTED_VALUE"""),"")</f>
        <v/>
      </c>
      <c r="J4" s="16" t="str">
        <f>IFERROR(__xludf.DUMMYFUNCTION("""COMPUTED_VALUE"""),"")</f>
        <v/>
      </c>
      <c r="K4" s="16" t="str">
        <f>IFERROR(__xludf.DUMMYFUNCTION("""COMPUTED_VALUE"""),"")</f>
        <v/>
      </c>
      <c r="L4" s="16" t="str">
        <f>IFERROR(__xludf.DUMMYFUNCTION("""COMPUTED_VALUE"""),"")</f>
        <v/>
      </c>
      <c r="M4" s="16" t="str">
        <f>IFERROR(__xludf.DUMMYFUNCTION("""COMPUTED_VALUE"""),"")</f>
        <v/>
      </c>
      <c r="N4" s="16" t="str">
        <f>IFERROR(__xludf.DUMMYFUNCTION("""COMPUTED_VALUE"""),"")</f>
        <v/>
      </c>
      <c r="O4" s="16" t="str">
        <f>IFERROR(__xludf.DUMMYFUNCTION("""COMPUTED_VALUE"""),"")</f>
        <v/>
      </c>
      <c r="P4" s="17" t="str">
        <f>IFERROR(__xludf.DUMMYFUNCTION("""COMPUTED_VALUE"""),"")</f>
        <v/>
      </c>
      <c r="Q4" s="17" t="str">
        <f>IFERROR(__xludf.DUMMYFUNCTION("""COMPUTED_VALUE"""),"")</f>
        <v/>
      </c>
      <c r="R4" s="17" t="str">
        <f>IFERROR(__xludf.DUMMYFUNCTION("""COMPUTED_VALUE"""),"")</f>
        <v/>
      </c>
      <c r="S4" s="17" t="str">
        <f>IFERROR(__xludf.DUMMYFUNCTION("""COMPUTED_VALUE"""),"")</f>
        <v/>
      </c>
      <c r="T4" s="17" t="str">
        <f>IFERROR(__xludf.DUMMYFUNCTION("""COMPUTED_VALUE"""),"")</f>
        <v/>
      </c>
      <c r="U4" s="17" t="str">
        <f>IFERROR(__xludf.DUMMYFUNCTION("""COMPUTED_VALUE"""),"")</f>
        <v/>
      </c>
      <c r="V4" s="17" t="str">
        <f>IFERROR(__xludf.DUMMYFUNCTION("""COMPUTED_VALUE"""),"")</f>
        <v/>
      </c>
      <c r="W4" s="17" t="str">
        <f>IFERROR(__xludf.DUMMYFUNCTION("""COMPUTED_VALUE"""),"")</f>
        <v/>
      </c>
      <c r="X4" s="17" t="str">
        <f>IFERROR(__xludf.DUMMYFUNCTION("""COMPUTED_VALUE"""),"")</f>
        <v/>
      </c>
      <c r="Y4" s="17" t="str">
        <f>IFERROR(__xludf.DUMMYFUNCTION("""COMPUTED_VALUE"""),"")</f>
        <v/>
      </c>
      <c r="Z4" s="17" t="str">
        <f>IFERROR(__xludf.DUMMYFUNCTION("""COMPUTED_VALUE"""),"")</f>
        <v/>
      </c>
      <c r="AA4" s="17" t="str">
        <f>IFERROR(__xludf.DUMMYFUNCTION("""COMPUTED_VALUE"""),"")</f>
        <v/>
      </c>
      <c r="AB4" s="17" t="str">
        <f>IFERROR(__xludf.DUMMYFUNCTION("""COMPUTED_VALUE"""),"")</f>
        <v/>
      </c>
      <c r="AC4" s="17" t="str">
        <f>IFERROR(__xludf.DUMMYFUNCTION("""COMPUTED_VALUE"""),"")</f>
        <v/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IFERROR(__xludf.DUMMYFUNCTION("""COMPUTED_VALUE"""),"Cash Flow(USD)")</f>
        <v>Cash Flow(USD)</v>
      </c>
      <c r="C5" s="20" t="str">
        <f>IFERROR(__xludf.DUMMYFUNCTION("""COMPUTED_VALUE"""),"Cash Flow Impact on NAV")</f>
        <v>Cash Flow Impact on NAV</v>
      </c>
      <c r="D5" s="20" t="str">
        <f>IFERROR(__xludf.DUMMYFUNCTION("""COMPUTED_VALUE"""),"Select Model")</f>
        <v>Select Model</v>
      </c>
      <c r="E5" s="20" t="str">
        <f>IFERROR(__xludf.DUMMYFUNCTION("""COMPUTED_VALUE"""),"")</f>
        <v/>
      </c>
      <c r="F5" s="21" t="str">
        <f>IFERROR(__xludf.DUMMYFUNCTION("""COMPUTED_VALUE"""),"")</f>
        <v/>
      </c>
      <c r="G5" s="20" t="str">
        <f>IFERROR(__xludf.DUMMYFUNCTION("""COMPUTED_VALUE"""),"")</f>
        <v/>
      </c>
      <c r="H5" s="20" t="str">
        <f>IFERROR(__xludf.DUMMYFUNCTION("""COMPUTED_VALUE"""),"")</f>
        <v/>
      </c>
      <c r="I5" s="20" t="str">
        <f>IFERROR(__xludf.DUMMYFUNCTION("""COMPUTED_VALUE"""),"")</f>
        <v/>
      </c>
      <c r="J5" s="20" t="str">
        <f>IFERROR(__xludf.DUMMYFUNCTION("""COMPUTED_VALUE"""),"")</f>
        <v/>
      </c>
      <c r="K5" s="20" t="str">
        <f>IFERROR(__xludf.DUMMYFUNCTION("""COMPUTED_VALUE"""),"")</f>
        <v/>
      </c>
      <c r="L5" s="20" t="str">
        <f>IFERROR(__xludf.DUMMYFUNCTION("""COMPUTED_VALUE"""),"")</f>
        <v/>
      </c>
      <c r="M5" s="20" t="str">
        <f>IFERROR(__xludf.DUMMYFUNCTION("""COMPUTED_VALUE"""),"")</f>
        <v/>
      </c>
      <c r="N5" s="20" t="str">
        <f>IFERROR(__xludf.DUMMYFUNCTION("""COMPUTED_VALUE"""),"")</f>
        <v/>
      </c>
      <c r="O5" s="20" t="str">
        <f>IFERROR(__xludf.DUMMYFUNCTION("""COMPUTED_VALUE"""),"")</f>
        <v/>
      </c>
      <c r="P5" s="20" t="str">
        <f>IFERROR(__xludf.DUMMYFUNCTION("""COMPUTED_VALUE"""),"")</f>
        <v/>
      </c>
      <c r="Q5" s="20" t="str">
        <f>IFERROR(__xludf.DUMMYFUNCTION("""COMPUTED_VALUE"""),"")</f>
        <v/>
      </c>
      <c r="R5" s="20" t="str">
        <f>IFERROR(__xludf.DUMMYFUNCTION("""COMPUTED_VALUE"""),"")</f>
        <v/>
      </c>
      <c r="S5" s="20" t="str">
        <f>IFERROR(__xludf.DUMMYFUNCTION("""COMPUTED_VALUE"""),"")</f>
        <v/>
      </c>
      <c r="T5" s="22" t="str">
        <f>IFERROR(__xludf.DUMMYFUNCTION("""COMPUTED_VALUE"""),"")</f>
        <v/>
      </c>
      <c r="U5" s="22" t="str">
        <f>IFERROR(__xludf.DUMMYFUNCTION("""COMPUTED_VALUE"""),"")</f>
        <v/>
      </c>
      <c r="V5" s="22" t="str">
        <f>IFERROR(__xludf.DUMMYFUNCTION("""COMPUTED_VALUE"""),"")</f>
        <v/>
      </c>
      <c r="W5" s="22" t="str">
        <f>IFERROR(__xludf.DUMMYFUNCTION("""COMPUTED_VALUE"""),"")</f>
        <v/>
      </c>
      <c r="X5" s="22" t="str">
        <f>IFERROR(__xludf.DUMMYFUNCTION("""COMPUTED_VALUE"""),"")</f>
        <v/>
      </c>
      <c r="Y5" s="22" t="str">
        <f>IFERROR(__xludf.DUMMYFUNCTION("""COMPUTED_VALUE"""),"")</f>
        <v/>
      </c>
      <c r="Z5" s="22" t="str">
        <f>IFERROR(__xludf.DUMMYFUNCTION("""COMPUTED_VALUE"""),"")</f>
        <v/>
      </c>
      <c r="AA5" s="22" t="str">
        <f>IFERROR(__xludf.DUMMYFUNCTION("""COMPUTED_VALUE"""),"")</f>
        <v/>
      </c>
      <c r="AB5" s="22" t="str">
        <f>IFERROR(__xludf.DUMMYFUNCTION("""COMPUTED_VALUE"""),"")</f>
        <v/>
      </c>
      <c r="AC5" s="22" t="str">
        <f>IFERROR(__xludf.DUMMYFUNCTION("""COMPUTED_VALUE"""),"")</f>
        <v/>
      </c>
      <c r="AD5" s="22" t="str">
        <f>IFERROR(__xludf.DUMMYFUNCTION("""COMPUTED_VALUE"""),"")</f>
        <v/>
      </c>
      <c r="AE5" s="22" t="str">
        <f>IFERROR(__xludf.DUMMYFUNCTION("""COMPUTED_VALUE"""),"")</f>
        <v/>
      </c>
      <c r="AF5" s="22" t="str">
        <f>IFERROR(__xludf.DUMMYFUNCTION("""COMPUTED_VALUE"""),"")</f>
        <v/>
      </c>
      <c r="AG5" s="22" t="str">
        <f>IFERROR(__xludf.DUMMYFUNCTION("""COMPUTED_VALUE"""),"")</f>
        <v/>
      </c>
      <c r="AH5" s="22" t="str">
        <f>IFERROR(__xludf.DUMMYFUNCTION("""COMPUTED_VALUE"""),"")</f>
        <v/>
      </c>
      <c r="AI5" s="22" t="str">
        <f>IFERROR(__xludf.DUMMYFUNCTION("""COMPUTED_VALUE"""),"")</f>
        <v/>
      </c>
      <c r="AJ5" s="22" t="str">
        <f>IFERROR(__xludf.DUMMYFUNCTION("""COMPUTED_VALUE"""),"")</f>
        <v/>
      </c>
      <c r="AK5" s="22" t="str">
        <f>IFERROR(__xludf.DUMMYFUNCTION("""COMPUTED_VALUE"""),"")</f>
        <v/>
      </c>
      <c r="AL5" s="22" t="str">
        <f>IFERROR(__xludf.DUMMYFUNCTION("""COMPUTED_VALUE"""),"")</f>
        <v/>
      </c>
      <c r="AM5" s="22" t="str">
        <f>IFERROR(__xludf.DUMMYFUNCTION("""COMPUTED_VALUE"""),"")</f>
        <v/>
      </c>
      <c r="AN5" s="22" t="str">
        <f>IFERROR(__xludf.DUMMYFUNCTION("""COMPUTED_VALUE"""),"")</f>
        <v/>
      </c>
      <c r="AO5" s="22" t="str">
        <f>IFERROR(__xludf.DUMMYFUNCTION("""COMPUTED_VALUE"""),"")</f>
        <v/>
      </c>
      <c r="AP5" s="22" t="str">
        <f>IFERROR(__xludf.DUMMYFUNCTION("""COMPUTED_VALUE"""),"")</f>
        <v/>
      </c>
      <c r="AQ5" s="22" t="str">
        <f>IFERROR(__xludf.DUMMYFUNCTION("""COMPUTED_VALUE"""),"")</f>
        <v/>
      </c>
      <c r="AR5" s="22" t="str">
        <f>IFERROR(__xludf.DUMMYFUNCTION("""COMPUTED_VALUE"""),"")</f>
        <v/>
      </c>
      <c r="AS5" s="22" t="str">
        <f>IFERROR(__xludf.DUMMYFUNCTION("""COMPUTED_VALUE"""),"")</f>
        <v/>
      </c>
      <c r="AT5" s="22" t="str">
        <f>IFERROR(__xludf.DUMMYFUNCTION("""COMPUTED_VALUE"""),"")</f>
        <v/>
      </c>
      <c r="AU5" s="22" t="str">
        <f>IFERROR(__xludf.DUMMYFUNCTION("""COMPUTED_VALUE"""),"")</f>
        <v/>
      </c>
      <c r="AV5" s="22" t="str">
        <f>IFERROR(__xludf.DUMMYFUNCTION("""COMPUTED_VALUE"""),"")</f>
        <v/>
      </c>
      <c r="AW5" s="22" t="str">
        <f>IFERROR(__xludf.DUMMYFUNCTION("""COMPUTED_VALUE"""),"")</f>
        <v/>
      </c>
      <c r="AX5" s="22" t="str">
        <f>IFERROR(__xludf.DUMMYFUNCTION("""COMPUTED_VALUE"""),"")</f>
        <v/>
      </c>
      <c r="AY5" s="22" t="str">
        <f>IFERROR(__xludf.DUMMYFUNCTION("""COMPUTED_VALUE"""),"")</f>
        <v/>
      </c>
      <c r="AZ5" s="22" t="str">
        <f>IFERROR(__xludf.DUMMYFUNCTION("""COMPUTED_VALUE"""),"")</f>
        <v/>
      </c>
      <c r="BA5" s="22" t="str">
        <f>IFERROR(__xludf.DUMMYFUNCTION("""COMPUTED_VALUE"""),"")</f>
        <v/>
      </c>
      <c r="BB5" s="22" t="str">
        <f>IFERROR(__xludf.DUMMYFUNCTION("""COMPUTED_VALUE"""),"")</f>
        <v/>
      </c>
      <c r="BC5" s="22" t="str">
        <f>IFERROR(__xludf.DUMMYFUNCTION("""COMPUTED_VALUE"""),"")</f>
        <v/>
      </c>
      <c r="BD5" s="22" t="str">
        <f>IFERROR(__xludf.DUMMYFUNCTION("""COMPUTED_VALUE"""),"")</f>
        <v/>
      </c>
      <c r="BE5" s="22" t="str">
        <f>IFERROR(__xludf.DUMMYFUNCTION("""COMPUTED_VALUE"""),"")</f>
        <v/>
      </c>
      <c r="BF5" s="22" t="str">
        <f>IFERROR(__xludf.DUMMYFUNCTION("""COMPUTED_VALUE"""),"")</f>
        <v/>
      </c>
      <c r="BG5" s="22" t="str">
        <f>IFERROR(__xludf.DUMMYFUNCTION("""COMPUTED_VALUE"""),"")</f>
        <v/>
      </c>
      <c r="BH5" s="22" t="str">
        <f>IFERROR(__xludf.DUMMYFUNCTION("""COMPUTED_VALUE"""),"")</f>
        <v/>
      </c>
      <c r="BI5" s="22" t="str">
        <f>IFERROR(__xludf.DUMMYFUNCTION("""COMPUTED_VALUE"""),"")</f>
        <v/>
      </c>
      <c r="BJ5" s="22" t="str">
        <f>IFERROR(__xludf.DUMMYFUNCTION("""COMPUTED_VALUE"""),"")</f>
        <v/>
      </c>
      <c r="BK5" s="22" t="str">
        <f>IFERROR(__xludf.DUMMYFUNCTION("""COMPUTED_VALUE"""),"")</f>
        <v/>
      </c>
      <c r="BL5" s="22" t="str">
        <f>IFERROR(__xludf.DUMMYFUNCTION("""COMPUTED_VALUE"""),"")</f>
        <v/>
      </c>
      <c r="BM5" s="22" t="str">
        <f>IFERROR(__xludf.DUMMYFUNCTION("""COMPUTED_VALUE"""),"")</f>
        <v/>
      </c>
      <c r="BN5" s="22" t="str">
        <f>IFERROR(__xludf.DUMMYFUNCTION("""COMPUTED_VALUE"""),"")</f>
        <v/>
      </c>
      <c r="BO5" s="22" t="str">
        <f>IFERROR(__xludf.DUMMYFUNCTION("""COMPUTED_VALUE"""),"")</f>
        <v/>
      </c>
      <c r="BP5" s="22" t="str">
        <f>IFERROR(__xludf.DUMMYFUNCTION("""COMPUTED_VALUE"""),"")</f>
        <v/>
      </c>
      <c r="BQ5" s="22" t="str">
        <f>IFERROR(__xludf.DUMMYFUNCTION("""COMPUTED_VALUE"""),"")</f>
        <v/>
      </c>
      <c r="BR5" s="22" t="str">
        <f>IFERROR(__xludf.DUMMYFUNCTION("""COMPUTED_VALUE"""),"")</f>
        <v/>
      </c>
      <c r="BS5" s="22" t="str">
        <f>IFERROR(__xludf.DUMMYFUNCTION("""COMPUTED_VALUE"""),"")</f>
        <v/>
      </c>
      <c r="BT5" s="22" t="str">
        <f>IFERROR(__xludf.DUMMYFUNCTION("""COMPUTED_VALUE"""),"")</f>
        <v/>
      </c>
      <c r="BU5" s="22" t="str">
        <f>IFERROR(__xludf.DUMMYFUNCTION("""COMPUTED_VALUE"""),"")</f>
        <v/>
      </c>
      <c r="BV5" s="22" t="str">
        <f>IFERROR(__xludf.DUMMYFUNCTION("""COMPUTED_VALUE"""),"")</f>
        <v/>
      </c>
      <c r="BW5" s="22" t="str">
        <f>IFERROR(__xludf.DUMMYFUNCTION("""COMPUTED_VALUE"""),"")</f>
        <v/>
      </c>
      <c r="BX5" s="22" t="str">
        <f>IFERROR(__xludf.DUMMYFUNCTION("""COMPUTED_VALUE"""),"")</f>
        <v/>
      </c>
      <c r="BY5" s="22" t="str">
        <f>IFERROR(__xludf.DUMMYFUNCTION("""COMPUTED_VALUE"""),"")</f>
        <v/>
      </c>
      <c r="BZ5" s="22" t="str">
        <f>IFERROR(__xludf.DUMMYFUNCTION("""COMPUTED_VALUE"""),"")</f>
        <v/>
      </c>
      <c r="CA5" s="22" t="str">
        <f>IFERROR(__xludf.DUMMYFUNCTION("""COMPUTED_VALUE"""),"")</f>
        <v/>
      </c>
      <c r="CB5" s="22" t="str">
        <f>IFERROR(__xludf.DUMMYFUNCTION("""COMPUTED_VALUE"""),"")</f>
        <v/>
      </c>
      <c r="CC5" s="22" t="str">
        <f>IFERROR(__xludf.DUMMYFUNCTION("""COMPUTED_VALUE"""),"")</f>
        <v/>
      </c>
      <c r="CD5" s="22" t="str">
        <f>IFERROR(__xludf.DUMMYFUNCTION("""COMPUTED_VALUE"""),"")</f>
        <v/>
      </c>
      <c r="CE5" s="22" t="str">
        <f>IFERROR(__xludf.DUMMYFUNCTION("""COMPUTED_VALUE"""),"")</f>
        <v/>
      </c>
      <c r="CF5" s="22" t="str">
        <f>IFERROR(__xludf.DUMMYFUNCTION("""COMPUTED_VALUE"""),"")</f>
        <v/>
      </c>
      <c r="CG5" s="22" t="str">
        <f>IFERROR(__xludf.DUMMYFUNCTION("""COMPUTED_VALUE"""),"")</f>
        <v/>
      </c>
      <c r="CH5" s="22" t="str">
        <f>IFERROR(__xludf.DUMMYFUNCTION("""COMPUTED_VALUE"""),"")</f>
        <v/>
      </c>
      <c r="CI5" s="22" t="str">
        <f>IFERROR(__xludf.DUMMYFUNCTION("""COMPUTED_VALUE"""),"")</f>
        <v/>
      </c>
      <c r="CJ5" s="22" t="str">
        <f>IFERROR(__xludf.DUMMYFUNCTION("""COMPUTED_VALUE"""),"")</f>
        <v/>
      </c>
      <c r="CK5" s="22" t="str">
        <f>IFERROR(__xludf.DUMMYFUNCTION("""COMPUTED_VALUE"""),"")</f>
        <v/>
      </c>
      <c r="CL5" s="22" t="str">
        <f>IFERROR(__xludf.DUMMYFUNCTION("""COMPUTED_VALUE"""),"")</f>
        <v/>
      </c>
      <c r="CM5" s="22" t="str">
        <f>IFERROR(__xludf.DUMMYFUNCTION("""COMPUTED_VALUE"""),"")</f>
        <v/>
      </c>
      <c r="CN5" s="22" t="str">
        <f>IFERROR(__xludf.DUMMYFUNCTION("""COMPUTED_VALUE"""),"")</f>
        <v/>
      </c>
      <c r="CO5" s="22" t="str">
        <f>IFERROR(__xludf.DUMMYFUNCTION("""COMPUTED_VALUE"""),"")</f>
        <v/>
      </c>
      <c r="CP5" s="22" t="str">
        <f>IFERROR(__xludf.DUMMYFUNCTION("""COMPUTED_VALUE"""),"")</f>
        <v/>
      </c>
      <c r="CQ5" s="22" t="str">
        <f>IFERROR(__xludf.DUMMYFUNCTION("""COMPUTED_VALUE"""),"")</f>
        <v/>
      </c>
      <c r="CR5" s="22" t="str">
        <f>IFERROR(__xludf.DUMMYFUNCTION("""COMPUTED_VALUE"""),"")</f>
        <v/>
      </c>
      <c r="CS5" s="22" t="str">
        <f>IFERROR(__xludf.DUMMYFUNCTION("""COMPUTED_VALUE"""),"")</f>
        <v/>
      </c>
      <c r="CT5" s="22" t="str">
        <f>IFERROR(__xludf.DUMMYFUNCTION("""COMPUTED_VALUE"""),"")</f>
        <v/>
      </c>
      <c r="CU5" s="22" t="str">
        <f>IFERROR(__xludf.DUMMYFUNCTION("""COMPUTED_VALUE"""),"")</f>
        <v/>
      </c>
      <c r="CV5" s="22" t="str">
        <f>IFERROR(__xludf.DUMMYFUNCTION("""COMPUTED_VALUE"""),"")</f>
        <v/>
      </c>
      <c r="CW5" s="22" t="str">
        <f>IFERROR(__xludf.DUMMYFUNCTION("""COMPUTED_VALUE"""),"")</f>
        <v/>
      </c>
      <c r="CX5" s="22" t="str">
        <f>IFERROR(__xludf.DUMMYFUNCTION("""COMPUTED_VALUE"""),"")</f>
        <v/>
      </c>
      <c r="CY5" s="22" t="str">
        <f>IFERROR(__xludf.DUMMYFUNCTION("""COMPUTED_VALUE"""),"")</f>
        <v/>
      </c>
      <c r="CZ5" s="22" t="str">
        <f>IFERROR(__xludf.DUMMYFUNCTION("""COMPUTED_VALUE"""),"")</f>
        <v/>
      </c>
      <c r="DA5" s="22" t="str">
        <f>IFERROR(__xludf.DUMMYFUNCTION("""COMPUTED_VALUE"""),"")</f>
        <v/>
      </c>
      <c r="DB5" s="22" t="str">
        <f>IFERROR(__xludf.DUMMYFUNCTION("""COMPUTED_VALUE"""),"")</f>
        <v/>
      </c>
      <c r="DC5" s="22" t="str">
        <f>IFERROR(__xludf.DUMMYFUNCTION("""COMPUTED_VALUE"""),"")</f>
        <v/>
      </c>
      <c r="DD5" s="22" t="str">
        <f>IFERROR(__xludf.DUMMYFUNCTION("""COMPUTED_VALUE"""),"")</f>
        <v/>
      </c>
      <c r="DE5" s="22" t="str">
        <f>IFERROR(__xludf.DUMMYFUNCTION("""COMPUTED_VALUE"""),"")</f>
        <v/>
      </c>
      <c r="DF5" s="22" t="str">
        <f>IFERROR(__xludf.DUMMYFUNCTION("""COMPUTED_VALUE"""),"")</f>
        <v/>
      </c>
      <c r="DG5" s="22" t="str">
        <f>IFERROR(__xludf.DUMMYFUNCTION("""COMPUTED_VALUE"""),"")</f>
        <v/>
      </c>
      <c r="DH5" s="22" t="str">
        <f>IFERROR(__xludf.DUMMYFUNCTION("""COMPUTED_VALUE"""),"")</f>
        <v/>
      </c>
      <c r="DI5" s="22" t="str">
        <f>IFERROR(__xludf.DUMMYFUNCTION("""COMPUTED_VALUE"""),"")</f>
        <v/>
      </c>
      <c r="DJ5" s="22" t="str">
        <f>IFERROR(__xludf.DUMMYFUNCTION("""COMPUTED_VALUE"""),"")</f>
        <v/>
      </c>
      <c r="DK5" s="22" t="str">
        <f>IFERROR(__xludf.DUMMYFUNCTION("""COMPUTED_VALUE"""),"")</f>
        <v/>
      </c>
      <c r="DL5" s="22" t="str">
        <f>IFERROR(__xludf.DUMMYFUNCTION("""COMPUTED_VALUE"""),"")</f>
        <v/>
      </c>
      <c r="DM5" s="22" t="str">
        <f>IFERROR(__xludf.DUMMYFUNCTION("""COMPUTED_VALUE"""),"")</f>
        <v/>
      </c>
      <c r="DN5" s="22" t="str">
        <f>IFERROR(__xludf.DUMMYFUNCTION("""COMPUTED_VALUE"""),"")</f>
        <v/>
      </c>
      <c r="DO5" s="22" t="str">
        <f>IFERROR(__xludf.DUMMYFUNCTION("""COMPUTED_VALUE"""),"")</f>
        <v/>
      </c>
      <c r="DP5" s="22" t="str">
        <f>IFERROR(__xludf.DUMMYFUNCTION("""COMPUTED_VALUE"""),"")</f>
        <v/>
      </c>
      <c r="DQ5" s="22" t="str">
        <f>IFERROR(__xludf.DUMMYFUNCTION("""COMPUTED_VALUE"""),"")</f>
        <v/>
      </c>
      <c r="DR5" s="22" t="str">
        <f>IFERROR(__xludf.DUMMYFUNCTION("""COMPUTED_VALUE"""),"")</f>
        <v/>
      </c>
      <c r="DS5" s="22" t="str">
        <f>IFERROR(__xludf.DUMMYFUNCTION("""COMPUTED_VALUE"""),"")</f>
        <v/>
      </c>
      <c r="DT5" s="22" t="str">
        <f>IFERROR(__xludf.DUMMYFUNCTION("""COMPUTED_VALUE"""),"")</f>
        <v/>
      </c>
      <c r="DU5" s="22" t="str">
        <f>IFERROR(__xludf.DUMMYFUNCTION("""COMPUTED_VALUE"""),"")</f>
        <v/>
      </c>
      <c r="DV5" s="22" t="str">
        <f>IFERROR(__xludf.DUMMYFUNCTION("""COMPUTED_VALUE"""),"")</f>
        <v/>
      </c>
      <c r="DW5" s="22" t="str">
        <f>IFERROR(__xludf.DUMMYFUNCTION("""COMPUTED_VALUE"""),"")</f>
        <v/>
      </c>
      <c r="DX5" s="22" t="str">
        <f>IFERROR(__xludf.DUMMYFUNCTION("""COMPUTED_VALUE"""),"")</f>
        <v/>
      </c>
      <c r="DY5" s="22" t="str">
        <f>IFERROR(__xludf.DUMMYFUNCTION("""COMPUTED_VALUE"""),"")</f>
        <v/>
      </c>
      <c r="DZ5" s="22" t="str">
        <f>IFERROR(__xludf.DUMMYFUNCTION("""COMPUTED_VALUE"""),"")</f>
        <v/>
      </c>
      <c r="EA5" s="22" t="str">
        <f>IFERROR(__xludf.DUMMYFUNCTION("""COMPUTED_VALUE"""),"")</f>
        <v/>
      </c>
      <c r="EB5" s="22" t="str">
        <f>IFERROR(__xludf.DUMMYFUNCTION("""COMPUTED_VALUE"""),"")</f>
        <v/>
      </c>
      <c r="EC5" s="22" t="str">
        <f>IFERROR(__xludf.DUMMYFUNCTION("""COMPUTED_VALUE"""),"")</f>
        <v/>
      </c>
      <c r="ED5" s="22" t="str">
        <f>IFERROR(__xludf.DUMMYFUNCTION("""COMPUTED_VALUE"""),"")</f>
        <v/>
      </c>
      <c r="EE5" s="22" t="str">
        <f>IFERROR(__xludf.DUMMYFUNCTION("""COMPUTED_VALUE"""),"")</f>
        <v/>
      </c>
      <c r="EF5" s="22" t="str">
        <f>IFERROR(__xludf.DUMMYFUNCTION("""COMPUTED_VALUE"""),"")</f>
        <v/>
      </c>
      <c r="EG5" s="22" t="str">
        <f>IFERROR(__xludf.DUMMYFUNCTION("""COMPUTED_VALUE"""),"")</f>
        <v/>
      </c>
      <c r="EH5" s="22" t="str">
        <f>IFERROR(__xludf.DUMMYFUNCTION("""COMPUTED_VALUE"""),"")</f>
        <v/>
      </c>
      <c r="EI5" s="22" t="str">
        <f>IFERROR(__xludf.DUMMYFUNCTION("""COMPUTED_VALUE"""),"")</f>
        <v/>
      </c>
      <c r="EJ5" s="22" t="str">
        <f>IFERROR(__xludf.DUMMYFUNCTION("""COMPUTED_VALUE"""),"")</f>
        <v/>
      </c>
      <c r="EK5" s="22" t="str">
        <f>IFERROR(__xludf.DUMMYFUNCTION("""COMPUTED_VALUE"""),"")</f>
        <v/>
      </c>
      <c r="EL5" s="22" t="str">
        <f>IFERROR(__xludf.DUMMYFUNCTION("""COMPUTED_VALUE"""),"")</f>
        <v/>
      </c>
      <c r="EM5" s="22" t="str">
        <f>IFERROR(__xludf.DUMMYFUNCTION("""COMPUTED_VALUE"""),"")</f>
        <v/>
      </c>
      <c r="EN5" s="22" t="str">
        <f>IFERROR(__xludf.DUMMYFUNCTION("""COMPUTED_VALUE"""),"")</f>
        <v/>
      </c>
      <c r="EO5" s="22" t="str">
        <f>IFERROR(__xludf.DUMMYFUNCTION("""COMPUTED_VALUE"""),"")</f>
        <v/>
      </c>
      <c r="EP5" s="22" t="str">
        <f>IFERROR(__xludf.DUMMYFUNCTION("""COMPUTED_VALUE"""),"")</f>
        <v/>
      </c>
      <c r="EQ5" s="22" t="str">
        <f>IFERROR(__xludf.DUMMYFUNCTION("""COMPUTED_VALUE"""),"")</f>
        <v/>
      </c>
      <c r="ER5" s="22" t="str">
        <f>IFERROR(__xludf.DUMMYFUNCTION("""COMPUTED_VALUE"""),"")</f>
        <v/>
      </c>
      <c r="ES5" s="22" t="str">
        <f>IFERROR(__xludf.DUMMYFUNCTION("""COMPUTED_VALUE"""),"")</f>
        <v/>
      </c>
      <c r="ET5" s="22" t="str">
        <f>IFERROR(__xludf.DUMMYFUNCTION("""COMPUTED_VALUE"""),"")</f>
        <v/>
      </c>
      <c r="EU5" s="22" t="str">
        <f>IFERROR(__xludf.DUMMYFUNCTION("""COMPUTED_VALUE"""),"")</f>
        <v/>
      </c>
      <c r="EV5" s="22" t="str">
        <f>IFERROR(__xludf.DUMMYFUNCTION("""COMPUTED_VALUE"""),"")</f>
        <v/>
      </c>
      <c r="EW5" s="22" t="str">
        <f>IFERROR(__xludf.DUMMYFUNCTION("""COMPUTED_VALUE"""),"")</f>
        <v/>
      </c>
      <c r="EX5" s="22" t="str">
        <f>IFERROR(__xludf.DUMMYFUNCTION("""COMPUTED_VALUE"""),"")</f>
        <v/>
      </c>
    </row>
    <row r="6" ht="15.75" customHeight="1">
      <c r="A6" s="6"/>
      <c r="B6" s="6">
        <v>-32000.0</v>
      </c>
      <c r="C6" s="45" t="s">
        <v>31</v>
      </c>
      <c r="D6" s="6" t="s">
        <v>32</v>
      </c>
      <c r="E6" s="25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9"/>
      <c r="B1" s="10" t="s">
        <v>5</v>
      </c>
      <c r="C1" s="2"/>
      <c r="D1" s="2"/>
      <c r="E1" s="2"/>
      <c r="F1" s="2"/>
      <c r="G1" s="2"/>
      <c r="H1" s="3"/>
      <c r="I1" s="9"/>
      <c r="J1" s="9"/>
      <c r="K1" s="9"/>
      <c r="L1" s="9"/>
      <c r="M1" s="9"/>
      <c r="N1" s="9"/>
      <c r="O1" s="9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12" t="str">
        <f> VLOOKUP($E$3,'_MasterData'!B4:D1000,3,FALSE)</f>
        <v>#N/A</v>
      </c>
      <c r="K2" s="12"/>
      <c r="L2" s="4"/>
      <c r="M2" s="4"/>
      <c r="N2" s="4"/>
      <c r="O2" s="4"/>
    </row>
    <row r="3" ht="15.75" customHeight="1">
      <c r="A3" s="13"/>
      <c r="B3" s="5" t="s">
        <v>6</v>
      </c>
      <c r="C3" s="14" t="s">
        <v>27</v>
      </c>
      <c r="D3" s="5" t="s">
        <v>8</v>
      </c>
      <c r="E3" s="14" t="s">
        <v>33</v>
      </c>
      <c r="F3" s="5" t="s">
        <v>10</v>
      </c>
      <c r="G3" s="8" t="s">
        <v>11</v>
      </c>
      <c r="H3" s="5"/>
      <c r="I3" s="13"/>
      <c r="J3" s="13"/>
      <c r="K3" s="13"/>
      <c r="L3" s="13"/>
      <c r="M3" s="13"/>
      <c r="N3" s="13"/>
      <c r="O3" s="13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</row>
    <row r="4" ht="15.75" customHeight="1">
      <c r="A4" s="16"/>
      <c r="B4" s="16" t="str">
        <f>IFERROR(__xludf.DUMMYFUNCTION("IF(C3="""","""",Transpose(IMPORTRANGE('_Settings'!$B$3,C3&amp;""!A4:A1000"")))"),"FetchAccountPositions")</f>
        <v>FetchAccountPositions</v>
      </c>
      <c r="C4" s="16" t="str">
        <f>IFERROR(__xludf.DUMMYFUNCTION("""COMPUTED_VALUE"""),"AddCash")</f>
        <v>AddCash</v>
      </c>
      <c r="D4" s="16" t="str">
        <f>IFERROR(__xludf.DUMMYFUNCTION("""COMPUTED_VALUE"""),"VerifyGridData")</f>
        <v>VerifyGridData</v>
      </c>
      <c r="E4" s="16" t="str">
        <f>IFERROR(__xludf.DUMMYFUNCTION("""COMPUTED_VALUE"""),"RunRebalance")</f>
        <v>RunRebalance</v>
      </c>
      <c r="F4" s="16" t="str">
        <f>IFERROR(__xludf.DUMMYFUNCTION("""COMPUTED_VALUE"""),"RebalanceAcrossSecurities")</f>
        <v>RebalanceAcrossSecurities</v>
      </c>
      <c r="G4" s="16" t="str">
        <f>IFERROR(__xludf.DUMMYFUNCTION("""COMPUTED_VALUE"""),"")</f>
        <v/>
      </c>
      <c r="H4" s="16" t="str">
        <f>IFERROR(__xludf.DUMMYFUNCTION("""COMPUTED_VALUE"""),"")</f>
        <v/>
      </c>
      <c r="I4" s="16" t="str">
        <f>IFERROR(__xludf.DUMMYFUNCTION("""COMPUTED_VALUE"""),"")</f>
        <v/>
      </c>
      <c r="J4" s="16" t="str">
        <f>IFERROR(__xludf.DUMMYFUNCTION("""COMPUTED_VALUE"""),"")</f>
        <v/>
      </c>
      <c r="K4" s="16" t="str">
        <f>IFERROR(__xludf.DUMMYFUNCTION("""COMPUTED_VALUE"""),"")</f>
        <v/>
      </c>
      <c r="L4" s="16" t="str">
        <f>IFERROR(__xludf.DUMMYFUNCTION("""COMPUTED_VALUE"""),"")</f>
        <v/>
      </c>
      <c r="M4" s="16" t="str">
        <f>IFERROR(__xludf.DUMMYFUNCTION("""COMPUTED_VALUE"""),"")</f>
        <v/>
      </c>
      <c r="N4" s="16" t="str">
        <f>IFERROR(__xludf.DUMMYFUNCTION("""COMPUTED_VALUE"""),"")</f>
        <v/>
      </c>
      <c r="O4" s="16" t="str">
        <f>IFERROR(__xludf.DUMMYFUNCTION("""COMPUTED_VALUE"""),"")</f>
        <v/>
      </c>
      <c r="P4" s="17" t="str">
        <f>IFERROR(__xludf.DUMMYFUNCTION("""COMPUTED_VALUE"""),"")</f>
        <v/>
      </c>
      <c r="Q4" s="17" t="str">
        <f>IFERROR(__xludf.DUMMYFUNCTION("""COMPUTED_VALUE"""),"")</f>
        <v/>
      </c>
      <c r="R4" s="17" t="str">
        <f>IFERROR(__xludf.DUMMYFUNCTION("""COMPUTED_VALUE"""),"")</f>
        <v/>
      </c>
      <c r="S4" s="17" t="str">
        <f>IFERROR(__xludf.DUMMYFUNCTION("""COMPUTED_VALUE"""),"")</f>
        <v/>
      </c>
      <c r="T4" s="17" t="str">
        <f>IFERROR(__xludf.DUMMYFUNCTION("""COMPUTED_VALUE"""),"")</f>
        <v/>
      </c>
      <c r="U4" s="17" t="str">
        <f>IFERROR(__xludf.DUMMYFUNCTION("""COMPUTED_VALUE"""),"")</f>
        <v/>
      </c>
      <c r="V4" s="17" t="str">
        <f>IFERROR(__xludf.DUMMYFUNCTION("""COMPUTED_VALUE"""),"")</f>
        <v/>
      </c>
      <c r="W4" s="17" t="str">
        <f>IFERROR(__xludf.DUMMYFUNCTION("""COMPUTED_VALUE"""),"")</f>
        <v/>
      </c>
      <c r="X4" s="17" t="str">
        <f>IFERROR(__xludf.DUMMYFUNCTION("""COMPUTED_VALUE"""),"")</f>
        <v/>
      </c>
      <c r="Y4" s="17" t="str">
        <f>IFERROR(__xludf.DUMMYFUNCTION("""COMPUTED_VALUE"""),"")</f>
        <v/>
      </c>
      <c r="Z4" s="17" t="str">
        <f>IFERROR(__xludf.DUMMYFUNCTION("""COMPUTED_VALUE"""),"")</f>
        <v/>
      </c>
      <c r="AA4" s="17" t="str">
        <f>IFERROR(__xludf.DUMMYFUNCTION("""COMPUTED_VALUE"""),"")</f>
        <v/>
      </c>
      <c r="AB4" s="17" t="str">
        <f>IFERROR(__xludf.DUMMYFUNCTION("""COMPUTED_VALUE"""),"")</f>
        <v/>
      </c>
      <c r="AC4" s="17" t="str">
        <f>IFERROR(__xludf.DUMMYFUNCTION("""COMPUTED_VALUE"""),"")</f>
        <v/>
      </c>
      <c r="AD4" s="17" t="str">
        <f>IFERROR(__xludf.DUMMYFUNCTION("""COMPUTED_VALUE"""),"")</f>
        <v/>
      </c>
      <c r="AE4" s="17" t="str">
        <f>IFERROR(__xludf.DUMMYFUNCTION("""COMPUTED_VALUE"""),"")</f>
        <v/>
      </c>
      <c r="AF4" s="17" t="str">
        <f>IFERROR(__xludf.DUMMYFUNCTION("""COMPUTED_VALUE"""),"")</f>
        <v/>
      </c>
      <c r="AG4" s="17" t="str">
        <f>IFERROR(__xludf.DUMMYFUNCTION("""COMPUTED_VALUE"""),"")</f>
        <v/>
      </c>
      <c r="AH4" s="17" t="str">
        <f>IFERROR(__xludf.DUMMYFUNCTION("""COMPUTED_VALUE"""),"")</f>
        <v/>
      </c>
      <c r="AI4" s="17" t="str">
        <f>IFERROR(__xludf.DUMMYFUNCTION("""COMPUTED_VALUE"""),"")</f>
        <v/>
      </c>
      <c r="AJ4" s="17" t="str">
        <f>IFERROR(__xludf.DUMMYFUNCTION("""COMPUTED_VALUE"""),"")</f>
        <v/>
      </c>
      <c r="AK4" s="17" t="str">
        <f>IFERROR(__xludf.DUMMYFUNCTION("""COMPUTED_VALUE"""),"")</f>
        <v/>
      </c>
      <c r="AL4" s="17" t="str">
        <f>IFERROR(__xludf.DUMMYFUNCTION("""COMPUTED_VALUE"""),"")</f>
        <v/>
      </c>
      <c r="AM4" s="17" t="str">
        <f>IFERROR(__xludf.DUMMYFUNCTION("""COMPUTED_VALUE"""),"")</f>
        <v/>
      </c>
      <c r="AN4" s="17" t="str">
        <f>IFERROR(__xludf.DUMMYFUNCTION("""COMPUTED_VALUE"""),"")</f>
        <v/>
      </c>
      <c r="AO4" s="17" t="str">
        <f>IFERROR(__xludf.DUMMYFUNCTION("""COMPUTED_VALUE"""),"")</f>
        <v/>
      </c>
      <c r="AP4" s="17" t="str">
        <f>IFERROR(__xludf.DUMMYFUNCTION("""COMPUTED_VALUE"""),"")</f>
        <v/>
      </c>
      <c r="AQ4" s="17" t="str">
        <f>IFERROR(__xludf.DUMMYFUNCTION("""COMPUTED_VALUE"""),"")</f>
        <v/>
      </c>
      <c r="AR4" s="17" t="str">
        <f>IFERROR(__xludf.DUMMYFUNCTION("""COMPUTED_VALUE"""),"")</f>
        <v/>
      </c>
      <c r="AS4" s="17" t="str">
        <f>IFERROR(__xludf.DUMMYFUNCTION("""COMPUTED_VALUE"""),"")</f>
        <v/>
      </c>
      <c r="AT4" s="17" t="str">
        <f>IFERROR(__xludf.DUMMYFUNCTION("""COMPUTED_VALUE"""),"")</f>
        <v/>
      </c>
      <c r="AU4" s="17" t="str">
        <f>IFERROR(__xludf.DUMMYFUNCTION("""COMPUTED_VALUE"""),"")</f>
        <v/>
      </c>
      <c r="AV4" s="17" t="str">
        <f>IFERROR(__xludf.DUMMYFUNCTION("""COMPUTED_VALUE"""),"")</f>
        <v/>
      </c>
      <c r="AW4" s="17" t="str">
        <f>IFERROR(__xludf.DUMMYFUNCTION("""COMPUTED_VALUE"""),"")</f>
        <v/>
      </c>
      <c r="AX4" s="17" t="str">
        <f>IFERROR(__xludf.DUMMYFUNCTION("""COMPUTED_VALUE"""),"")</f>
        <v/>
      </c>
      <c r="AY4" s="17" t="str">
        <f>IFERROR(__xludf.DUMMYFUNCTION("""COMPUTED_VALUE"""),"")</f>
        <v/>
      </c>
      <c r="AZ4" s="17" t="str">
        <f>IFERROR(__xludf.DUMMYFUNCTION("""COMPUTED_VALUE"""),"")</f>
        <v/>
      </c>
      <c r="BA4" s="17" t="str">
        <f>IFERROR(__xludf.DUMMYFUNCTION("""COMPUTED_VALUE"""),"")</f>
        <v/>
      </c>
      <c r="BB4" s="17" t="str">
        <f>IFERROR(__xludf.DUMMYFUNCTION("""COMPUTED_VALUE"""),"")</f>
        <v/>
      </c>
      <c r="BC4" s="17" t="str">
        <f>IFERROR(__xludf.DUMMYFUNCTION("""COMPUTED_VALUE"""),"")</f>
        <v/>
      </c>
      <c r="BD4" s="17" t="str">
        <f>IFERROR(__xludf.DUMMYFUNCTION("""COMPUTED_VALUE"""),"")</f>
        <v/>
      </c>
      <c r="BE4" s="17" t="str">
        <f>IFERROR(__xludf.DUMMYFUNCTION("""COMPUTED_VALUE"""),"")</f>
        <v/>
      </c>
      <c r="BF4" s="17" t="str">
        <f>IFERROR(__xludf.DUMMYFUNCTION("""COMPUTED_VALUE"""),"")</f>
        <v/>
      </c>
      <c r="BG4" s="17" t="str">
        <f>IFERROR(__xludf.DUMMYFUNCTION("""COMPUTED_VALUE"""),"")</f>
        <v/>
      </c>
      <c r="BH4" s="17" t="str">
        <f>IFERROR(__xludf.DUMMYFUNCTION("""COMPUTED_VALUE"""),"")</f>
        <v/>
      </c>
      <c r="BI4" s="17" t="str">
        <f>IFERROR(__xludf.DUMMYFUNCTION("""COMPUTED_VALUE"""),"")</f>
        <v/>
      </c>
      <c r="BJ4" s="17" t="str">
        <f>IFERROR(__xludf.DUMMYFUNCTION("""COMPUTED_VALUE"""),"")</f>
        <v/>
      </c>
      <c r="BK4" s="17" t="str">
        <f>IFERROR(__xludf.DUMMYFUNCTION("""COMPUTED_VALUE"""),"")</f>
        <v/>
      </c>
      <c r="BL4" s="17" t="str">
        <f>IFERROR(__xludf.DUMMYFUNCTION("""COMPUTED_VALUE"""),"")</f>
        <v/>
      </c>
      <c r="BM4" s="17" t="str">
        <f>IFERROR(__xludf.DUMMYFUNCTION("""COMPUTED_VALUE"""),"")</f>
        <v/>
      </c>
      <c r="BN4" s="17" t="str">
        <f>IFERROR(__xludf.DUMMYFUNCTION("""COMPUTED_VALUE"""),"")</f>
        <v/>
      </c>
      <c r="BO4" s="17" t="str">
        <f>IFERROR(__xludf.DUMMYFUNCTION("""COMPUTED_VALUE"""),"")</f>
        <v/>
      </c>
      <c r="BP4" s="17" t="str">
        <f>IFERROR(__xludf.DUMMYFUNCTION("""COMPUTED_VALUE"""),"")</f>
        <v/>
      </c>
      <c r="BQ4" s="17" t="str">
        <f>IFERROR(__xludf.DUMMYFUNCTION("""COMPUTED_VALUE"""),"")</f>
        <v/>
      </c>
      <c r="BR4" s="17" t="str">
        <f>IFERROR(__xludf.DUMMYFUNCTION("""COMPUTED_VALUE"""),"")</f>
        <v/>
      </c>
      <c r="BS4" s="17" t="str">
        <f>IFERROR(__xludf.DUMMYFUNCTION("""COMPUTED_VALUE"""),"")</f>
        <v/>
      </c>
      <c r="BT4" s="17" t="str">
        <f>IFERROR(__xludf.DUMMYFUNCTION("""COMPUTED_VALUE"""),"")</f>
        <v/>
      </c>
      <c r="BU4" s="17" t="str">
        <f>IFERROR(__xludf.DUMMYFUNCTION("""COMPUTED_VALUE"""),"")</f>
        <v/>
      </c>
      <c r="BV4" s="17" t="str">
        <f>IFERROR(__xludf.DUMMYFUNCTION("""COMPUTED_VALUE"""),"")</f>
        <v/>
      </c>
      <c r="BW4" s="17" t="str">
        <f>IFERROR(__xludf.DUMMYFUNCTION("""COMPUTED_VALUE"""),"")</f>
        <v/>
      </c>
      <c r="BX4" s="17" t="str">
        <f>IFERROR(__xludf.DUMMYFUNCTION("""COMPUTED_VALUE"""),"")</f>
        <v/>
      </c>
      <c r="BY4" s="17" t="str">
        <f>IFERROR(__xludf.DUMMYFUNCTION("""COMPUTED_VALUE"""),"")</f>
        <v/>
      </c>
      <c r="BZ4" s="17" t="str">
        <f>IFERROR(__xludf.DUMMYFUNCTION("""COMPUTED_VALUE"""),"")</f>
        <v/>
      </c>
      <c r="CA4" s="17" t="str">
        <f>IFERROR(__xludf.DUMMYFUNCTION("""COMPUTED_VALUE"""),"")</f>
        <v/>
      </c>
      <c r="CB4" s="17" t="str">
        <f>IFERROR(__xludf.DUMMYFUNCTION("""COMPUTED_VALUE"""),"")</f>
        <v/>
      </c>
      <c r="CC4" s="17" t="str">
        <f>IFERROR(__xludf.DUMMYFUNCTION("""COMPUTED_VALUE"""),"")</f>
        <v/>
      </c>
      <c r="CD4" s="17" t="str">
        <f>IFERROR(__xludf.DUMMYFUNCTION("""COMPUTED_VALUE"""),"")</f>
        <v/>
      </c>
      <c r="CE4" s="17" t="str">
        <f>IFERROR(__xludf.DUMMYFUNCTION("""COMPUTED_VALUE"""),"")</f>
        <v/>
      </c>
      <c r="CF4" s="17" t="str">
        <f>IFERROR(__xludf.DUMMYFUNCTION("""COMPUTED_VALUE"""),"")</f>
        <v/>
      </c>
      <c r="CG4" s="17" t="str">
        <f>IFERROR(__xludf.DUMMYFUNCTION("""COMPUTED_VALUE"""),"")</f>
        <v/>
      </c>
      <c r="CH4" s="17" t="str">
        <f>IFERROR(__xludf.DUMMYFUNCTION("""COMPUTED_VALUE"""),"")</f>
        <v/>
      </c>
      <c r="CI4" s="17" t="str">
        <f>IFERROR(__xludf.DUMMYFUNCTION("""COMPUTED_VALUE"""),"")</f>
        <v/>
      </c>
      <c r="CJ4" s="17" t="str">
        <f>IFERROR(__xludf.DUMMYFUNCTION("""COMPUTED_VALUE"""),"")</f>
        <v/>
      </c>
      <c r="CK4" s="17" t="str">
        <f>IFERROR(__xludf.DUMMYFUNCTION("""COMPUTED_VALUE"""),"")</f>
        <v/>
      </c>
      <c r="CL4" s="17" t="str">
        <f>IFERROR(__xludf.DUMMYFUNCTION("""COMPUTED_VALUE"""),"")</f>
        <v/>
      </c>
      <c r="CM4" s="17" t="str">
        <f>IFERROR(__xludf.DUMMYFUNCTION("""COMPUTED_VALUE"""),"")</f>
        <v/>
      </c>
      <c r="CN4" s="17" t="str">
        <f>IFERROR(__xludf.DUMMYFUNCTION("""COMPUTED_VALUE"""),"")</f>
        <v/>
      </c>
      <c r="CO4" s="17" t="str">
        <f>IFERROR(__xludf.DUMMYFUNCTION("""COMPUTED_VALUE"""),"")</f>
        <v/>
      </c>
      <c r="CP4" s="17" t="str">
        <f>IFERROR(__xludf.DUMMYFUNCTION("""COMPUTED_VALUE"""),"")</f>
        <v/>
      </c>
      <c r="CQ4" s="17" t="str">
        <f>IFERROR(__xludf.DUMMYFUNCTION("""COMPUTED_VALUE"""),"")</f>
        <v/>
      </c>
      <c r="CR4" s="17" t="str">
        <f>IFERROR(__xludf.DUMMYFUNCTION("""COMPUTED_VALUE"""),"")</f>
        <v/>
      </c>
      <c r="CS4" s="17" t="str">
        <f>IFERROR(__xludf.DUMMYFUNCTION("""COMPUTED_VALUE"""),"")</f>
        <v/>
      </c>
      <c r="CT4" s="17" t="str">
        <f>IFERROR(__xludf.DUMMYFUNCTION("""COMPUTED_VALUE"""),"")</f>
        <v/>
      </c>
      <c r="CU4" s="17" t="str">
        <f>IFERROR(__xludf.DUMMYFUNCTION("""COMPUTED_VALUE"""),"")</f>
        <v/>
      </c>
      <c r="CV4" s="17" t="str">
        <f>IFERROR(__xludf.DUMMYFUNCTION("""COMPUTED_VALUE"""),"")</f>
        <v/>
      </c>
      <c r="CW4" s="17" t="str">
        <f>IFERROR(__xludf.DUMMYFUNCTION("""COMPUTED_VALUE"""),"")</f>
        <v/>
      </c>
      <c r="CX4" s="17" t="str">
        <f>IFERROR(__xludf.DUMMYFUNCTION("""COMPUTED_VALUE"""),"")</f>
        <v/>
      </c>
      <c r="CY4" s="17" t="str">
        <f>IFERROR(__xludf.DUMMYFUNCTION("""COMPUTED_VALUE"""),"")</f>
        <v/>
      </c>
      <c r="CZ4" s="17" t="str">
        <f>IFERROR(__xludf.DUMMYFUNCTION("""COMPUTED_VALUE"""),"")</f>
        <v/>
      </c>
      <c r="DA4" s="17" t="str">
        <f>IFERROR(__xludf.DUMMYFUNCTION("""COMPUTED_VALUE"""),"")</f>
        <v/>
      </c>
      <c r="DB4" s="17" t="str">
        <f>IFERROR(__xludf.DUMMYFUNCTION("""COMPUTED_VALUE"""),"")</f>
        <v/>
      </c>
      <c r="DC4" s="17" t="str">
        <f>IFERROR(__xludf.DUMMYFUNCTION("""COMPUTED_VALUE"""),"")</f>
        <v/>
      </c>
      <c r="DD4" s="17" t="str">
        <f>IFERROR(__xludf.DUMMYFUNCTION("""COMPUTED_VALUE"""),"")</f>
        <v/>
      </c>
      <c r="DE4" s="17" t="str">
        <f>IFERROR(__xludf.DUMMYFUNCTION("""COMPUTED_VALUE"""),"")</f>
        <v/>
      </c>
      <c r="DF4" s="17" t="str">
        <f>IFERROR(__xludf.DUMMYFUNCTION("""COMPUTED_VALUE"""),"")</f>
        <v/>
      </c>
      <c r="DG4" s="17" t="str">
        <f>IFERROR(__xludf.DUMMYFUNCTION("""COMPUTED_VALUE"""),"")</f>
        <v/>
      </c>
      <c r="DH4" s="17" t="str">
        <f>IFERROR(__xludf.DUMMYFUNCTION("""COMPUTED_VALUE"""),"")</f>
        <v/>
      </c>
      <c r="DI4" s="17" t="str">
        <f>IFERROR(__xludf.DUMMYFUNCTION("""COMPUTED_VALUE"""),"")</f>
        <v/>
      </c>
      <c r="DJ4" s="17" t="str">
        <f>IFERROR(__xludf.DUMMYFUNCTION("""COMPUTED_VALUE"""),"")</f>
        <v/>
      </c>
      <c r="DK4" s="17" t="str">
        <f>IFERROR(__xludf.DUMMYFUNCTION("""COMPUTED_VALUE"""),"")</f>
        <v/>
      </c>
      <c r="DL4" s="17" t="str">
        <f>IFERROR(__xludf.DUMMYFUNCTION("""COMPUTED_VALUE"""),"")</f>
        <v/>
      </c>
      <c r="DM4" s="17" t="str">
        <f>IFERROR(__xludf.DUMMYFUNCTION("""COMPUTED_VALUE"""),"")</f>
        <v/>
      </c>
      <c r="DN4" s="17" t="str">
        <f>IFERROR(__xludf.DUMMYFUNCTION("""COMPUTED_VALUE"""),"")</f>
        <v/>
      </c>
      <c r="DO4" s="17" t="str">
        <f>IFERROR(__xludf.DUMMYFUNCTION("""COMPUTED_VALUE"""),"")</f>
        <v/>
      </c>
      <c r="DP4" s="17" t="str">
        <f>IFERROR(__xludf.DUMMYFUNCTION("""COMPUTED_VALUE"""),"")</f>
        <v/>
      </c>
      <c r="DQ4" s="17" t="str">
        <f>IFERROR(__xludf.DUMMYFUNCTION("""COMPUTED_VALUE"""),"")</f>
        <v/>
      </c>
      <c r="DR4" s="17" t="str">
        <f>IFERROR(__xludf.DUMMYFUNCTION("""COMPUTED_VALUE"""),"")</f>
        <v/>
      </c>
      <c r="DS4" s="17" t="str">
        <f>IFERROR(__xludf.DUMMYFUNCTION("""COMPUTED_VALUE"""),"")</f>
        <v/>
      </c>
      <c r="DT4" s="17" t="str">
        <f>IFERROR(__xludf.DUMMYFUNCTION("""COMPUTED_VALUE"""),"")</f>
        <v/>
      </c>
      <c r="DU4" s="17" t="str">
        <f>IFERROR(__xludf.DUMMYFUNCTION("""COMPUTED_VALUE"""),"")</f>
        <v/>
      </c>
      <c r="DV4" s="17" t="str">
        <f>IFERROR(__xludf.DUMMYFUNCTION("""COMPUTED_VALUE"""),"")</f>
        <v/>
      </c>
      <c r="DW4" s="17" t="str">
        <f>IFERROR(__xludf.DUMMYFUNCTION("""COMPUTED_VALUE"""),"")</f>
        <v/>
      </c>
      <c r="DX4" s="17" t="str">
        <f>IFERROR(__xludf.DUMMYFUNCTION("""COMPUTED_VALUE"""),"")</f>
        <v/>
      </c>
      <c r="DY4" s="17" t="str">
        <f>IFERROR(__xludf.DUMMYFUNCTION("""COMPUTED_VALUE"""),"")</f>
        <v/>
      </c>
      <c r="DZ4" s="17" t="str">
        <f>IFERROR(__xludf.DUMMYFUNCTION("""COMPUTED_VALUE"""),"")</f>
        <v/>
      </c>
      <c r="EA4" s="17" t="str">
        <f>IFERROR(__xludf.DUMMYFUNCTION("""COMPUTED_VALUE"""),"")</f>
        <v/>
      </c>
      <c r="EB4" s="17" t="str">
        <f>IFERROR(__xludf.DUMMYFUNCTION("""COMPUTED_VALUE"""),"")</f>
        <v/>
      </c>
      <c r="EC4" s="17" t="str">
        <f>IFERROR(__xludf.DUMMYFUNCTION("""COMPUTED_VALUE"""),"")</f>
        <v/>
      </c>
      <c r="ED4" s="17" t="str">
        <f>IFERROR(__xludf.DUMMYFUNCTION("""COMPUTED_VALUE"""),"")</f>
        <v/>
      </c>
      <c r="EE4" s="17" t="str">
        <f>IFERROR(__xludf.DUMMYFUNCTION("""COMPUTED_VALUE"""),"")</f>
        <v/>
      </c>
      <c r="EF4" s="17" t="str">
        <f>IFERROR(__xludf.DUMMYFUNCTION("""COMPUTED_VALUE"""),"")</f>
        <v/>
      </c>
      <c r="EG4" s="17" t="str">
        <f>IFERROR(__xludf.DUMMYFUNCTION("""COMPUTED_VALUE"""),"")</f>
        <v/>
      </c>
      <c r="EH4" s="17" t="str">
        <f>IFERROR(__xludf.DUMMYFUNCTION("""COMPUTED_VALUE"""),"")</f>
        <v/>
      </c>
      <c r="EI4" s="17" t="str">
        <f>IFERROR(__xludf.DUMMYFUNCTION("""COMPUTED_VALUE"""),"")</f>
        <v/>
      </c>
      <c r="EJ4" s="17" t="str">
        <f>IFERROR(__xludf.DUMMYFUNCTION("""COMPUTED_VALUE"""),"")</f>
        <v/>
      </c>
      <c r="EK4" s="17" t="str">
        <f>IFERROR(__xludf.DUMMYFUNCTION("""COMPUTED_VALUE"""),"")</f>
        <v/>
      </c>
      <c r="EL4" s="17" t="str">
        <f>IFERROR(__xludf.DUMMYFUNCTION("""COMPUTED_VALUE"""),"")</f>
        <v/>
      </c>
      <c r="EM4" s="17" t="str">
        <f>IFERROR(__xludf.DUMMYFUNCTION("""COMPUTED_VALUE"""),"")</f>
        <v/>
      </c>
      <c r="EN4" s="17" t="str">
        <f>IFERROR(__xludf.DUMMYFUNCTION("""COMPUTED_VALUE"""),"")</f>
        <v/>
      </c>
      <c r="EO4" s="17" t="str">
        <f>IFERROR(__xludf.DUMMYFUNCTION("""COMPUTED_VALUE"""),"")</f>
        <v/>
      </c>
      <c r="EP4" s="17" t="str">
        <f>IFERROR(__xludf.DUMMYFUNCTION("""COMPUTED_VALUE"""),"")</f>
        <v/>
      </c>
      <c r="EQ4" s="17" t="str">
        <f>IFERROR(__xludf.DUMMYFUNCTION("""COMPUTED_VALUE"""),"")</f>
        <v/>
      </c>
      <c r="ER4" s="17" t="str">
        <f>IFERROR(__xludf.DUMMYFUNCTION("""COMPUTED_VALUE"""),"")</f>
        <v/>
      </c>
      <c r="ES4" s="17" t="str">
        <f>IFERROR(__xludf.DUMMYFUNCTION("""COMPUTED_VALUE"""),"")</f>
        <v/>
      </c>
      <c r="ET4" s="17" t="str">
        <f>IFERROR(__xludf.DUMMYFUNCTION("""COMPUTED_VALUE"""),"")</f>
        <v/>
      </c>
      <c r="EU4" s="17" t="str">
        <f>IFERROR(__xludf.DUMMYFUNCTION("""COMPUTED_VALUE"""),"")</f>
        <v/>
      </c>
      <c r="EV4" s="17" t="str">
        <f>IFERROR(__xludf.DUMMYFUNCTION("""COMPUTED_VALUE"""),"")</f>
        <v/>
      </c>
      <c r="EW4" s="17" t="str">
        <f>IFERROR(__xludf.DUMMYFUNCTION("""COMPUTED_VALUE"""),"")</f>
        <v/>
      </c>
      <c r="EX4" s="17" t="str">
        <f>IFERROR(__xludf.DUMMYFUNCTION("""COMPUTED_VALUE"""),"")</f>
        <v/>
      </c>
    </row>
    <row r="5" ht="15.75" customHeight="1">
      <c r="A5" s="18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IFERROR(__xludf.DUMMYFUNCTION("""COMPUTED_VALUE"""),"Rounding Type")</f>
        <v>Rounding Type</v>
      </c>
      <c r="C5" s="20" t="str">
        <f>IFERROR(__xludf.DUMMYFUNCTION("""COMPUTED_VALUE"""),"")</f>
        <v/>
      </c>
      <c r="D5" s="20" t="str">
        <f>IFERROR(__xludf.DUMMYFUNCTION("""COMPUTED_VALUE"""),"")</f>
        <v/>
      </c>
      <c r="E5" s="20" t="str">
        <f>IFERROR(__xludf.DUMMYFUNCTION("""COMPUTED_VALUE"""),"")</f>
        <v/>
      </c>
      <c r="F5" s="21" t="str">
        <f>IFERROR(__xludf.DUMMYFUNCTION("""COMPUTED_VALUE"""),"")</f>
        <v/>
      </c>
      <c r="G5" s="20" t="str">
        <f>IFERROR(__xludf.DUMMYFUNCTION("""COMPUTED_VALUE"""),"")</f>
        <v/>
      </c>
      <c r="H5" s="20" t="str">
        <f>IFERROR(__xludf.DUMMYFUNCTION("""COMPUTED_VALUE"""),"")</f>
        <v/>
      </c>
      <c r="I5" s="20" t="str">
        <f>IFERROR(__xludf.DUMMYFUNCTION("""COMPUTED_VALUE"""),"")</f>
        <v/>
      </c>
      <c r="J5" s="20" t="str">
        <f>IFERROR(__xludf.DUMMYFUNCTION("""COMPUTED_VALUE"""),"")</f>
        <v/>
      </c>
      <c r="K5" s="20" t="str">
        <f>IFERROR(__xludf.DUMMYFUNCTION("""COMPUTED_VALUE"""),"")</f>
        <v/>
      </c>
      <c r="L5" s="20" t="str">
        <f>IFERROR(__xludf.DUMMYFUNCTION("""COMPUTED_VALUE"""),"")</f>
        <v/>
      </c>
      <c r="M5" s="20" t="str">
        <f>IFERROR(__xludf.DUMMYFUNCTION("""COMPUTED_VALUE"""),"")</f>
        <v/>
      </c>
      <c r="N5" s="20" t="str">
        <f>IFERROR(__xludf.DUMMYFUNCTION("""COMPUTED_VALUE"""),"")</f>
        <v/>
      </c>
      <c r="O5" s="20" t="str">
        <f>IFERROR(__xludf.DUMMYFUNCTION("""COMPUTED_VALUE"""),"")</f>
        <v/>
      </c>
      <c r="P5" s="20" t="str">
        <f>IFERROR(__xludf.DUMMYFUNCTION("""COMPUTED_VALUE"""),"")</f>
        <v/>
      </c>
      <c r="Q5" s="20" t="str">
        <f>IFERROR(__xludf.DUMMYFUNCTION("""COMPUTED_VALUE"""),"")</f>
        <v/>
      </c>
      <c r="R5" s="20" t="str">
        <f>IFERROR(__xludf.DUMMYFUNCTION("""COMPUTED_VALUE"""),"")</f>
        <v/>
      </c>
      <c r="S5" s="20" t="str">
        <f>IFERROR(__xludf.DUMMYFUNCTION("""COMPUTED_VALUE"""),"")</f>
        <v/>
      </c>
      <c r="T5" s="22" t="str">
        <f>IFERROR(__xludf.DUMMYFUNCTION("""COMPUTED_VALUE"""),"")</f>
        <v/>
      </c>
      <c r="U5" s="22" t="str">
        <f>IFERROR(__xludf.DUMMYFUNCTION("""COMPUTED_VALUE"""),"")</f>
        <v/>
      </c>
      <c r="V5" s="22" t="str">
        <f>IFERROR(__xludf.DUMMYFUNCTION("""COMPUTED_VALUE"""),"")</f>
        <v/>
      </c>
      <c r="W5" s="22" t="str">
        <f>IFERROR(__xludf.DUMMYFUNCTION("""COMPUTED_VALUE"""),"")</f>
        <v/>
      </c>
      <c r="X5" s="22" t="str">
        <f>IFERROR(__xludf.DUMMYFUNCTION("""COMPUTED_VALUE"""),"")</f>
        <v/>
      </c>
      <c r="Y5" s="22" t="str">
        <f>IFERROR(__xludf.DUMMYFUNCTION("""COMPUTED_VALUE"""),"")</f>
        <v/>
      </c>
      <c r="Z5" s="22" t="str">
        <f>IFERROR(__xludf.DUMMYFUNCTION("""COMPUTED_VALUE"""),"")</f>
        <v/>
      </c>
      <c r="AA5" s="22" t="str">
        <f>IFERROR(__xludf.DUMMYFUNCTION("""COMPUTED_VALUE"""),"")</f>
        <v/>
      </c>
      <c r="AB5" s="22" t="str">
        <f>IFERROR(__xludf.DUMMYFUNCTION("""COMPUTED_VALUE"""),"")</f>
        <v/>
      </c>
      <c r="AC5" s="22" t="str">
        <f>IFERROR(__xludf.DUMMYFUNCTION("""COMPUTED_VALUE"""),"")</f>
        <v/>
      </c>
      <c r="AD5" s="22" t="str">
        <f>IFERROR(__xludf.DUMMYFUNCTION("""COMPUTED_VALUE"""),"")</f>
        <v/>
      </c>
      <c r="AE5" s="22" t="str">
        <f>IFERROR(__xludf.DUMMYFUNCTION("""COMPUTED_VALUE"""),"")</f>
        <v/>
      </c>
      <c r="AF5" s="22" t="str">
        <f>IFERROR(__xludf.DUMMYFUNCTION("""COMPUTED_VALUE"""),"")</f>
        <v/>
      </c>
      <c r="AG5" s="22" t="str">
        <f>IFERROR(__xludf.DUMMYFUNCTION("""COMPUTED_VALUE"""),"")</f>
        <v/>
      </c>
      <c r="AH5" s="22" t="str">
        <f>IFERROR(__xludf.DUMMYFUNCTION("""COMPUTED_VALUE"""),"")</f>
        <v/>
      </c>
      <c r="AI5" s="22" t="str">
        <f>IFERROR(__xludf.DUMMYFUNCTION("""COMPUTED_VALUE"""),"")</f>
        <v/>
      </c>
      <c r="AJ5" s="22" t="str">
        <f>IFERROR(__xludf.DUMMYFUNCTION("""COMPUTED_VALUE"""),"")</f>
        <v/>
      </c>
      <c r="AK5" s="22" t="str">
        <f>IFERROR(__xludf.DUMMYFUNCTION("""COMPUTED_VALUE"""),"")</f>
        <v/>
      </c>
      <c r="AL5" s="22" t="str">
        <f>IFERROR(__xludf.DUMMYFUNCTION("""COMPUTED_VALUE"""),"")</f>
        <v/>
      </c>
      <c r="AM5" s="22" t="str">
        <f>IFERROR(__xludf.DUMMYFUNCTION("""COMPUTED_VALUE"""),"")</f>
        <v/>
      </c>
      <c r="AN5" s="22" t="str">
        <f>IFERROR(__xludf.DUMMYFUNCTION("""COMPUTED_VALUE"""),"")</f>
        <v/>
      </c>
      <c r="AO5" s="22" t="str">
        <f>IFERROR(__xludf.DUMMYFUNCTION("""COMPUTED_VALUE"""),"")</f>
        <v/>
      </c>
      <c r="AP5" s="22" t="str">
        <f>IFERROR(__xludf.DUMMYFUNCTION("""COMPUTED_VALUE"""),"")</f>
        <v/>
      </c>
      <c r="AQ5" s="22" t="str">
        <f>IFERROR(__xludf.DUMMYFUNCTION("""COMPUTED_VALUE"""),"")</f>
        <v/>
      </c>
      <c r="AR5" s="22" t="str">
        <f>IFERROR(__xludf.DUMMYFUNCTION("""COMPUTED_VALUE"""),"")</f>
        <v/>
      </c>
      <c r="AS5" s="22" t="str">
        <f>IFERROR(__xludf.DUMMYFUNCTION("""COMPUTED_VALUE"""),"")</f>
        <v/>
      </c>
      <c r="AT5" s="22" t="str">
        <f>IFERROR(__xludf.DUMMYFUNCTION("""COMPUTED_VALUE"""),"")</f>
        <v/>
      </c>
      <c r="AU5" s="22" t="str">
        <f>IFERROR(__xludf.DUMMYFUNCTION("""COMPUTED_VALUE"""),"")</f>
        <v/>
      </c>
      <c r="AV5" s="22" t="str">
        <f>IFERROR(__xludf.DUMMYFUNCTION("""COMPUTED_VALUE"""),"")</f>
        <v/>
      </c>
      <c r="AW5" s="22" t="str">
        <f>IFERROR(__xludf.DUMMYFUNCTION("""COMPUTED_VALUE"""),"")</f>
        <v/>
      </c>
      <c r="AX5" s="22" t="str">
        <f>IFERROR(__xludf.DUMMYFUNCTION("""COMPUTED_VALUE"""),"")</f>
        <v/>
      </c>
      <c r="AY5" s="22" t="str">
        <f>IFERROR(__xludf.DUMMYFUNCTION("""COMPUTED_VALUE"""),"")</f>
        <v/>
      </c>
      <c r="AZ5" s="22" t="str">
        <f>IFERROR(__xludf.DUMMYFUNCTION("""COMPUTED_VALUE"""),"")</f>
        <v/>
      </c>
      <c r="BA5" s="22" t="str">
        <f>IFERROR(__xludf.DUMMYFUNCTION("""COMPUTED_VALUE"""),"")</f>
        <v/>
      </c>
      <c r="BB5" s="22" t="str">
        <f>IFERROR(__xludf.DUMMYFUNCTION("""COMPUTED_VALUE"""),"")</f>
        <v/>
      </c>
      <c r="BC5" s="22" t="str">
        <f>IFERROR(__xludf.DUMMYFUNCTION("""COMPUTED_VALUE"""),"")</f>
        <v/>
      </c>
      <c r="BD5" s="22" t="str">
        <f>IFERROR(__xludf.DUMMYFUNCTION("""COMPUTED_VALUE"""),"")</f>
        <v/>
      </c>
      <c r="BE5" s="22" t="str">
        <f>IFERROR(__xludf.DUMMYFUNCTION("""COMPUTED_VALUE"""),"")</f>
        <v/>
      </c>
      <c r="BF5" s="22" t="str">
        <f>IFERROR(__xludf.DUMMYFUNCTION("""COMPUTED_VALUE"""),"")</f>
        <v/>
      </c>
      <c r="BG5" s="22" t="str">
        <f>IFERROR(__xludf.DUMMYFUNCTION("""COMPUTED_VALUE"""),"")</f>
        <v/>
      </c>
      <c r="BH5" s="22" t="str">
        <f>IFERROR(__xludf.DUMMYFUNCTION("""COMPUTED_VALUE"""),"")</f>
        <v/>
      </c>
      <c r="BI5" s="22" t="str">
        <f>IFERROR(__xludf.DUMMYFUNCTION("""COMPUTED_VALUE"""),"")</f>
        <v/>
      </c>
      <c r="BJ5" s="22" t="str">
        <f>IFERROR(__xludf.DUMMYFUNCTION("""COMPUTED_VALUE"""),"")</f>
        <v/>
      </c>
      <c r="BK5" s="22" t="str">
        <f>IFERROR(__xludf.DUMMYFUNCTION("""COMPUTED_VALUE"""),"")</f>
        <v/>
      </c>
      <c r="BL5" s="22" t="str">
        <f>IFERROR(__xludf.DUMMYFUNCTION("""COMPUTED_VALUE"""),"")</f>
        <v/>
      </c>
      <c r="BM5" s="22" t="str">
        <f>IFERROR(__xludf.DUMMYFUNCTION("""COMPUTED_VALUE"""),"")</f>
        <v/>
      </c>
      <c r="BN5" s="22" t="str">
        <f>IFERROR(__xludf.DUMMYFUNCTION("""COMPUTED_VALUE"""),"")</f>
        <v/>
      </c>
      <c r="BO5" s="22" t="str">
        <f>IFERROR(__xludf.DUMMYFUNCTION("""COMPUTED_VALUE"""),"")</f>
        <v/>
      </c>
      <c r="BP5" s="22" t="str">
        <f>IFERROR(__xludf.DUMMYFUNCTION("""COMPUTED_VALUE"""),"")</f>
        <v/>
      </c>
      <c r="BQ5" s="22" t="str">
        <f>IFERROR(__xludf.DUMMYFUNCTION("""COMPUTED_VALUE"""),"")</f>
        <v/>
      </c>
      <c r="BR5" s="22" t="str">
        <f>IFERROR(__xludf.DUMMYFUNCTION("""COMPUTED_VALUE"""),"")</f>
        <v/>
      </c>
      <c r="BS5" s="22" t="str">
        <f>IFERROR(__xludf.DUMMYFUNCTION("""COMPUTED_VALUE"""),"")</f>
        <v/>
      </c>
      <c r="BT5" s="22" t="str">
        <f>IFERROR(__xludf.DUMMYFUNCTION("""COMPUTED_VALUE"""),"")</f>
        <v/>
      </c>
      <c r="BU5" s="22" t="str">
        <f>IFERROR(__xludf.DUMMYFUNCTION("""COMPUTED_VALUE"""),"")</f>
        <v/>
      </c>
      <c r="BV5" s="22" t="str">
        <f>IFERROR(__xludf.DUMMYFUNCTION("""COMPUTED_VALUE"""),"")</f>
        <v/>
      </c>
      <c r="BW5" s="22" t="str">
        <f>IFERROR(__xludf.DUMMYFUNCTION("""COMPUTED_VALUE"""),"")</f>
        <v/>
      </c>
      <c r="BX5" s="22" t="str">
        <f>IFERROR(__xludf.DUMMYFUNCTION("""COMPUTED_VALUE"""),"")</f>
        <v/>
      </c>
      <c r="BY5" s="22" t="str">
        <f>IFERROR(__xludf.DUMMYFUNCTION("""COMPUTED_VALUE"""),"")</f>
        <v/>
      </c>
      <c r="BZ5" s="22" t="str">
        <f>IFERROR(__xludf.DUMMYFUNCTION("""COMPUTED_VALUE"""),"")</f>
        <v/>
      </c>
      <c r="CA5" s="22" t="str">
        <f>IFERROR(__xludf.DUMMYFUNCTION("""COMPUTED_VALUE"""),"")</f>
        <v/>
      </c>
      <c r="CB5" s="22" t="str">
        <f>IFERROR(__xludf.DUMMYFUNCTION("""COMPUTED_VALUE"""),"")</f>
        <v/>
      </c>
      <c r="CC5" s="22" t="str">
        <f>IFERROR(__xludf.DUMMYFUNCTION("""COMPUTED_VALUE"""),"")</f>
        <v/>
      </c>
      <c r="CD5" s="22" t="str">
        <f>IFERROR(__xludf.DUMMYFUNCTION("""COMPUTED_VALUE"""),"")</f>
        <v/>
      </c>
      <c r="CE5" s="22" t="str">
        <f>IFERROR(__xludf.DUMMYFUNCTION("""COMPUTED_VALUE"""),"")</f>
        <v/>
      </c>
      <c r="CF5" s="22" t="str">
        <f>IFERROR(__xludf.DUMMYFUNCTION("""COMPUTED_VALUE"""),"")</f>
        <v/>
      </c>
      <c r="CG5" s="22" t="str">
        <f>IFERROR(__xludf.DUMMYFUNCTION("""COMPUTED_VALUE"""),"")</f>
        <v/>
      </c>
      <c r="CH5" s="22" t="str">
        <f>IFERROR(__xludf.DUMMYFUNCTION("""COMPUTED_VALUE"""),"")</f>
        <v/>
      </c>
      <c r="CI5" s="22" t="str">
        <f>IFERROR(__xludf.DUMMYFUNCTION("""COMPUTED_VALUE"""),"")</f>
        <v/>
      </c>
      <c r="CJ5" s="22" t="str">
        <f>IFERROR(__xludf.DUMMYFUNCTION("""COMPUTED_VALUE"""),"")</f>
        <v/>
      </c>
      <c r="CK5" s="22" t="str">
        <f>IFERROR(__xludf.DUMMYFUNCTION("""COMPUTED_VALUE"""),"")</f>
        <v/>
      </c>
      <c r="CL5" s="22" t="str">
        <f>IFERROR(__xludf.DUMMYFUNCTION("""COMPUTED_VALUE"""),"")</f>
        <v/>
      </c>
      <c r="CM5" s="22" t="str">
        <f>IFERROR(__xludf.DUMMYFUNCTION("""COMPUTED_VALUE"""),"")</f>
        <v/>
      </c>
      <c r="CN5" s="22" t="str">
        <f>IFERROR(__xludf.DUMMYFUNCTION("""COMPUTED_VALUE"""),"")</f>
        <v/>
      </c>
      <c r="CO5" s="22" t="str">
        <f>IFERROR(__xludf.DUMMYFUNCTION("""COMPUTED_VALUE"""),"")</f>
        <v/>
      </c>
      <c r="CP5" s="22" t="str">
        <f>IFERROR(__xludf.DUMMYFUNCTION("""COMPUTED_VALUE"""),"")</f>
        <v/>
      </c>
      <c r="CQ5" s="22" t="str">
        <f>IFERROR(__xludf.DUMMYFUNCTION("""COMPUTED_VALUE"""),"")</f>
        <v/>
      </c>
      <c r="CR5" s="22" t="str">
        <f>IFERROR(__xludf.DUMMYFUNCTION("""COMPUTED_VALUE"""),"")</f>
        <v/>
      </c>
      <c r="CS5" s="22" t="str">
        <f>IFERROR(__xludf.DUMMYFUNCTION("""COMPUTED_VALUE"""),"")</f>
        <v/>
      </c>
      <c r="CT5" s="22" t="str">
        <f>IFERROR(__xludf.DUMMYFUNCTION("""COMPUTED_VALUE"""),"")</f>
        <v/>
      </c>
      <c r="CU5" s="22" t="str">
        <f>IFERROR(__xludf.DUMMYFUNCTION("""COMPUTED_VALUE"""),"")</f>
        <v/>
      </c>
      <c r="CV5" s="22" t="str">
        <f>IFERROR(__xludf.DUMMYFUNCTION("""COMPUTED_VALUE"""),"")</f>
        <v/>
      </c>
      <c r="CW5" s="22" t="str">
        <f>IFERROR(__xludf.DUMMYFUNCTION("""COMPUTED_VALUE"""),"")</f>
        <v/>
      </c>
      <c r="CX5" s="22" t="str">
        <f>IFERROR(__xludf.DUMMYFUNCTION("""COMPUTED_VALUE"""),"")</f>
        <v/>
      </c>
      <c r="CY5" s="22" t="str">
        <f>IFERROR(__xludf.DUMMYFUNCTION("""COMPUTED_VALUE"""),"")</f>
        <v/>
      </c>
      <c r="CZ5" s="22" t="str">
        <f>IFERROR(__xludf.DUMMYFUNCTION("""COMPUTED_VALUE"""),"")</f>
        <v/>
      </c>
      <c r="DA5" s="22" t="str">
        <f>IFERROR(__xludf.DUMMYFUNCTION("""COMPUTED_VALUE"""),"")</f>
        <v/>
      </c>
      <c r="DB5" s="22" t="str">
        <f>IFERROR(__xludf.DUMMYFUNCTION("""COMPUTED_VALUE"""),"")</f>
        <v/>
      </c>
      <c r="DC5" s="22" t="str">
        <f>IFERROR(__xludf.DUMMYFUNCTION("""COMPUTED_VALUE"""),"")</f>
        <v/>
      </c>
      <c r="DD5" s="22" t="str">
        <f>IFERROR(__xludf.DUMMYFUNCTION("""COMPUTED_VALUE"""),"")</f>
        <v/>
      </c>
      <c r="DE5" s="22" t="str">
        <f>IFERROR(__xludf.DUMMYFUNCTION("""COMPUTED_VALUE"""),"")</f>
        <v/>
      </c>
      <c r="DF5" s="22" t="str">
        <f>IFERROR(__xludf.DUMMYFUNCTION("""COMPUTED_VALUE"""),"")</f>
        <v/>
      </c>
      <c r="DG5" s="22" t="str">
        <f>IFERROR(__xludf.DUMMYFUNCTION("""COMPUTED_VALUE"""),"")</f>
        <v/>
      </c>
      <c r="DH5" s="22" t="str">
        <f>IFERROR(__xludf.DUMMYFUNCTION("""COMPUTED_VALUE"""),"")</f>
        <v/>
      </c>
      <c r="DI5" s="22" t="str">
        <f>IFERROR(__xludf.DUMMYFUNCTION("""COMPUTED_VALUE"""),"")</f>
        <v/>
      </c>
      <c r="DJ5" s="22" t="str">
        <f>IFERROR(__xludf.DUMMYFUNCTION("""COMPUTED_VALUE"""),"")</f>
        <v/>
      </c>
      <c r="DK5" s="22" t="str">
        <f>IFERROR(__xludf.DUMMYFUNCTION("""COMPUTED_VALUE"""),"")</f>
        <v/>
      </c>
      <c r="DL5" s="22" t="str">
        <f>IFERROR(__xludf.DUMMYFUNCTION("""COMPUTED_VALUE"""),"")</f>
        <v/>
      </c>
      <c r="DM5" s="22" t="str">
        <f>IFERROR(__xludf.DUMMYFUNCTION("""COMPUTED_VALUE"""),"")</f>
        <v/>
      </c>
      <c r="DN5" s="22" t="str">
        <f>IFERROR(__xludf.DUMMYFUNCTION("""COMPUTED_VALUE"""),"")</f>
        <v/>
      </c>
      <c r="DO5" s="22" t="str">
        <f>IFERROR(__xludf.DUMMYFUNCTION("""COMPUTED_VALUE"""),"")</f>
        <v/>
      </c>
      <c r="DP5" s="22" t="str">
        <f>IFERROR(__xludf.DUMMYFUNCTION("""COMPUTED_VALUE"""),"")</f>
        <v/>
      </c>
      <c r="DQ5" s="22" t="str">
        <f>IFERROR(__xludf.DUMMYFUNCTION("""COMPUTED_VALUE"""),"")</f>
        <v/>
      </c>
      <c r="DR5" s="22" t="str">
        <f>IFERROR(__xludf.DUMMYFUNCTION("""COMPUTED_VALUE"""),"")</f>
        <v/>
      </c>
      <c r="DS5" s="22" t="str">
        <f>IFERROR(__xludf.DUMMYFUNCTION("""COMPUTED_VALUE"""),"")</f>
        <v/>
      </c>
      <c r="DT5" s="22" t="str">
        <f>IFERROR(__xludf.DUMMYFUNCTION("""COMPUTED_VALUE"""),"")</f>
        <v/>
      </c>
      <c r="DU5" s="22" t="str">
        <f>IFERROR(__xludf.DUMMYFUNCTION("""COMPUTED_VALUE"""),"")</f>
        <v/>
      </c>
      <c r="DV5" s="22" t="str">
        <f>IFERROR(__xludf.DUMMYFUNCTION("""COMPUTED_VALUE"""),"")</f>
        <v/>
      </c>
      <c r="DW5" s="22" t="str">
        <f>IFERROR(__xludf.DUMMYFUNCTION("""COMPUTED_VALUE"""),"")</f>
        <v/>
      </c>
      <c r="DX5" s="22" t="str">
        <f>IFERROR(__xludf.DUMMYFUNCTION("""COMPUTED_VALUE"""),"")</f>
        <v/>
      </c>
      <c r="DY5" s="22" t="str">
        <f>IFERROR(__xludf.DUMMYFUNCTION("""COMPUTED_VALUE"""),"")</f>
        <v/>
      </c>
      <c r="DZ5" s="22" t="str">
        <f>IFERROR(__xludf.DUMMYFUNCTION("""COMPUTED_VALUE"""),"")</f>
        <v/>
      </c>
      <c r="EA5" s="22" t="str">
        <f>IFERROR(__xludf.DUMMYFUNCTION("""COMPUTED_VALUE"""),"")</f>
        <v/>
      </c>
      <c r="EB5" s="22" t="str">
        <f>IFERROR(__xludf.DUMMYFUNCTION("""COMPUTED_VALUE"""),"")</f>
        <v/>
      </c>
      <c r="EC5" s="22" t="str">
        <f>IFERROR(__xludf.DUMMYFUNCTION("""COMPUTED_VALUE"""),"")</f>
        <v/>
      </c>
      <c r="ED5" s="22" t="str">
        <f>IFERROR(__xludf.DUMMYFUNCTION("""COMPUTED_VALUE"""),"")</f>
        <v/>
      </c>
      <c r="EE5" s="22" t="str">
        <f>IFERROR(__xludf.DUMMYFUNCTION("""COMPUTED_VALUE"""),"")</f>
        <v/>
      </c>
      <c r="EF5" s="22" t="str">
        <f>IFERROR(__xludf.DUMMYFUNCTION("""COMPUTED_VALUE"""),"")</f>
        <v/>
      </c>
      <c r="EG5" s="22" t="str">
        <f>IFERROR(__xludf.DUMMYFUNCTION("""COMPUTED_VALUE"""),"")</f>
        <v/>
      </c>
      <c r="EH5" s="22" t="str">
        <f>IFERROR(__xludf.DUMMYFUNCTION("""COMPUTED_VALUE"""),"")</f>
        <v/>
      </c>
      <c r="EI5" s="22" t="str">
        <f>IFERROR(__xludf.DUMMYFUNCTION("""COMPUTED_VALUE"""),"")</f>
        <v/>
      </c>
      <c r="EJ5" s="22" t="str">
        <f>IFERROR(__xludf.DUMMYFUNCTION("""COMPUTED_VALUE"""),"")</f>
        <v/>
      </c>
      <c r="EK5" s="22" t="str">
        <f>IFERROR(__xludf.DUMMYFUNCTION("""COMPUTED_VALUE"""),"")</f>
        <v/>
      </c>
      <c r="EL5" s="22" t="str">
        <f>IFERROR(__xludf.DUMMYFUNCTION("""COMPUTED_VALUE"""),"")</f>
        <v/>
      </c>
      <c r="EM5" s="22" t="str">
        <f>IFERROR(__xludf.DUMMYFUNCTION("""COMPUTED_VALUE"""),"")</f>
        <v/>
      </c>
      <c r="EN5" s="22" t="str">
        <f>IFERROR(__xludf.DUMMYFUNCTION("""COMPUTED_VALUE"""),"")</f>
        <v/>
      </c>
      <c r="EO5" s="22" t="str">
        <f>IFERROR(__xludf.DUMMYFUNCTION("""COMPUTED_VALUE"""),"")</f>
        <v/>
      </c>
      <c r="EP5" s="22" t="str">
        <f>IFERROR(__xludf.DUMMYFUNCTION("""COMPUTED_VALUE"""),"")</f>
        <v/>
      </c>
      <c r="EQ5" s="22" t="str">
        <f>IFERROR(__xludf.DUMMYFUNCTION("""COMPUTED_VALUE"""),"")</f>
        <v/>
      </c>
      <c r="ER5" s="22" t="str">
        <f>IFERROR(__xludf.DUMMYFUNCTION("""COMPUTED_VALUE"""),"")</f>
        <v/>
      </c>
      <c r="ES5" s="22" t="str">
        <f>IFERROR(__xludf.DUMMYFUNCTION("""COMPUTED_VALUE"""),"")</f>
        <v/>
      </c>
      <c r="ET5" s="22" t="str">
        <f>IFERROR(__xludf.DUMMYFUNCTION("""COMPUTED_VALUE"""),"")</f>
        <v/>
      </c>
      <c r="EU5" s="22" t="str">
        <f>IFERROR(__xludf.DUMMYFUNCTION("""COMPUTED_VALUE"""),"")</f>
        <v/>
      </c>
      <c r="EV5" s="22" t="str">
        <f>IFERROR(__xludf.DUMMYFUNCTION("""COMPUTED_VALUE"""),"")</f>
        <v/>
      </c>
      <c r="EW5" s="22" t="str">
        <f>IFERROR(__xludf.DUMMYFUNCTION("""COMPUTED_VALUE"""),"")</f>
        <v/>
      </c>
      <c r="EX5" s="22" t="str">
        <f>IFERROR(__xludf.DUMMYFUNCTION("""COMPUTED_VALUE"""),"")</f>
        <v/>
      </c>
    </row>
    <row r="6" ht="15.75" customHeight="1">
      <c r="A6" s="6"/>
      <c r="B6" s="6" t="s">
        <v>34</v>
      </c>
      <c r="C6" s="4"/>
      <c r="D6" s="6"/>
      <c r="E6" s="25"/>
      <c r="F6" s="4"/>
      <c r="G6" s="4"/>
      <c r="H6" s="4"/>
      <c r="I6" s="4"/>
      <c r="J6" s="4"/>
      <c r="K6" s="4"/>
      <c r="L6" s="4"/>
      <c r="M6" s="4"/>
      <c r="N6" s="4"/>
      <c r="O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