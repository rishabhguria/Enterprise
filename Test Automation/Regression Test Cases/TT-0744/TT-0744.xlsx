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StageOrder" sheetId="5" r:id="rId7"/>
    <sheet state="visible" name="SelectTradeOnOrderGrid" sheetId="6" r:id="rId8"/>
    <sheet state="visible" name="TradeNewSubOrder" sheetId="7" r:id="rId9"/>
    <sheet state="visible" name="CreateNewSubOrder" sheetId="8" r:id="rId10"/>
    <sheet state="visible" name="VerifyOrder" sheetId="9" r:id="rId11"/>
    <sheet state="visible" name="ReplaceSubOrder" sheetId="10" r:id="rId12"/>
    <sheet state="visible" name="CreateReplaceOrder" sheetId="11" r:id="rId13"/>
    <sheet state="visible" name="VerifyOrder1" sheetId="12" r:id="rId14"/>
    <sheet state="visible" name="CreateDoneAwayOrder" sheetId="13" r:id="rId15"/>
    <sheet state="visible" name="GetDataAllocation" sheetId="14" r:id="rId16"/>
    <sheet state="visible" name="CheckAllocatedGroups" sheetId="15" r:id="rId17"/>
    <sheet state="visible" name="SetBrokerWisePreferencesTT" sheetId="16" r:id="rId18"/>
    <sheet state="visible" name="CreateStageOrder1" sheetId="17" r:id="rId19"/>
    <sheet state="visible" name="SelectTradeOnOrderGrid1" sheetId="18" r:id="rId20"/>
    <sheet state="visible" name="TradeNewSubOrder1" sheetId="19" r:id="rId21"/>
    <sheet state="visible" name="CreateNewSubOrder1" sheetId="20" r:id="rId22"/>
    <sheet state="visible" name="VerifyOrder2" sheetId="21" r:id="rId23"/>
    <sheet state="visible" name="ReplaceSubOrder1" sheetId="22" r:id="rId24"/>
    <sheet state="visible" name="CreateReplaceOrder1" sheetId="23" r:id="rId25"/>
    <sheet state="visible" name="VerifyOrder3" sheetId="24" r:id="rId26"/>
    <sheet state="visible" name="CreateDoneAwayOrder1" sheetId="25" r:id="rId27"/>
    <sheet state="visible" name="CheckAllocatedGroups1" sheetId="26" r:id="rId28"/>
  </sheets>
  <definedNames/>
  <calcPr/>
</workbook>
</file>

<file path=xl/sharedStrings.xml><?xml version="1.0" encoding="utf-8"?>
<sst xmlns="http://schemas.openxmlformats.org/spreadsheetml/2006/main" count="643" uniqueCount="63">
  <si>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</si>
  <si>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</si>
  <si>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</si>
  <si>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</si>
  <si>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</si>
  <si>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</si>
  <si>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</si>
  <si>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</si>
  <si>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</si>
  <si>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</si>
  <si>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</si>
  <si>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</si>
  <si>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</si>
  <si>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</si>
  <si>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</si>
  <si>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</si>
  <si>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</si>
  <si>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</si>
  <si>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CreateStageOrder</t>
  </si>
  <si>
    <t>AAPL</t>
  </si>
  <si>
    <t>Buy</t>
  </si>
  <si>
    <t>Blotter</t>
  </si>
  <si>
    <t>SelectTradeOnOrderGrid</t>
  </si>
  <si>
    <t>TradeNewSubOrder</t>
  </si>
  <si>
    <t>CreateNewSubOrder</t>
  </si>
  <si>
    <t>Yes</t>
  </si>
  <si>
    <t>VerifyOrder</t>
  </si>
  <si>
    <t>Filled</t>
  </si>
  <si>
    <t>Allocation1</t>
  </si>
  <si>
    <t>ReplaceSubOrder</t>
  </si>
  <si>
    <t>CreateReplaceOrder</t>
  </si>
  <si>
    <t>Replaced</t>
  </si>
  <si>
    <t>CreateDoneAwayOrder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</si>
  <si>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</si>
  <si>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</si>
  <si>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</si>
  <si>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</si>
  <si>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</si>
  <si>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</si>
  <si>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</si>
  <si>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</si>
  <si>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</si>
  <si>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</si>
  <si>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</si>
  <si>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</si>
  <si>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</si>
  <si>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</si>
  <si>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</si>
  <si>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</si>
  <si>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</si>
  <si>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</si>
  <si>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</si>
  <si>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</si>
  <si>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</si>
  <si>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Samsara</t>
  </si>
  <si>
    <t>NONE</t>
  </si>
  <si>
    <t>NewMF</t>
  </si>
  <si>
    <t>SetBrokerWisePreferencesTT</t>
  </si>
  <si>
    <t>Algo</t>
  </si>
  <si>
    <t>MSFT</t>
  </si>
  <si>
    <t>MSFT US EQUITY</t>
  </si>
  <si>
    <t>MICROSOFT INC</t>
  </si>
  <si>
    <t>US5949181045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</si>
</sst>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12">
        <v>100.0</v>
      </c>
      <c r="F6" s="8"/>
      <c r="G6" s="8"/>
      <c r="H6" s="8"/>
      <c r="I6" s="8"/>
      <c r="J6" s="12"/>
      <c r="K6" s="8"/>
      <c r="L6" s="8"/>
      <c r="M6" s="8"/>
      <c r="N6" s="8"/>
      <c r="O6" s="8"/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27</v>
      </c>
      <c r="AL6" s="9">
        <v>100.0</v>
      </c>
      <c r="AM6" s="9">
        <v>100.0</v>
      </c>
      <c r="AN6" s="9">
        <v>100.0</v>
      </c>
      <c r="AS6" s="9" t="s">
        <v>16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31</v>
      </c>
      <c r="AL6" s="9">
        <v>200.0</v>
      </c>
      <c r="AM6" s="9">
        <v>100.0</v>
      </c>
      <c r="AS6" s="9" t="s">
        <v>16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D6" s="12">
        <v>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31">
        <f>today()-1</f>
        <v>45942</v>
      </c>
      <c r="D6" s="32">
        <f>today()</f>
        <v>45943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37</v>
      </c>
      <c r="B6" s="33" t="s">
        <v>28</v>
      </c>
      <c r="C6" s="8" t="s">
        <v>38</v>
      </c>
      <c r="D6" s="33">
        <v>0.0</v>
      </c>
      <c r="E6" s="8">
        <v>100.0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0.0</v>
      </c>
      <c r="L6" s="8">
        <v>0.0</v>
      </c>
      <c r="M6" s="8" t="s">
        <v>41</v>
      </c>
      <c r="N6" s="8" t="s">
        <v>42</v>
      </c>
      <c r="O6" s="8" t="s">
        <v>16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>
        <v>0.0</v>
      </c>
      <c r="Y6" t="s">
        <v>37</v>
      </c>
      <c r="Z6" t="s">
        <v>45</v>
      </c>
      <c r="AA6" t="s">
        <v>19</v>
      </c>
      <c r="AB6">
        <v>1.0</v>
      </c>
      <c r="AD6" t="s">
        <v>46</v>
      </c>
      <c r="AE6">
        <v>100.0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14.0</v>
      </c>
      <c r="AU6">
        <v>14.0</v>
      </c>
      <c r="AW6">
        <v>0.0</v>
      </c>
      <c r="AX6">
        <v>0.0</v>
      </c>
      <c r="AY6" t="s">
        <v>49</v>
      </c>
      <c r="AZ6">
        <v>0.0</v>
      </c>
      <c r="BC6">
        <v>0.0</v>
      </c>
      <c r="BD6" t="s">
        <v>50</v>
      </c>
      <c r="BE6">
        <v>0.0</v>
      </c>
      <c r="BF6">
        <v>0.0</v>
      </c>
      <c r="BJ6">
        <v>200.0</v>
      </c>
      <c r="BK6">
        <v>0.0</v>
      </c>
      <c r="BL6" t="s">
        <v>37</v>
      </c>
      <c r="BM6" t="s">
        <v>45</v>
      </c>
      <c r="BO6" t="s">
        <v>20</v>
      </c>
      <c r="BP6">
        <v>0.0</v>
      </c>
      <c r="BQ6">
        <v>0.0</v>
      </c>
      <c r="BR6">
        <v>0.0</v>
      </c>
      <c r="BS6" t="s">
        <v>51</v>
      </c>
      <c r="BT6" t="s">
        <v>19</v>
      </c>
      <c r="BU6">
        <v>3.0</v>
      </c>
      <c r="BV6">
        <v>0.0</v>
      </c>
      <c r="BW6">
        <v>14.0</v>
      </c>
      <c r="BX6">
        <v>0.0</v>
      </c>
      <c r="CF6" t="s">
        <v>52</v>
      </c>
      <c r="CG6">
        <v>2.0</v>
      </c>
      <c r="CH6" t="s">
        <v>17</v>
      </c>
      <c r="CI6" t="s">
        <v>20</v>
      </c>
      <c r="CJ6">
        <v>0.0</v>
      </c>
      <c r="CK6" t="s">
        <v>53</v>
      </c>
      <c r="CL6">
        <v>1.0</v>
      </c>
      <c r="CM6" t="s">
        <v>19</v>
      </c>
      <c r="CN6" t="s">
        <v>54</v>
      </c>
      <c r="CO6" t="s">
        <v>46</v>
      </c>
      <c r="CP6" t="s">
        <v>55</v>
      </c>
      <c r="CS6" t="s">
        <v>37</v>
      </c>
      <c r="CW6">
        <v>0.0</v>
      </c>
      <c r="CX6" t="s">
        <v>56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37</v>
      </c>
      <c r="B7" s="8" t="s">
        <v>28</v>
      </c>
      <c r="C7" s="8" t="s">
        <v>38</v>
      </c>
      <c r="D7" s="8">
        <v>0.0</v>
      </c>
      <c r="E7" s="8">
        <v>200.0</v>
      </c>
      <c r="F7" s="8" t="s">
        <v>39</v>
      </c>
      <c r="G7" s="8" t="s">
        <v>40</v>
      </c>
      <c r="H7" s="8">
        <v>4.0</v>
      </c>
      <c r="I7" s="8">
        <v>5.0</v>
      </c>
      <c r="J7" s="8">
        <v>1.0</v>
      </c>
      <c r="K7" s="8">
        <v>0.0</v>
      </c>
      <c r="L7" s="8">
        <v>0.0</v>
      </c>
      <c r="M7" s="8" t="s">
        <v>41</v>
      </c>
      <c r="N7" s="8" t="s">
        <v>42</v>
      </c>
      <c r="O7" s="8" t="s">
        <v>16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44</v>
      </c>
      <c r="W7">
        <v>1.0</v>
      </c>
      <c r="X7">
        <v>0.0</v>
      </c>
      <c r="Y7" t="s">
        <v>37</v>
      </c>
      <c r="Z7" t="s">
        <v>45</v>
      </c>
      <c r="AA7" t="s">
        <v>19</v>
      </c>
      <c r="AB7">
        <v>1.0</v>
      </c>
      <c r="AD7" t="s">
        <v>46</v>
      </c>
      <c r="AE7">
        <v>200.0</v>
      </c>
      <c r="AF7" t="s">
        <v>37</v>
      </c>
      <c r="AH7" t="s">
        <v>47</v>
      </c>
      <c r="AI7">
        <v>1.0</v>
      </c>
      <c r="AJ7" t="s">
        <v>48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14.0</v>
      </c>
      <c r="AU7">
        <v>14.0</v>
      </c>
      <c r="AW7">
        <v>0.0</v>
      </c>
      <c r="AX7">
        <v>0.0</v>
      </c>
      <c r="AY7" t="s">
        <v>49</v>
      </c>
      <c r="AZ7">
        <v>0.0</v>
      </c>
      <c r="BC7">
        <v>0.0</v>
      </c>
      <c r="BD7" t="s">
        <v>50</v>
      </c>
      <c r="BE7">
        <v>0.0</v>
      </c>
      <c r="BF7">
        <v>0.0</v>
      </c>
      <c r="BJ7">
        <v>200.0</v>
      </c>
      <c r="BK7">
        <v>0.0</v>
      </c>
      <c r="BL7" t="s">
        <v>37</v>
      </c>
      <c r="BM7" t="s">
        <v>45</v>
      </c>
      <c r="BO7" t="s">
        <v>20</v>
      </c>
      <c r="BP7">
        <v>0.0</v>
      </c>
      <c r="BQ7">
        <v>0.0</v>
      </c>
      <c r="BR7">
        <v>0.0</v>
      </c>
      <c r="BS7" t="s">
        <v>51</v>
      </c>
      <c r="BT7" t="s">
        <v>19</v>
      </c>
      <c r="BU7">
        <v>3.0</v>
      </c>
      <c r="BV7">
        <v>0.0</v>
      </c>
      <c r="BW7">
        <v>14.0</v>
      </c>
      <c r="BX7">
        <v>0.0</v>
      </c>
      <c r="CF7" t="s">
        <v>52</v>
      </c>
      <c r="CG7">
        <v>2.0</v>
      </c>
      <c r="CH7" t="s">
        <v>17</v>
      </c>
      <c r="CI7" t="s">
        <v>20</v>
      </c>
      <c r="CJ7">
        <v>0.0</v>
      </c>
      <c r="CK7" t="s">
        <v>53</v>
      </c>
      <c r="CL7">
        <v>1.0</v>
      </c>
      <c r="CM7" t="s">
        <v>19</v>
      </c>
      <c r="CN7" t="s">
        <v>54</v>
      </c>
      <c r="CO7" t="s">
        <v>46</v>
      </c>
      <c r="CP7" t="s">
        <v>55</v>
      </c>
      <c r="CS7" t="s">
        <v>37</v>
      </c>
      <c r="CW7">
        <v>0.0</v>
      </c>
      <c r="CX7" t="s">
        <v>56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IFERROR(__xludf.DUMMYFUNCTION("""COMPUTED_VALUE"""),"Commission Basis")</f>
        <v>Commission Basis</v>
      </c>
      <c r="D5" s="27" t="str">
        <f>IFERROR(__xludf.DUMMYFUNCTION("""COMPUTED_VALUE"""),"Soft Commission Basis")</f>
        <v>Soft Commission Basis</v>
      </c>
      <c r="E5" s="27" t="str">
        <f>IFERROR(__xludf.DUMMYFUNCTION("""COMPUTED_VALUE"""),"Execution Instruction")</f>
        <v>Execution Instruction</v>
      </c>
      <c r="F5" s="28" t="str">
        <f>IFERROR(__xludf.DUMMYFUNCTION("""COMPUTED_VALUE"""),"Venue")</f>
        <v>Venue</v>
      </c>
      <c r="G5" s="27" t="str">
        <f>IFERROR(__xludf.DUMMYFUNCTION("""COMPUTED_VALUE"""),"Algo Type")</f>
        <v>Algo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12" t="s">
        <v>58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20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59</v>
      </c>
      <c r="E6" s="30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59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30"/>
      <c r="F6" s="8"/>
      <c r="G6" s="8"/>
      <c r="H6" s="8"/>
      <c r="I6" s="8"/>
      <c r="J6" s="12"/>
      <c r="K6" s="8"/>
      <c r="L6" s="8"/>
      <c r="M6" s="8"/>
      <c r="N6" s="8"/>
      <c r="O6" s="8"/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58</v>
      </c>
      <c r="I6" s="8"/>
      <c r="J6" s="8"/>
      <c r="K6" s="8"/>
      <c r="L6" s="8"/>
      <c r="M6" s="8"/>
      <c r="N6" s="8"/>
      <c r="O6" s="8"/>
      <c r="AI6" s="9" t="s">
        <v>59</v>
      </c>
      <c r="AJ6" s="9" t="s">
        <v>20</v>
      </c>
      <c r="AK6" s="9" t="s">
        <v>27</v>
      </c>
      <c r="AL6" s="9">
        <v>100.0</v>
      </c>
      <c r="AM6" s="9">
        <v>100.0</v>
      </c>
      <c r="AN6" s="9">
        <v>100.0</v>
      </c>
      <c r="AS6" s="9" t="s">
        <v>16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59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58</v>
      </c>
      <c r="I6" s="8"/>
      <c r="J6" s="8"/>
      <c r="K6" s="8"/>
      <c r="L6" s="8"/>
      <c r="M6" s="8"/>
      <c r="N6" s="8"/>
      <c r="O6" s="8"/>
      <c r="AI6" s="9" t="s">
        <v>59</v>
      </c>
      <c r="AJ6" s="9" t="s">
        <v>20</v>
      </c>
      <c r="AK6" s="9" t="s">
        <v>31</v>
      </c>
      <c r="AL6" s="9">
        <v>200.0</v>
      </c>
      <c r="AM6" s="9">
        <v>100.0</v>
      </c>
      <c r="AN6" s="9">
        <v>50.0</v>
      </c>
      <c r="AS6" s="9" t="s">
        <v>16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20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37</v>
      </c>
      <c r="B6" s="33" t="s">
        <v>28</v>
      </c>
      <c r="C6" s="8" t="s">
        <v>38</v>
      </c>
      <c r="D6" s="33">
        <v>0.0</v>
      </c>
      <c r="E6" s="8">
        <v>100.0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60</v>
      </c>
      <c r="N6" s="8" t="s">
        <v>42</v>
      </c>
      <c r="O6" s="8" t="s">
        <v>16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61</v>
      </c>
      <c r="W6">
        <v>1.0</v>
      </c>
      <c r="X6">
        <v>0.0</v>
      </c>
      <c r="Y6" t="s">
        <v>37</v>
      </c>
      <c r="Z6" t="s">
        <v>45</v>
      </c>
      <c r="AA6">
        <v>5.94918104E8</v>
      </c>
      <c r="AB6">
        <v>1.0</v>
      </c>
      <c r="AD6" t="s">
        <v>46</v>
      </c>
      <c r="AE6">
        <v>100.0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O6" t="s">
        <v>62</v>
      </c>
      <c r="AP6" t="b">
        <v>1</v>
      </c>
      <c r="AQ6" t="b">
        <v>0</v>
      </c>
      <c r="AR6" t="b">
        <v>1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49</v>
      </c>
      <c r="AZ6">
        <v>0.0</v>
      </c>
      <c r="BC6">
        <v>0.0</v>
      </c>
      <c r="BD6" t="s">
        <v>50</v>
      </c>
      <c r="BE6">
        <v>200.0</v>
      </c>
      <c r="BF6">
        <v>200.0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0.0</v>
      </c>
      <c r="BQ6">
        <v>0.0</v>
      </c>
      <c r="BR6">
        <v>1.0E-4</v>
      </c>
      <c r="BS6" t="s">
        <v>51</v>
      </c>
      <c r="BT6" t="s">
        <v>59</v>
      </c>
      <c r="BU6">
        <v>3.0</v>
      </c>
      <c r="BV6">
        <v>0.0</v>
      </c>
      <c r="BW6">
        <v>14.0001</v>
      </c>
      <c r="BX6">
        <v>0.0</v>
      </c>
      <c r="CF6" t="s">
        <v>52</v>
      </c>
      <c r="CG6">
        <v>2.0</v>
      </c>
      <c r="CH6" t="s">
        <v>17</v>
      </c>
      <c r="CI6" t="s">
        <v>20</v>
      </c>
      <c r="CJ6">
        <v>0.0</v>
      </c>
      <c r="CK6" t="s">
        <v>53</v>
      </c>
      <c r="CL6">
        <v>1.0</v>
      </c>
      <c r="CM6" t="s">
        <v>59</v>
      </c>
      <c r="CN6" t="s">
        <v>54</v>
      </c>
      <c r="CO6" t="s">
        <v>46</v>
      </c>
      <c r="CP6" t="s">
        <v>55</v>
      </c>
      <c r="CS6" t="s">
        <v>37</v>
      </c>
      <c r="CW6">
        <v>0.0</v>
      </c>
      <c r="CX6" t="s">
        <v>56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37</v>
      </c>
      <c r="B7" s="8" t="s">
        <v>28</v>
      </c>
      <c r="C7" s="8" t="s">
        <v>38</v>
      </c>
      <c r="D7" s="8">
        <v>0.0</v>
      </c>
      <c r="E7" s="8">
        <v>200.0</v>
      </c>
      <c r="F7" s="8" t="s">
        <v>39</v>
      </c>
      <c r="G7" s="8" t="s">
        <v>40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60</v>
      </c>
      <c r="N7" s="8" t="s">
        <v>42</v>
      </c>
      <c r="O7" s="8" t="s">
        <v>16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61</v>
      </c>
      <c r="W7">
        <v>1.0</v>
      </c>
      <c r="X7">
        <v>0.0</v>
      </c>
      <c r="Y7" t="s">
        <v>37</v>
      </c>
      <c r="Z7" t="s">
        <v>45</v>
      </c>
      <c r="AA7">
        <v>5.94918104E8</v>
      </c>
      <c r="AB7">
        <v>1.0</v>
      </c>
      <c r="AD7" t="s">
        <v>46</v>
      </c>
      <c r="AE7">
        <v>200.0</v>
      </c>
      <c r="AF7" t="s">
        <v>37</v>
      </c>
      <c r="AH7" t="s">
        <v>47</v>
      </c>
      <c r="AI7">
        <v>1.0</v>
      </c>
      <c r="AJ7" t="s">
        <v>48</v>
      </c>
      <c r="AN7" t="b">
        <v>0</v>
      </c>
      <c r="AO7" t="s">
        <v>62</v>
      </c>
      <c r="AP7" t="b">
        <v>1</v>
      </c>
      <c r="AQ7" t="b">
        <v>0</v>
      </c>
      <c r="AR7" t="b">
        <v>1</v>
      </c>
      <c r="AS7">
        <v>0.0</v>
      </c>
      <c r="AT7">
        <v>414.0002</v>
      </c>
      <c r="AU7">
        <v>414.0002</v>
      </c>
      <c r="AW7">
        <v>0.0</v>
      </c>
      <c r="AX7">
        <v>0.0</v>
      </c>
      <c r="AY7" t="s">
        <v>49</v>
      </c>
      <c r="AZ7">
        <v>0.0</v>
      </c>
      <c r="BC7">
        <v>0.0</v>
      </c>
      <c r="BD7" t="s">
        <v>50</v>
      </c>
      <c r="BE7">
        <v>400.0</v>
      </c>
      <c r="BF7">
        <v>400.0</v>
      </c>
      <c r="BJ7">
        <v>200.0</v>
      </c>
      <c r="BK7">
        <v>0.0</v>
      </c>
      <c r="BL7" t="s">
        <v>37</v>
      </c>
      <c r="BM7" t="s">
        <v>45</v>
      </c>
      <c r="BO7" t="s">
        <v>20</v>
      </c>
      <c r="BP7">
        <v>0.0</v>
      </c>
      <c r="BQ7">
        <v>0.0</v>
      </c>
      <c r="BR7">
        <v>2.0E-4</v>
      </c>
      <c r="BS7" t="s">
        <v>51</v>
      </c>
      <c r="BT7" t="s">
        <v>59</v>
      </c>
      <c r="BU7">
        <v>3.0</v>
      </c>
      <c r="BV7">
        <v>0.0</v>
      </c>
      <c r="BW7">
        <v>14.0002</v>
      </c>
      <c r="BX7">
        <v>0.0</v>
      </c>
      <c r="CF7" t="s">
        <v>52</v>
      </c>
      <c r="CG7">
        <v>2.0</v>
      </c>
      <c r="CH7" t="s">
        <v>17</v>
      </c>
      <c r="CI7" t="s">
        <v>20</v>
      </c>
      <c r="CJ7">
        <v>0.0</v>
      </c>
      <c r="CK7" t="s">
        <v>53</v>
      </c>
      <c r="CL7">
        <v>1.0</v>
      </c>
      <c r="CM7" t="s">
        <v>59</v>
      </c>
      <c r="CN7" t="s">
        <v>54</v>
      </c>
      <c r="CO7" t="s">
        <v>46</v>
      </c>
      <c r="CP7" t="s">
        <v>55</v>
      </c>
      <c r="CS7" t="s">
        <v>37</v>
      </c>
      <c r="CW7">
        <v>0.0</v>
      </c>
      <c r="CX7" t="s">
        <v>56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