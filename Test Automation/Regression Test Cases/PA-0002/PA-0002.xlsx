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CalculatedPreferences" sheetId="5" r:id="rId7"/>
    <sheet state="visible" name="SetAccountValueCalculatedPref" sheetId="6" r:id="rId8"/>
    <sheet state="visible" name="CreateTransaction" sheetId="7" r:id="rId9"/>
    <sheet state="visible" name="CheckAllocatedGroups" sheetId="8" r:id="rId10"/>
    <sheet state="visible" name="GetDataClosing" sheetId="9" r:id="rId11"/>
    <sheet state="visible" name="VerifyLongPositionsGrid" sheetId="10" r:id="rId12"/>
    <sheet state="visible" name="GetActivityData" sheetId="11" r:id="rId13"/>
    <sheet state="visible" name="VerifyActivity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<sst xmlns="http://schemas.openxmlformats.org/spreadsheetml/2006/main" count="108" uniqueCount="40">
  <si>
    <t>Modules Info</t>
  </si>
  <si>
    <t>Master Data Info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</si>
  <si>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</si>
  <si>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</si>
  <si>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</si>
  <si>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</si>
  <si>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</si>
  <si>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Module</t>
  </si>
  <si>
    <t>Step</t>
  </si>
  <si>
    <t>Master Data Sheet</t>
  </si>
  <si>
    <t>Data</t>
  </si>
  <si>
    <t>Allocation</t>
  </si>
  <si>
    <t>Modules</t>
  </si>
  <si>
    <t>SetGeneralPreferences</t>
  </si>
  <si>
    <t>Data Format</t>
  </si>
  <si>
    <t>Input Format</t>
  </si>
  <si>
    <t>AddCalculatedPreferences</t>
  </si>
  <si>
    <t>SetAccountValueCalculatedPref</t>
  </si>
  <si>
    <t>Allocation2</t>
  </si>
  <si>
    <t>CreateTransaction</t>
  </si>
  <si>
    <t>MSFT</t>
  </si>
  <si>
    <t>Buy</t>
  </si>
  <si>
    <t>GOOG</t>
  </si>
  <si>
    <t>Sell</t>
  </si>
  <si>
    <t>CheckAllocatedGroups</t>
  </si>
  <si>
    <t>Closing</t>
  </si>
  <si>
    <t>GetDataClosing</t>
  </si>
  <si>
    <t>Current</t>
  </si>
  <si>
    <t>VerifyLongPositionsGrid</t>
  </si>
  <si>
    <t>GeneralLedger</t>
  </si>
  <si>
    <t>GetActivityData</t>
  </si>
  <si>
    <t>SelectAll</t>
  </si>
  <si>
    <t>VerifyActivity</t>
  </si>
  <si>
    <t>No</t>
  </si>
  <si>
    <t>Yes</t>
  </si>
  <si>
    <t>EquityL</t>
  </si>
  <si>
    <t>USD</t>
  </si>
  <si>
    <t>PortfolioManagement</t>
  </si>
  <si>
    <t>CheckPortfolioManagement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</si>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</sst>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6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6" fontId="13" numFmtId="0" xfId="0" applyFill="1" applyFont="1"/>
    <xf borderId="0" fillId="0" fontId="4" numFmtId="14" xfId="0" applyAlignment="1" applyFont="1" applyNumberFormat="1">
      <alignment shrinkToFit="0" wrapText="0"/>
    </xf>
    <xf borderId="0" fillId="0" fontId="4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6" t="s">
        <v>12</v>
      </c>
      <c r="B3" s="19"/>
      <c r="C3" s="21"/>
      <c r="D3" s="21"/>
      <c r="E3" s="21"/>
      <c r="F3" s="21"/>
    </row>
    <row r="4" ht="15.75" customHeight="1">
      <c r="A4" s="5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IFERROR(__xludf.DUMMYFUNCTION("""COMPUTED_VALUE"""),"1g8wLprruaWRC_5pQcovqkv8ZCiMt5fspCOACibdkz7g")</f>
        <v>1g8wLprruaWRC_5pQcovqkv8ZCiMt5fspCOACibdkz7g</v>
      </c>
      <c r="D4" s="11" t="str">
        <f>IFERROR(__xludf.DUMMYFUNCTION("""COMPUTED_VALUE"""),"")</f>
        <v/>
      </c>
      <c r="E4" s="11" t="str">
        <f>IFERROR(__xludf.DUMMYFUNCTION("""COMPUTED_VALUE"""),"")</f>
        <v/>
      </c>
      <c r="F4" s="11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5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IFERROR(__xludf.DUMMYFUNCTION("""COMPUTED_VALUE"""),"1aecq-HMDoDkIInONjPC11z5TBFHyJhv4ro66e2ZOphg")</f>
        <v>1aecq-HMDoDkIInONjPC11z5TBFHyJhv4ro66e2ZOphg</v>
      </c>
      <c r="D5" s="11" t="str">
        <f>IFERROR(__xludf.DUMMYFUNCTION("""COMPUTED_VALUE"""),"")</f>
        <v/>
      </c>
      <c r="E5" s="11" t="str">
        <f>IFERROR(__xludf.DUMMYFUNCTION("""COMPUTED_VALUE"""),"")</f>
        <v/>
      </c>
      <c r="F5" s="11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1" t="str">
        <f>IFERROR(__xludf.DUMMYFUNCTION("""COMPUTED_VALUE"""),"Allocation")</f>
        <v>Allocation</v>
      </c>
      <c r="B6" s="11" t="str">
        <f>IFERROR(__xludf.DUMMYFUNCTION("""COMPUTED_VALUE"""),"Unallocate")</f>
        <v>Unallocate</v>
      </c>
      <c r="C6" s="11" t="str">
        <f>IFERROR(__xludf.DUMMYFUNCTION("""COMPUTED_VALUE"""),"1eDZq-_vllq4jwvwpk9qGnwQUhlb-sFvyFKPBriT2dA0")</f>
        <v>1eDZq-_vllq4jwvwpk9qGnwQUhlb-sFvyFKPBriT2dA0</v>
      </c>
      <c r="D6" s="11" t="str">
        <f>IFERROR(__xludf.DUMMYFUNCTION("""COMPUTED_VALUE"""),"")</f>
        <v/>
      </c>
      <c r="E6" s="11" t="str">
        <f>IFERROR(__xludf.DUMMYFUNCTION("""COMPUTED_VALUE"""),"")</f>
        <v/>
      </c>
      <c r="F6" s="11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1" t="str">
        <f>IFERROR(__xludf.DUMMYFUNCTION("""COMPUTED_VALUE"""),"Allocation")</f>
        <v>Allocation</v>
      </c>
      <c r="B7" s="11" t="str">
        <f>IFERROR(__xludf.DUMMYFUNCTION("""COMPUTED_VALUE"""),"GetDataAllocation")</f>
        <v>GetDataAllocation</v>
      </c>
      <c r="C7" s="11" t="str">
        <f>IFERROR(__xludf.DUMMYFUNCTION("""COMPUTED_VALUE"""),"1FBTO3wCB7odq-jpQMbYHgSrAL5-rFO2_kp9Kr2iXqXE")</f>
        <v>1FBTO3wCB7odq-jpQMbYHgSrAL5-rFO2_kp9Kr2iXqXE</v>
      </c>
      <c r="D7" s="11" t="str">
        <f>IFERROR(__xludf.DUMMYFUNCTION("""COMPUTED_VALUE"""),"")</f>
        <v/>
      </c>
      <c r="E7" s="11" t="str">
        <f>IFERROR(__xludf.DUMMYFUNCTION("""COMPUTED_VALUE"""),"")</f>
        <v/>
      </c>
      <c r="F7" s="11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1" t="str">
        <f>IFERROR(__xludf.DUMMYFUNCTION("""COMPUTED_VALUE"""),"Allocation")</f>
        <v>Allocation</v>
      </c>
      <c r="B8" s="11" t="str">
        <f>IFERROR(__xludf.DUMMYFUNCTION("""COMPUTED_VALUE"""),"SelectAllocatedGroup")</f>
        <v>SelectAllocatedGroup</v>
      </c>
      <c r="C8" s="11" t="str">
        <f>IFERROR(__xludf.DUMMYFUNCTION("""COMPUTED_VALUE"""),"1G0ZkXDrIDX_loGmAyLs_Shy8hExtTELtFXERbX-HdPo")</f>
        <v>1G0ZkXDrIDX_loGmAyLs_Shy8hExtTELtFXERbX-HdPo</v>
      </c>
      <c r="D8" s="11" t="str">
        <f>IFERROR(__xludf.DUMMYFUNCTION("""COMPUTED_VALUE"""),"")</f>
        <v/>
      </c>
      <c r="E8" s="11" t="str">
        <f>IFERROR(__xludf.DUMMYFUNCTION("""COMPUTED_VALUE"""),"")</f>
        <v/>
      </c>
      <c r="F8" s="11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1" t="str">
        <f>IFERROR(__xludf.DUMMYFUNCTION("""COMPUTED_VALUE"""),"Allocation")</f>
        <v>Allocation</v>
      </c>
      <c r="B9" s="11" t="str">
        <f>IFERROR(__xludf.DUMMYFUNCTION("""COMPUTED_VALUE"""),"EditTradesAllocated")</f>
        <v>EditTradesAllocated</v>
      </c>
      <c r="C9" s="11" t="str">
        <f>IFERROR(__xludf.DUMMYFUNCTION("""COMPUTED_VALUE"""),"1YgVZ1jEVgjUF1Dp8FAj_W_zLEZCyqvNMlWJIg0Tmkq4")</f>
        <v>1YgVZ1jEVgjUF1Dp8FAj_W_zLEZCyqvNMlWJIg0Tmkq4</v>
      </c>
      <c r="D9" s="11" t="str">
        <f>IFERROR(__xludf.DUMMYFUNCTION("""COMPUTED_VALUE"""),"")</f>
        <v/>
      </c>
      <c r="E9" s="11" t="str">
        <f>IFERROR(__xludf.DUMMYFUNCTION("""COMPUTED_VALUE"""),"")</f>
        <v/>
      </c>
      <c r="F9" s="11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1" t="str">
        <f>IFERROR(__xludf.DUMMYFUNCTION("""COMPUTED_VALUE"""),"Allocation")</f>
        <v>Allocation</v>
      </c>
      <c r="B10" s="11" t="str">
        <f>IFERROR(__xludf.DUMMYFUNCTION("""COMPUTED_VALUE"""),"EditTradesUnallocated")</f>
        <v>EditTradesUnallocated</v>
      </c>
      <c r="C10" s="11" t="str">
        <f>IFERROR(__xludf.DUMMYFUNCTION("""COMPUTED_VALUE"""),"1MyB61T39MDAUyQqCUJLATzUT2f5UlE8nFq4ltWy_DJ4")</f>
        <v>1MyB61T39MDAUyQqCUJLATzUT2f5UlE8nFq4ltWy_DJ4</v>
      </c>
      <c r="D10" s="11" t="str">
        <f>IFERROR(__xludf.DUMMYFUNCTION("""COMPUTED_VALUE"""),"")</f>
        <v/>
      </c>
      <c r="E10" s="11" t="str">
        <f>IFERROR(__xludf.DUMMYFUNCTION("""COMPUTED_VALUE"""),"")</f>
        <v/>
      </c>
      <c r="F10" s="11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1" t="str">
        <f>IFERROR(__xludf.DUMMYFUNCTION("""COMPUTED_VALUE"""),"Allocation")</f>
        <v>Allocation</v>
      </c>
      <c r="B11" s="11" t="str">
        <f>IFERROR(__xludf.DUMMYFUNCTION("""COMPUTED_VALUE"""),"Reallocate")</f>
        <v>Reallocate</v>
      </c>
      <c r="C11" s="11" t="str">
        <f>IFERROR(__xludf.DUMMYFUNCTION("""COMPUTED_VALUE"""),"undefined")</f>
        <v>undefined</v>
      </c>
      <c r="D11" s="11" t="str">
        <f>IFERROR(__xludf.DUMMYFUNCTION("""COMPUTED_VALUE"""),"")</f>
        <v/>
      </c>
      <c r="E11" s="11" t="str">
        <f>IFERROR(__xludf.DUMMYFUNCTION("""COMPUTED_VALUE"""),"")</f>
        <v/>
      </c>
      <c r="F11" s="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1" t="str">
        <f>IFERROR(__xludf.DUMMYFUNCTION("""COMPUTED_VALUE"""),"Blotter")</f>
        <v>Blotter</v>
      </c>
      <c r="B12" s="11" t="str">
        <f>IFERROR(__xludf.DUMMYFUNCTION("""COMPUTED_VALUE"""),"ReplaceFillsOnBlotter")</f>
        <v>ReplaceFillsOnBlotter</v>
      </c>
      <c r="C12" s="11" t="str">
        <f>IFERROR(__xludf.DUMMYFUNCTION("""COMPUTED_VALUE"""),"undefined")</f>
        <v>undefined</v>
      </c>
      <c r="D12" s="11" t="str">
        <f>IFERROR(__xludf.DUMMYFUNCTION("""COMPUTED_VALUE"""),"")</f>
        <v/>
      </c>
      <c r="E12" s="11" t="str">
        <f>IFERROR(__xludf.DUMMYFUNCTION("""COMPUTED_VALUE"""),"")</f>
        <v/>
      </c>
      <c r="F12" s="11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1" t="str">
        <f>IFERROR(__xludf.DUMMYFUNCTION("""COMPUTED_VALUE"""),"Blotter")</f>
        <v>Blotter</v>
      </c>
      <c r="B13" s="11" t="str">
        <f>IFERROR(__xludf.DUMMYFUNCTION("""COMPUTED_VALUE"""),"CheckBlotter")</f>
        <v>CheckBlotter</v>
      </c>
      <c r="C13" s="11" t="str">
        <f>IFERROR(__xludf.DUMMYFUNCTION("""COMPUTED_VALUE"""),"16qheLbvgC92hKxalWDlpWfHBMyDDVqHERUCc7bQiO2A")</f>
        <v>16qheLbvgC92hKxalWDlpWfHBMyDDVqHERUCc7bQiO2A</v>
      </c>
      <c r="D13" s="11" t="str">
        <f>IFERROR(__xludf.DUMMYFUNCTION("""COMPUTED_VALUE"""),"")</f>
        <v/>
      </c>
      <c r="E13" s="11" t="str">
        <f>IFERROR(__xludf.DUMMYFUNCTION("""COMPUTED_VALUE"""),"")</f>
        <v/>
      </c>
      <c r="F13" s="11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1" t="str">
        <f>IFERROR(__xludf.DUMMYFUNCTION("""COMPUTED_VALUE"""),"GeneralLedger")</f>
        <v>GeneralLedger</v>
      </c>
      <c r="B14" s="11" t="str">
        <f>IFERROR(__xludf.DUMMYFUNCTION("""COMPUTED_VALUE"""),"GetDataCash")</f>
        <v>GetDataCash</v>
      </c>
      <c r="C14" s="11" t="str">
        <f>IFERROR(__xludf.DUMMYFUNCTION("""COMPUTED_VALUE"""),"1zLd3ju-mV8f6PZiQUYLU-cAgAUwLwyoIAKuu0WgG2zI")</f>
        <v>1zLd3ju-mV8f6PZiQUYLU-cAgAUwLwyoIAKuu0WgG2zI</v>
      </c>
      <c r="D14" s="11" t="str">
        <f>IFERROR(__xludf.DUMMYFUNCTION("""COMPUTED_VALUE"""),"")</f>
        <v/>
      </c>
      <c r="E14" s="11" t="str">
        <f>IFERROR(__xludf.DUMMYFUNCTION("""COMPUTED_VALUE"""),"")</f>
        <v/>
      </c>
      <c r="F14" s="11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1" t="str">
        <f>IFERROR(__xludf.DUMMYFUNCTION("""COMPUTED_VALUE"""),"GeneralLedger")</f>
        <v>GeneralLedger</v>
      </c>
      <c r="B15" s="11" t="str">
        <f>IFERROR(__xludf.DUMMYFUNCTION("""COMPUTED_VALUE"""),"EnterCashDividends")</f>
        <v>EnterCashDividends</v>
      </c>
      <c r="C15" s="11" t="str">
        <f>IFERROR(__xludf.DUMMYFUNCTION("""COMPUTED_VALUE"""),"1sjDsI5FIL_l_G6osMJQ7e8auBgYd3R3JDaKWKV_8Og0")</f>
        <v>1sjDsI5FIL_l_G6osMJQ7e8auBgYd3R3JDaKWKV_8Og0</v>
      </c>
      <c r="D15" s="11" t="str">
        <f>IFERROR(__xludf.DUMMYFUNCTION("""COMPUTED_VALUE"""),"")</f>
        <v/>
      </c>
      <c r="E15" s="11" t="str">
        <f>IFERROR(__xludf.DUMMYFUNCTION("""COMPUTED_VALUE"""),"")</f>
        <v/>
      </c>
      <c r="F15" s="11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1" t="str">
        <f>IFERROR(__xludf.DUMMYFUNCTION("""COMPUTED_VALUE"""),"GeneralLedger")</f>
        <v>GeneralLedger</v>
      </c>
      <c r="B16" s="11" t="str">
        <f>IFERROR(__xludf.DUMMYFUNCTION("""COMPUTED_VALUE"""),"EnterNonTradingTransaction")</f>
        <v>EnterNonTradingTransaction</v>
      </c>
      <c r="C16" s="11" t="str">
        <f>IFERROR(__xludf.DUMMYFUNCTION("""COMPUTED_VALUE"""),"1xn1P_Z-3N4d2BC1SUPly2HiVZazly5ZQcS18BfaTyho")</f>
        <v>1xn1P_Z-3N4d2BC1SUPly2HiVZazly5ZQcS18BfaTyho</v>
      </c>
      <c r="D16" s="11" t="str">
        <f>IFERROR(__xludf.DUMMYFUNCTION("""COMPUTED_VALUE"""),"")</f>
        <v/>
      </c>
      <c r="E16" s="11" t="str">
        <f>IFERROR(__xludf.DUMMYFUNCTION("""COMPUTED_VALUE"""),"")</f>
        <v/>
      </c>
      <c r="F16" s="11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1" t="str">
        <f>IFERROR(__xludf.DUMMYFUNCTION("""COMPUTED_VALUE"""),"GeneralLedger")</f>
        <v>GeneralLedger</v>
      </c>
      <c r="B17" s="11" t="str">
        <f>IFERROR(__xludf.DUMMYFUNCTION("""COMPUTED_VALUE"""),"VerifyCash")</f>
        <v>VerifyCash</v>
      </c>
      <c r="C17" s="11" t="str">
        <f>IFERROR(__xludf.DUMMYFUNCTION("""COMPUTED_VALUE"""),"1vlvYPsiFAWjsnFrbkGn_fAvkwF00V3e7htalalU6QN4")</f>
        <v>1vlvYPsiFAWjsnFrbkGn_fAvkwF00V3e7htalalU6QN4</v>
      </c>
      <c r="D17" s="11" t="str">
        <f>IFERROR(__xludf.DUMMYFUNCTION("""COMPUTED_VALUE"""),"")</f>
        <v/>
      </c>
      <c r="E17" s="11" t="str">
        <f>IFERROR(__xludf.DUMMYFUNCTION("""COMPUTED_VALUE"""),"")</f>
        <v/>
      </c>
      <c r="F17" s="11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1" t="str">
        <f>IFERROR(__xludf.DUMMYFUNCTION("""COMPUTED_VALUE"""),"GeneralLedger")</f>
        <v>GeneralLedger</v>
      </c>
      <c r="B18" s="11" t="str">
        <f>IFERROR(__xludf.DUMMYFUNCTION("""COMPUTED_VALUE"""),"VerifyActivity")</f>
        <v>VerifyActivity</v>
      </c>
      <c r="C18" s="11" t="str">
        <f>IFERROR(__xludf.DUMMYFUNCTION("""COMPUTED_VALUE"""),"1o2rCg2FuoAOT5Pl8i4iFP_TwpPm0UB1dd49GbpkytfM")</f>
        <v>1o2rCg2FuoAOT5Pl8i4iFP_TwpPm0UB1dd49GbpkytfM</v>
      </c>
      <c r="D18" s="11" t="str">
        <f>IFERROR(__xludf.DUMMYFUNCTION("""COMPUTED_VALUE"""),"")</f>
        <v/>
      </c>
      <c r="E18" s="11" t="str">
        <f>IFERROR(__xludf.DUMMYFUNCTION("""COMPUTED_VALUE"""),"")</f>
        <v/>
      </c>
      <c r="F18" s="11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1" t="str">
        <f>IFERROR(__xludf.DUMMYFUNCTION("""COMPUTED_VALUE"""),"GeneralLedger")</f>
        <v>GeneralLedger</v>
      </c>
      <c r="B19" s="11" t="str">
        <f>IFERROR(__xludf.DUMMYFUNCTION("""COMPUTED_VALUE"""),"VerifyTradingTransaction")</f>
        <v>VerifyTradingTransaction</v>
      </c>
      <c r="C19" s="11" t="str">
        <f>IFERROR(__xludf.DUMMYFUNCTION("""COMPUTED_VALUE"""),"1_v2niCJ9VGNvgEBpvz030BFqEISSUhYRHyWcAJAn_Eg")</f>
        <v>1_v2niCJ9VGNvgEBpvz030BFqEISSUhYRHyWcAJAn_Eg</v>
      </c>
      <c r="D19" s="11" t="str">
        <f>IFERROR(__xludf.DUMMYFUNCTION("""COMPUTED_VALUE"""),"")</f>
        <v/>
      </c>
      <c r="E19" s="11" t="str">
        <f>IFERROR(__xludf.DUMMYFUNCTION("""COMPUTED_VALUE"""),"")</f>
        <v/>
      </c>
      <c r="F19" s="11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1" t="str">
        <f>IFERROR(__xludf.DUMMYFUNCTION("""COMPUTED_VALUE"""),"GeneralLedger")</f>
        <v>GeneralLedger</v>
      </c>
      <c r="B20" s="11" t="str">
        <f>IFERROR(__xludf.DUMMYFUNCTION("""COMPUTED_VALUE"""),"VerifyRevaluationData")</f>
        <v>VerifyRevaluationData</v>
      </c>
      <c r="C20" s="11" t="str">
        <f>IFERROR(__xludf.DUMMYFUNCTION("""COMPUTED_VALUE"""),"1hsRs1-LY0akTrMe91ArnbLtk6GUy_bKxVwMYCaiMs-8")</f>
        <v>1hsRs1-LY0akTrMe91ArnbLtk6GUy_bKxVwMYCaiMs-8</v>
      </c>
      <c r="D20" s="11" t="str">
        <f>IFERROR(__xludf.DUMMYFUNCTION("""COMPUTED_VALUE"""),"")</f>
        <v/>
      </c>
      <c r="E20" s="11" t="str">
        <f>IFERROR(__xludf.DUMMYFUNCTION("""COMPUTED_VALUE"""),"")</f>
        <v/>
      </c>
      <c r="F20" s="11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1" t="str">
        <f>IFERROR(__xludf.DUMMYFUNCTION("""COMPUTED_VALUE"""),"CorporateAction")</f>
        <v>CorporateAction</v>
      </c>
      <c r="B21" s="11" t="str">
        <f>IFERROR(__xludf.DUMMYFUNCTION("""COMPUTED_VALUE"""),"CorporateAction")</f>
        <v>CorporateAction</v>
      </c>
      <c r="C21" s="11" t="str">
        <f>IFERROR(__xludf.DUMMYFUNCTION("""COMPUTED_VALUE"""),"14rwUHTx4auE_hf60WN-tNOx3atNg7QGvErWNwVQIRqE")</f>
        <v>14rwUHTx4auE_hf60WN-tNOx3atNg7QGvErWNwVQIRqE</v>
      </c>
      <c r="D21" s="11" t="str">
        <f>IFERROR(__xludf.DUMMYFUNCTION("""COMPUTED_VALUE"""),"")</f>
        <v/>
      </c>
      <c r="E21" s="11" t="str">
        <f>IFERROR(__xludf.DUMMYFUNCTION("""COMPUTED_VALUE"""),"")</f>
        <v/>
      </c>
      <c r="F21" s="1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1" t="str">
        <f>IFERROR(__xludf.DUMMYFUNCTION("""COMPUTED_VALUE"""),"CreateTransaction")</f>
        <v>CreateTransaction</v>
      </c>
      <c r="B22" s="11" t="str">
        <f>IFERROR(__xludf.DUMMYFUNCTION("""COMPUTED_VALUE"""),"CreateTransaction")</f>
        <v>CreateTransaction</v>
      </c>
      <c r="C22" s="11" t="str">
        <f>IFERROR(__xludf.DUMMYFUNCTION("""COMPUTED_VALUE"""),"1amshi8Ns36lsDpccBK0y_9bL_pQ2rHdGNYypcgzceUg")</f>
        <v>1amshi8Ns36lsDpccBK0y_9bL_pQ2rHdGNYypcgzceUg</v>
      </c>
      <c r="D22" s="11" t="str">
        <f>IFERROR(__xludf.DUMMYFUNCTION("""COMPUTED_VALUE"""),"")</f>
        <v/>
      </c>
      <c r="E22" s="11" t="str">
        <f>IFERROR(__xludf.DUMMYFUNCTION("""COMPUTED_VALUE"""),"")</f>
        <v/>
      </c>
      <c r="F22" s="11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1" t="str">
        <f>IFERROR(__xludf.DUMMYFUNCTION("""COMPUTED_VALUE"""),"DailyValuation")</f>
        <v>DailyValuation</v>
      </c>
      <c r="B23" s="11" t="str">
        <f>IFERROR(__xludf.DUMMYFUNCTION("""COMPUTED_VALUE"""),"UpdateBeta")</f>
        <v>UpdateBeta</v>
      </c>
      <c r="C23" s="11" t="str">
        <f>IFERROR(__xludf.DUMMYFUNCTION("""COMPUTED_VALUE"""),"1YKttwHsdIskNDoo0Sl7HF2DWikROW-KA05qfT3GLIyI")</f>
        <v>1YKttwHsdIskNDoo0Sl7HF2DWikROW-KA05qfT3GLIyI</v>
      </c>
      <c r="D23" s="11" t="str">
        <f>IFERROR(__xludf.DUMMYFUNCTION("""COMPUTED_VALUE"""),"")</f>
        <v/>
      </c>
      <c r="E23" s="11" t="str">
        <f>IFERROR(__xludf.DUMMYFUNCTION("""COMPUTED_VALUE"""),"")</f>
        <v/>
      </c>
      <c r="F23" s="11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1" t="str">
        <f>IFERROR(__xludf.DUMMYFUNCTION("""COMPUTED_VALUE"""),"DailyValuation")</f>
        <v>DailyValuation</v>
      </c>
      <c r="B24" s="11" t="str">
        <f>IFERROR(__xludf.DUMMYFUNCTION("""COMPUTED_VALUE"""),"UpdateDailyCash")</f>
        <v>UpdateDailyCash</v>
      </c>
      <c r="C24" s="11" t="str">
        <f>IFERROR(__xludf.DUMMYFUNCTION("""COMPUTED_VALUE"""),"1YJ2rTp-OqQTGjubvs_cBC6fl0l94pyHI2eaLJzbddS4")</f>
        <v>1YJ2rTp-OqQTGjubvs_cBC6fl0l94pyHI2eaLJzbddS4</v>
      </c>
      <c r="D24" s="11" t="str">
        <f>IFERROR(__xludf.DUMMYFUNCTION("""COMPUTED_VALUE"""),"")</f>
        <v/>
      </c>
      <c r="E24" s="11" t="str">
        <f>IFERROR(__xludf.DUMMYFUNCTION("""COMPUTED_VALUE"""),"")</f>
        <v/>
      </c>
      <c r="F24" s="11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1" t="str">
        <f>IFERROR(__xludf.DUMMYFUNCTION("""COMPUTED_VALUE"""),"DailyValuation")</f>
        <v>DailyValuation</v>
      </c>
      <c r="B25" s="11" t="str">
        <f>IFERROR(__xludf.DUMMYFUNCTION("""COMPUTED_VALUE"""),"UpdateForexConversion")</f>
        <v>UpdateForexConversion</v>
      </c>
      <c r="C25" s="11" t="str">
        <f>IFERROR(__xludf.DUMMYFUNCTION("""COMPUTED_VALUE"""),"1mLyEfNTVFd65cnE6GfgCRD6TdpKg1BgqNIDjHCFzyO4")</f>
        <v>1mLyEfNTVFd65cnE6GfgCRD6TdpKg1BgqNIDjHCFzyO4</v>
      </c>
      <c r="D25" s="11" t="str">
        <f>IFERROR(__xludf.DUMMYFUNCTION("""COMPUTED_VALUE"""),"")</f>
        <v/>
      </c>
      <c r="E25" s="11" t="str">
        <f>IFERROR(__xludf.DUMMYFUNCTION("""COMPUTED_VALUE"""),"")</f>
        <v/>
      </c>
      <c r="F25" s="11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1" t="str">
        <f>IFERROR(__xludf.DUMMYFUNCTION("""COMPUTED_VALUE"""),"DailyValuation")</f>
        <v>DailyValuation</v>
      </c>
      <c r="B26" s="11" t="str">
        <f>IFERROR(__xludf.DUMMYFUNCTION("""COMPUTED_VALUE"""),"UpdateMarkPrice")</f>
        <v>UpdateMarkPrice</v>
      </c>
      <c r="C26" s="11" t="str">
        <f>IFERROR(__xludf.DUMMYFUNCTION("""COMPUTED_VALUE"""),"1M8d9TyOhMnA65NSIYvS6dR68SH5RL6oKahd6uz7yp6c")</f>
        <v>1M8d9TyOhMnA65NSIYvS6dR68SH5RL6oKahd6uz7yp6c</v>
      </c>
      <c r="D26" s="11" t="str">
        <f>IFERROR(__xludf.DUMMYFUNCTION("""COMPUTED_VALUE"""),"")</f>
        <v/>
      </c>
      <c r="E26" s="11" t="str">
        <f>IFERROR(__xludf.DUMMYFUNCTION("""COMPUTED_VALUE"""),"")</f>
        <v/>
      </c>
      <c r="F26" s="11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1" t="str">
        <f>IFERROR(__xludf.DUMMYFUNCTION("""COMPUTED_VALUE"""),"Import")</f>
        <v>Import</v>
      </c>
      <c r="B27" s="11" t="str">
        <f>IFERROR(__xludf.DUMMYFUNCTION("""COMPUTED_VALUE"""),"Import")</f>
        <v>Import</v>
      </c>
      <c r="C27" s="11" t="str">
        <f>IFERROR(__xludf.DUMMYFUNCTION("""COMPUTED_VALUE"""),"1Q5uOVYo1NMRks6hQRJuV8XWMPb6VFEAbSzpgP1dot1I")</f>
        <v>1Q5uOVYo1NMRks6hQRJuV8XWMPb6VFEAbSzpgP1dot1I</v>
      </c>
      <c r="D27" s="11" t="str">
        <f>IFERROR(__xludf.DUMMYFUNCTION("""COMPUTED_VALUE"""),"")</f>
        <v/>
      </c>
      <c r="E27" s="11" t="str">
        <f>IFERROR(__xludf.DUMMYFUNCTION("""COMPUTED_VALUE"""),"")</f>
        <v/>
      </c>
      <c r="F27" s="11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1" t="str">
        <f>IFERROR(__xludf.DUMMYFUNCTION("""COMPUTED_VALUE"""),"PortfolioManagement")</f>
        <v>PortfolioManagement</v>
      </c>
      <c r="B28" s="11" t="str">
        <f>IFERROR(__xludf.DUMMYFUNCTION("""COMPUTED_VALUE"""),"CheckDashboardPM")</f>
        <v>CheckDashboardPM</v>
      </c>
      <c r="C28" s="11" t="str">
        <f>IFERROR(__xludf.DUMMYFUNCTION("""COMPUTED_VALUE"""),"1iqfUyYqyebXIeNBGljH7-T8whBcywTlkBBU3dBZV06s")</f>
        <v>1iqfUyYqyebXIeNBGljH7-T8whBcywTlkBBU3dBZV06s</v>
      </c>
      <c r="D28" s="11" t="str">
        <f>IFERROR(__xludf.DUMMYFUNCTION("""COMPUTED_VALUE"""),"")</f>
        <v/>
      </c>
      <c r="E28" s="11" t="str">
        <f>IFERROR(__xludf.DUMMYFUNCTION("""COMPUTED_VALUE"""),"")</f>
        <v/>
      </c>
      <c r="F28" s="11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1" t="str">
        <f>IFERROR(__xludf.DUMMYFUNCTION("""COMPUTED_VALUE"""),"PortfolioManagement")</f>
        <v>PortfolioManagement</v>
      </c>
      <c r="B29" s="11" t="str">
        <f>IFERROR(__xludf.DUMMYFUNCTION("""COMPUTED_VALUE"""),"CheckPortfolioManagement")</f>
        <v>CheckPortfolioManagement</v>
      </c>
      <c r="C29" s="11" t="str">
        <f>IFERROR(__xludf.DUMMYFUNCTION("""COMPUTED_VALUE"""),"1u0XMlZJy_Slp7uXMwirinW7StOOdTcWD-D8V07sO0VA")</f>
        <v>1u0XMlZJy_Slp7uXMwirinW7StOOdTcWD-D8V07sO0VA</v>
      </c>
      <c r="D29" s="11" t="str">
        <f>IFERROR(__xludf.DUMMYFUNCTION("""COMPUTED_VALUE"""),"")</f>
        <v/>
      </c>
      <c r="E29" s="11" t="str">
        <f>IFERROR(__xludf.DUMMYFUNCTION("""COMPUTED_VALUE"""),"")</f>
        <v/>
      </c>
      <c r="F29" s="11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1" t="str">
        <f>IFERROR(__xludf.DUMMYFUNCTION("""COMPUTED_VALUE"""),"PricingInput")</f>
        <v>PricingInput</v>
      </c>
      <c r="B30" s="11" t="str">
        <f>IFERROR(__xludf.DUMMYFUNCTION("""COMPUTED_VALUE"""),"PricingInput")</f>
        <v>PricingInput</v>
      </c>
      <c r="C30" s="11" t="str">
        <f>IFERROR(__xludf.DUMMYFUNCTION("""COMPUTED_VALUE"""),"1mh3Z5PifhJ3yzX8TPeoc3H3nteNiA0V2tWFse0rVChE")</f>
        <v>1mh3Z5PifhJ3yzX8TPeoc3H3nteNiA0V2tWFse0rVChE</v>
      </c>
      <c r="D30" s="11" t="str">
        <f>IFERROR(__xludf.DUMMYFUNCTION("""COMPUTED_VALUE"""),"")</f>
        <v/>
      </c>
      <c r="E30" s="11" t="str">
        <f>IFERROR(__xludf.DUMMYFUNCTION("""COMPUTED_VALUE"""),"")</f>
        <v/>
      </c>
      <c r="F30" s="11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1" t="str">
        <f>IFERROR(__xludf.DUMMYFUNCTION("""COMPUTED_VALUE"""),"PricingInput")</f>
        <v>PricingInput</v>
      </c>
      <c r="B31" s="11" t="str">
        <f>IFERROR(__xludf.DUMMYFUNCTION("""COMPUTED_VALUE"""),"UpdateSharesOutstanding")</f>
        <v>UpdateSharesOutstanding</v>
      </c>
      <c r="C31" s="11" t="str">
        <f>IFERROR(__xludf.DUMMYFUNCTION("""COMPUTED_VALUE"""),"1vmZ6v1OyZ8SSi8bqqjK3ap3KtM_yPA_SEcIQgYiRInY")</f>
        <v>1vmZ6v1OyZ8SSi8bqqjK3ap3KtM_yPA_SEcIQgYiRInY</v>
      </c>
      <c r="D31" s="11" t="str">
        <f>IFERROR(__xludf.DUMMYFUNCTION("""COMPUTED_VALUE"""),"")</f>
        <v/>
      </c>
      <c r="E31" s="11" t="str">
        <f>IFERROR(__xludf.DUMMYFUNCTION("""COMPUTED_VALUE"""),"")</f>
        <v/>
      </c>
      <c r="F31" s="1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1" t="str">
        <f>IFERROR(__xludf.DUMMYFUNCTION("""COMPUTED_VALUE"""),"SymbolLookup")</f>
        <v>SymbolLookup</v>
      </c>
      <c r="B32" s="11" t="str">
        <f>IFERROR(__xludf.DUMMYFUNCTION("""COMPUTED_VALUE"""),"VerifySymbolLookUp")</f>
        <v>VerifySymbolLookUp</v>
      </c>
      <c r="C32" s="11" t="str">
        <f>IFERROR(__xludf.DUMMYFUNCTION("""COMPUTED_VALUE"""),"1OiI1Pi_JAFOFi8ByMaD3_qqEXSv6yQMo_u6aGTozbl8")</f>
        <v>1OiI1Pi_JAFOFi8ByMaD3_qqEXSv6yQMo_u6aGTozbl8</v>
      </c>
      <c r="D32" s="11" t="str">
        <f>IFERROR(__xludf.DUMMYFUNCTION("""COMPUTED_VALUE"""),"")</f>
        <v/>
      </c>
      <c r="E32" s="11" t="str">
        <f>IFERROR(__xludf.DUMMYFUNCTION("""COMPUTED_VALUE"""),"")</f>
        <v/>
      </c>
      <c r="F32" s="11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1" t="str">
        <f>IFERROR(__xludf.DUMMYFUNCTION("""COMPUTED_VALUE"""),"SymbolLookup")</f>
        <v>SymbolLookup</v>
      </c>
      <c r="B33" s="11" t="str">
        <f>IFERROR(__xludf.DUMMYFUNCTION("""COMPUTED_VALUE"""),"SymbolLookupFromTT")</f>
        <v>SymbolLookupFromTT</v>
      </c>
      <c r="C33" s="11" t="str">
        <f>IFERROR(__xludf.DUMMYFUNCTION("""COMPUTED_VALUE"""),"1ubfvE9sHq5KpJ9NazeH96CrVMJqAuol5Ya9GPjxWrgI")</f>
        <v>1ubfvE9sHq5KpJ9NazeH96CrVMJqAuol5Ya9GPjxWrgI</v>
      </c>
      <c r="D33" s="11" t="str">
        <f>IFERROR(__xludf.DUMMYFUNCTION("""COMPUTED_VALUE"""),"")</f>
        <v/>
      </c>
      <c r="E33" s="11" t="str">
        <f>IFERROR(__xludf.DUMMYFUNCTION("""COMPUTED_VALUE"""),"")</f>
        <v/>
      </c>
      <c r="F33" s="11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4"/>
    </row>
    <row r="2" ht="15.75" customHeight="1">
      <c r="A2" s="5"/>
      <c r="B2" s="5"/>
      <c r="C2" s="5"/>
    </row>
    <row r="3" ht="15.75" customHeight="1">
      <c r="A3" s="6" t="s">
        <v>3</v>
      </c>
      <c r="B3" s="7" t="s">
        <v>4</v>
      </c>
      <c r="C3" s="5"/>
    </row>
    <row r="4" ht="15.75" customHeight="1">
      <c r="A4" s="8" t="s">
        <v>5</v>
      </c>
      <c r="B4" s="7" t="s">
        <v>6</v>
      </c>
      <c r="C4" s="5"/>
    </row>
    <row r="5" ht="15.75" customHeight="1">
      <c r="A5" s="9"/>
      <c r="B5" s="5"/>
      <c r="C5" s="5"/>
    </row>
    <row r="6" ht="15.75" customHeight="1">
      <c r="A6" s="9"/>
      <c r="B6" s="5"/>
      <c r="C6" s="5"/>
    </row>
    <row r="7" ht="15.75" customHeight="1">
      <c r="A7" s="9"/>
      <c r="B7" s="5"/>
      <c r="C7" s="5"/>
    </row>
    <row r="8" ht="15.75" customHeight="1">
      <c r="A8" s="9"/>
      <c r="B8" s="5"/>
      <c r="C8" s="5"/>
    </row>
    <row r="9" ht="15.75" customHeight="1">
      <c r="A9" s="9"/>
      <c r="B9" s="5"/>
      <c r="C9" s="5"/>
    </row>
    <row r="10" ht="15.75" customHeight="1">
      <c r="A10" s="9"/>
      <c r="B10" s="5"/>
      <c r="C10" s="5"/>
    </row>
    <row r="11" ht="15.75" customHeight="1">
      <c r="A11" s="9"/>
      <c r="B11" s="5"/>
      <c r="C11" s="5"/>
    </row>
    <row r="12" ht="15.75" customHeight="1">
      <c r="A12" s="9"/>
      <c r="B12" s="5"/>
      <c r="C12" s="5"/>
    </row>
    <row r="13" ht="15.75" customHeight="1">
      <c r="A13" s="9"/>
      <c r="B13" s="5"/>
      <c r="C13" s="5"/>
    </row>
    <row r="14" ht="15.75" customHeight="1">
      <c r="A14" s="9"/>
      <c r="B14" s="5"/>
      <c r="C14" s="5"/>
    </row>
    <row r="15" ht="15.75" customHeight="1">
      <c r="A15" s="9"/>
      <c r="B15" s="5"/>
      <c r="C15" s="5"/>
    </row>
    <row r="16" ht="15.75" customHeight="1">
      <c r="A16" s="9"/>
      <c r="B16" s="5"/>
      <c r="C16" s="5"/>
    </row>
    <row r="17" ht="15.75" customHeight="1">
      <c r="A17" s="9"/>
      <c r="B17" s="5"/>
      <c r="C17" s="5"/>
    </row>
    <row r="18" ht="15.75" customHeight="1">
      <c r="A18" s="9"/>
      <c r="B18" s="5"/>
      <c r="C18" s="5"/>
    </row>
    <row r="19" ht="15.75" customHeight="1">
      <c r="A19" s="9"/>
      <c r="B19" s="5"/>
      <c r="C19" s="5"/>
    </row>
    <row r="20" ht="15.75" customHeight="1">
      <c r="A20" s="9"/>
      <c r="B20" s="5"/>
      <c r="C20" s="5"/>
    </row>
    <row r="21" ht="15.75" customHeight="1">
      <c r="A21" s="9"/>
      <c r="B21" s="5"/>
      <c r="C21" s="5"/>
    </row>
    <row r="22" ht="15.75" customHeight="1">
      <c r="A22" s="9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1</v>
      </c>
      <c r="B1" s="3"/>
      <c r="C1" s="3"/>
      <c r="D1" s="3"/>
      <c r="E1" s="3"/>
      <c r="F1" s="4"/>
    </row>
    <row r="2">
      <c r="A2" s="11"/>
      <c r="B2" s="11"/>
      <c r="C2" s="11"/>
      <c r="D2" s="11"/>
      <c r="E2" s="11"/>
      <c r="F2" s="11"/>
    </row>
    <row r="3">
      <c r="A3" s="8" t="s">
        <v>7</v>
      </c>
      <c r="B3" s="12" t="s">
        <v>8</v>
      </c>
      <c r="C3" s="12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1lI4loUxqzsE3IjuxIjsVY3cB4J_eTKFPPDuXngut4FE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20" t="s">
        <v>11</v>
      </c>
      <c r="D3" s="6" t="s">
        <v>8</v>
      </c>
      <c r="E3" s="20" t="s">
        <v>13</v>
      </c>
      <c r="F3" s="6" t="s">
        <v>14</v>
      </c>
      <c r="G3" s="9" t="s">
        <v>15</v>
      </c>
      <c r="H3" s="6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IFERROR(__xludf.DUMMYFUNCTION("""COMPUTED_VALUE"""),"ValidateCheckSide")</f>
        <v>ValidateCheckSide</v>
      </c>
      <c r="C5" s="26" t="str">
        <f>IFERROR(__xludf.DUMMYFUNCTION("""COMPUTED_VALUE"""),"DisabledChecksideAssets")</f>
        <v>DisabledChecksideAssets</v>
      </c>
      <c r="D5" s="26" t="str">
        <f>IFERROR(__xludf.DUMMYFUNCTION("""COMPUTED_VALUE"""),"PrecisionValue")</f>
        <v>PrecisionValue</v>
      </c>
      <c r="E5" s="26" t="str">
        <f>IFERROR(__xludf.DUMMYFUNCTION("""COMPUTED_VALUE"""),"UseCommissionInNetAmount")</f>
        <v>UseCommissionInNetAmount</v>
      </c>
      <c r="F5" s="27" t="str">
        <f>IFERROR(__xludf.DUMMYFUNCTION("""COMPUTED_VALUE"""),"SaveWithoutState")</f>
        <v>SaveWithoutState</v>
      </c>
      <c r="G5" s="26" t="str">
        <f>IFERROR(__xludf.DUMMYFUNCTION("""COMPUTED_VALUE"""),"SaveWithState")</f>
        <v>SaveWithState</v>
      </c>
      <c r="H5" s="26" t="str">
        <f>IFERROR(__xludf.DUMMYFUNCTION("""COMPUTED_VALUE"""),"ClearQuantities")</f>
        <v>ClearQuantities</v>
      </c>
      <c r="I5" s="26" t="str">
        <f>IFERROR(__xludf.DUMMYFUNCTION("""COMPUTED_VALUE"""),"ReapplyAllocation")</f>
        <v>ReapplyAllocation</v>
      </c>
      <c r="J5" s="26" t="str">
        <f>IFERROR(__xludf.DUMMYFUNCTION("""COMPUTED_VALUE"""),"DefaultAllocation")</f>
        <v>DefaultAllocation</v>
      </c>
      <c r="K5" s="26" t="str">
        <f>IFERROR(__xludf.DUMMYFUNCTION("""COMPUTED_VALUE"""),"IsCustomPreference")</f>
        <v>IsCustomPreference</v>
      </c>
      <c r="L5" s="26" t="str">
        <f>IFERROR(__xludf.DUMMYFUNCTION("""COMPUTED_VALUE"""),"AllocationMethod")</f>
        <v>AllocationMethod</v>
      </c>
      <c r="M5" s="26" t="str">
        <f>IFERROR(__xludf.DUMMYFUNCTION("""COMPUTED_VALUE"""),"RemainderAllocationTo")</f>
        <v>RemainderAllocationTo</v>
      </c>
      <c r="N5" s="26" t="str">
        <f>IFERROR(__xludf.DUMMYFUNCTION("""COMPUTED_VALUE"""),"Target%AsOf")</f>
        <v>Target%AsOf</v>
      </c>
      <c r="O5" s="26" t="str">
        <f>IFERROR(__xludf.DUMMYFUNCTION("""COMPUTED_VALUE"""),"ProrataAccounts")</f>
        <v>ProrataAccounts</v>
      </c>
      <c r="P5" s="26" t="str">
        <f>IFERROR(__xludf.DUMMYFUNCTION("""COMPUTED_VALUE"""),"DateUptoDays")</f>
        <v>DateUptoDays</v>
      </c>
      <c r="Q5" s="26" t="str">
        <f>IFERROR(__xludf.DUMMYFUNCTION("""COMPUTED_VALUE"""),"MatchClosing")</f>
        <v>MatchClosing</v>
      </c>
      <c r="R5" s="26" t="str">
        <f>IFERROR(__xludf.DUMMYFUNCTION("""COMPUTED_VALUE"""),"CommissionAlertOnBrokerChange")</f>
        <v>CommissionAlertOnBrokerChange</v>
      </c>
      <c r="S5" s="26" t="str">
        <f>IFERROR(__xludf.DUMMYFUNCTION("""COMPUTED_VALUE"""),"RecalculateCommissionOnBrokerChange")</f>
        <v>RecalculateCommissionOnBrokerChange</v>
      </c>
      <c r="T5" s="28" t="str">
        <f>IFERROR(__xludf.DUMMYFUNCTION("""COMPUTED_VALUE"""),"CommissionAlertOnAllocation")</f>
        <v>CommissionAlertOnAllocation</v>
      </c>
      <c r="U5" s="28" t="str">
        <f>IFERROR(__xludf.DUMMYFUNCTION("""COMPUTED_VALUE"""),"RecalculateCommissionOnAllocation")</f>
        <v>RecalculateCommissionOnAllocation</v>
      </c>
      <c r="V5" s="28" t="str">
        <f>IFERROR(__xludf.DUMMYFUNCTION("""COMPUTED_VALUE"""),"EnableMasterFund")</f>
        <v>EnableMasterFund</v>
      </c>
      <c r="W5" s="28" t="str">
        <f>IFERROR(__xludf.DUMMYFUNCTION("""COMPUTED_VALUE"""),"1MasterFund/1Symbol")</f>
        <v>1MasterFund/1Symbol</v>
      </c>
      <c r="X5" s="28" t="str">
        <f>IFERROR(__xludf.DUMMYFUNCTION("""COMPUTED_VALUE"""),"ProrataSchemeName")</f>
        <v>ProrataSchemeName</v>
      </c>
      <c r="Y5" s="28" t="str">
        <f>IFERROR(__xludf.DUMMYFUNCTION("""COMPUTED_VALUE"""),"ProrataAllocationSchemeBasis")</f>
        <v>ProrataAllocationSchemeBasis</v>
      </c>
      <c r="Z5" s="28" t="str">
        <f>IFERROR(__xludf.DUMMYFUNCTION("""COMPUTED_VALUE"""),"ShowAdvancedProrataUI")</f>
        <v>ShowAdvancedProrataUI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b">
        <v>0</v>
      </c>
      <c r="C6" s="7"/>
      <c r="D6" s="7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20" t="s">
        <v>11</v>
      </c>
      <c r="D3" s="6" t="s">
        <v>8</v>
      </c>
      <c r="E3" s="20" t="s">
        <v>16</v>
      </c>
      <c r="F3" s="6" t="s">
        <v>14</v>
      </c>
      <c r="G3" s="9" t="s">
        <v>15</v>
      </c>
      <c r="H3" s="6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1" t="str">
        <f>"PA2-"&amp;text(TODAY(),"dd-mm-yy")</f>
        <v>PA2-18-06-19</v>
      </c>
      <c r="C6" s="5"/>
      <c r="D6" s="7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1svq-61dzaRHeNDz1TSSUPXQbbN3Mi4bhNQabvGVoz2c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20" t="s">
        <v>11</v>
      </c>
      <c r="D3" s="6" t="s">
        <v>8</v>
      </c>
      <c r="E3" s="20" t="s">
        <v>17</v>
      </c>
      <c r="F3" s="6" t="s">
        <v>14</v>
      </c>
      <c r="G3" s="9" t="s">
        <v>15</v>
      </c>
      <c r="H3" s="6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IFERROR(__xludf.DUMMYFUNCTION("""COMPUTED_VALUE"""),"AccountName")</f>
        <v>AccountName</v>
      </c>
      <c r="D5" s="26" t="str">
        <f>IFERROR(__xludf.DUMMYFUNCTION("""COMPUTED_VALUE"""),"Percentage")</f>
        <v>Percentage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1" t="str">
        <f>"PA2-"&amp;text(TODAY(),"dd-mm-yy")</f>
        <v>PA2-18-06-19</v>
      </c>
      <c r="C6" s="7" t="s">
        <v>18</v>
      </c>
      <c r="D6" s="7">
        <v>100.0</v>
      </c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20" t="s">
        <v>19</v>
      </c>
      <c r="D3" s="6" t="s">
        <v>8</v>
      </c>
      <c r="E3" s="20" t="s">
        <v>19</v>
      </c>
      <c r="F3" s="6" t="s">
        <v>14</v>
      </c>
      <c r="G3" s="9" t="s">
        <v>15</v>
      </c>
      <c r="H3" s="6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IFERROR(__xludf.DUMMYFUNCTION("IF(C3="""","""",Transpose(IMPORTRANGE('_Settings'!$B$3,C3&amp;""!A4:A1000"")))"),"CreateTransaction")</f>
        <v>CreateTransaction</v>
      </c>
      <c r="C4" s="23" t="str">
        <f>IFERROR(__xludf.DUMMYFUNCTION("""COMPUTED_VALUE"""),"AddNewTransaction")</f>
        <v>AddNewTransaction</v>
      </c>
      <c r="D4" s="23" t="str">
        <f>IFERROR(__xludf.DUMMYFUNCTION("""COMPUTED_VALUE"""),"SaveTransaction")</f>
        <v>SaveTransaction</v>
      </c>
      <c r="E4" s="23" t="str">
        <f>IFERROR(__xludf.DUMMYFUNCTION("""COMPUTED_VALUE"""),"")</f>
        <v/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IFERROR(__xludf.DUMMYFUNCTION("""COMPUTED_VALUE"""),"Account")</f>
        <v>Account</v>
      </c>
      <c r="D5" s="26" t="str">
        <f>IFERROR(__xludf.DUMMYFUNCTION("""COMPUTED_VALUE"""),"Side")</f>
        <v>Side</v>
      </c>
      <c r="E5" s="26" t="str">
        <f>IFERROR(__xludf.DUMMYFUNCTION("""COMPUTED_VALUE"""),"Quantity")</f>
        <v>Quantity</v>
      </c>
      <c r="F5" s="27" t="str">
        <f>IFERROR(__xludf.DUMMYFUNCTION("""COMPUTED_VALUE"""),"Executed Quantity")</f>
        <v>Executed Quantity</v>
      </c>
      <c r="G5" s="26" t="str">
        <f>IFERROR(__xludf.DUMMYFUNCTION("""COMPUTED_VALUE"""),"Average Price")</f>
        <v>Average Price</v>
      </c>
      <c r="H5" s="26" t="str">
        <f>IFERROR(__xludf.DUMMYFUNCTION("""COMPUTED_VALUE"""),"Commission")</f>
        <v>Commission</v>
      </c>
      <c r="I5" s="26" t="str">
        <f>IFERROR(__xludf.DUMMYFUNCTION("""COMPUTED_VALUE"""),"Trade Date")</f>
        <v>Trade Date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20</v>
      </c>
      <c r="C6" s="31" t="str">
        <f t="shared" ref="C6:C7" si="1">"PA2-"&amp;text(TODAY(),"dd-mm-yy")</f>
        <v>PA2-18-06-19</v>
      </c>
      <c r="D6" s="7" t="s">
        <v>21</v>
      </c>
      <c r="E6" s="7">
        <v>150.0</v>
      </c>
      <c r="F6" s="7">
        <v>150.0</v>
      </c>
      <c r="G6" s="7">
        <v>25.0</v>
      </c>
      <c r="H6" s="5"/>
      <c r="I6" s="32">
        <f t="shared" ref="I6:I7" si="2">TODAY()</f>
        <v>43634</v>
      </c>
      <c r="J6" s="5"/>
      <c r="K6" s="5"/>
      <c r="L6" s="5"/>
      <c r="M6" s="5"/>
      <c r="N6" s="5"/>
      <c r="O6" s="5"/>
    </row>
    <row r="7" ht="15.75" customHeight="1">
      <c r="A7" s="5"/>
      <c r="B7" s="7" t="s">
        <v>22</v>
      </c>
      <c r="C7" s="31" t="str">
        <f t="shared" si="1"/>
        <v>PA2-18-06-19</v>
      </c>
      <c r="D7" s="7" t="s">
        <v>23</v>
      </c>
      <c r="E7" s="7">
        <v>150.0</v>
      </c>
      <c r="F7" s="7">
        <v>150.0</v>
      </c>
      <c r="G7" s="7">
        <v>25.0</v>
      </c>
      <c r="H7" s="5"/>
      <c r="I7" s="32">
        <f t="shared" si="2"/>
        <v>43634</v>
      </c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20" t="s">
        <v>11</v>
      </c>
      <c r="D3" s="6" t="s">
        <v>8</v>
      </c>
      <c r="E3" s="20" t="s">
        <v>24</v>
      </c>
      <c r="F3" s="6" t="s">
        <v>14</v>
      </c>
      <c r="G3" s="9" t="s">
        <v>15</v>
      </c>
      <c r="H3" s="6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18</v>
      </c>
      <c r="C6" s="5"/>
      <c r="D6" s="7"/>
      <c r="E6" s="7">
        <v>150.0</v>
      </c>
      <c r="F6" s="31" t="str">
        <f>"PA2-"&amp;text(TODAY(),"dd-mm-yy")</f>
        <v>PA2-18-06-19</v>
      </c>
      <c r="G6" s="5"/>
      <c r="H6" s="5"/>
      <c r="I6" s="5"/>
      <c r="J6" s="5"/>
      <c r="K6" s="7">
        <v>25.0</v>
      </c>
      <c r="L6" s="7">
        <v>25.0</v>
      </c>
      <c r="M6" s="5"/>
      <c r="N6" s="5"/>
      <c r="O6" s="5"/>
      <c r="AE6" s="30">
        <v>150.0</v>
      </c>
      <c r="BJ6" s="30">
        <v>150.0</v>
      </c>
      <c r="BO6" s="30" t="s">
        <v>21</v>
      </c>
      <c r="BT6" s="30" t="s">
        <v>20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20" t="s">
        <v>25</v>
      </c>
      <c r="D3" s="6" t="s">
        <v>8</v>
      </c>
      <c r="E3" s="20" t="s">
        <v>26</v>
      </c>
      <c r="F3" s="6" t="s">
        <v>14</v>
      </c>
      <c r="G3" s="9" t="s">
        <v>15</v>
      </c>
      <c r="H3" s="6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27</v>
      </c>
      <c r="C6" s="5"/>
      <c r="D6" s="7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20" t="s">
        <v>25</v>
      </c>
      <c r="D3" s="6" t="s">
        <v>8</v>
      </c>
      <c r="E3" s="20" t="s">
        <v>28</v>
      </c>
      <c r="F3" s="6" t="s">
        <v>14</v>
      </c>
      <c r="G3" s="9" t="s">
        <v>15</v>
      </c>
      <c r="H3" s="6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18</v>
      </c>
      <c r="C6" s="5"/>
      <c r="D6" s="7"/>
      <c r="E6" s="29"/>
      <c r="F6" s="5"/>
      <c r="G6" s="5"/>
      <c r="H6" s="5"/>
      <c r="I6" s="7">
        <v>25.0</v>
      </c>
      <c r="J6" s="5"/>
      <c r="K6" s="5"/>
      <c r="L6" s="5"/>
      <c r="M6" s="7">
        <v>150.0</v>
      </c>
      <c r="N6" s="5"/>
      <c r="O6" s="5"/>
      <c r="P6" s="30" t="s">
        <v>21</v>
      </c>
      <c r="R6" s="30" t="s">
        <v>20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20" t="s">
        <v>29</v>
      </c>
      <c r="D3" s="6" t="s">
        <v>8</v>
      </c>
      <c r="E3" s="20" t="s">
        <v>30</v>
      </c>
      <c r="F3" s="6" t="s">
        <v>14</v>
      </c>
      <c r="G3" s="9" t="s">
        <v>15</v>
      </c>
      <c r="H3" s="6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31</v>
      </c>
      <c r="C6" s="7" t="s">
        <v>18</v>
      </c>
      <c r="D6" s="33">
        <f t="shared" ref="D6:E6" si="1">TODAY()</f>
        <v>43634</v>
      </c>
      <c r="E6" s="33">
        <f t="shared" si="1"/>
        <v>43634</v>
      </c>
      <c r="F6" s="7" t="s">
        <v>33</v>
      </c>
      <c r="G6" s="7" t="s">
        <v>34</v>
      </c>
      <c r="H6" s="7" t="s">
        <v>33</v>
      </c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20" t="s">
        <v>29</v>
      </c>
      <c r="D3" s="6" t="s">
        <v>8</v>
      </c>
      <c r="E3" s="20" t="s">
        <v>32</v>
      </c>
      <c r="F3" s="6" t="s">
        <v>14</v>
      </c>
      <c r="G3" s="9" t="s">
        <v>15</v>
      </c>
      <c r="H3" s="6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18</v>
      </c>
      <c r="C6" s="7"/>
      <c r="D6" s="7" t="s">
        <v>35</v>
      </c>
      <c r="E6" s="7">
        <v>-3750.0</v>
      </c>
      <c r="F6" s="7"/>
      <c r="G6" s="7"/>
      <c r="H6" s="7"/>
      <c r="I6" s="5"/>
      <c r="J6" s="5"/>
      <c r="K6" s="7" t="s">
        <v>36</v>
      </c>
      <c r="L6" s="5"/>
      <c r="M6" s="5"/>
      <c r="N6" s="5"/>
      <c r="O6" s="5"/>
      <c r="V6" s="30">
        <v>150.0</v>
      </c>
      <c r="AB6" s="30" t="s">
        <v>20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20" t="s">
        <v>37</v>
      </c>
      <c r="D3" s="6" t="s">
        <v>8</v>
      </c>
      <c r="E3" s="20" t="s">
        <v>38</v>
      </c>
      <c r="F3" s="6" t="s">
        <v>14</v>
      </c>
      <c r="G3" s="9" t="s">
        <v>15</v>
      </c>
      <c r="H3" s="6"/>
      <c r="I3" s="18"/>
      <c r="J3" s="18"/>
      <c r="K3" s="18"/>
      <c r="L3" s="18"/>
      <c r="M3" s="18"/>
      <c r="N3" s="18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7"/>
      <c r="B6" s="7"/>
      <c r="C6" s="7" t="s">
        <v>20</v>
      </c>
      <c r="D6" s="7">
        <v>150.0</v>
      </c>
      <c r="E6" s="7" t="s">
        <v>18</v>
      </c>
      <c r="F6" s="7" t="s">
        <v>39</v>
      </c>
      <c r="G6" s="5"/>
      <c r="H6" s="5"/>
      <c r="I6" s="5"/>
      <c r="J6" s="5"/>
      <c r="K6" s="5"/>
      <c r="L6" s="5"/>
      <c r="M6" s="5"/>
      <c r="N6" s="5"/>
      <c r="O6" s="5"/>
      <c r="AN6" s="30" t="s">
        <v>21</v>
      </c>
    </row>
    <row r="7" ht="15.75" customHeight="1">
      <c r="A7" s="5"/>
      <c r="B7" s="5"/>
      <c r="C7" s="7" t="s">
        <v>22</v>
      </c>
      <c r="D7" s="7">
        <v>-150.0</v>
      </c>
      <c r="E7" s="7"/>
      <c r="F7" s="7"/>
      <c r="G7" s="5"/>
      <c r="H7" s="5"/>
      <c r="I7" s="5"/>
      <c r="J7" s="5"/>
      <c r="K7" s="5"/>
      <c r="L7" s="5"/>
      <c r="M7" s="5"/>
      <c r="N7" s="5"/>
      <c r="O7" s="5"/>
      <c r="AN7" s="30" t="s">
        <v>23</v>
      </c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