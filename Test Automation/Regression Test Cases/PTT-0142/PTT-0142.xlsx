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AddSymbolToWatchlist" sheetId="6" r:id="rId8"/>
    <sheet state="visible" name="TradeFromWatchlist" sheetId="7" r:id="rId9"/>
    <sheet state="visible" name="TradePTT" sheetId="8" r:id="rId10"/>
    <sheet state="visible" name="CreateDoneAwayOrder1" sheetId="9" r:id="rId11"/>
    <sheet state="visible" name="VerifyOrder" sheetId="10" r:id="rId12"/>
  </sheets>
  <definedNames/>
  <calcPr/>
</workbook>
</file>

<file path=xl/sharedStrings.xml><?xml version="1.0" encoding="utf-8"?>
<sst xmlns="http://schemas.openxmlformats.org/spreadsheetml/2006/main" count="78" uniqueCount="33">
  <si>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</si>
  <si>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</si>
  <si>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</si>
  <si>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</si>
  <si>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</si>
  <si>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</si>
  <si>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</si>
  <si>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</si>
  <si>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</si>
  <si>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</si>
  <si>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</si>
  <si>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</si>
  <si>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</si>
  <si>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</si>
  <si>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</si>
  <si>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</si>
  <si>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</si>
  <si>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</si>
  <si>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</si>
  <si>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PricingInput</t>
  </si>
  <si>
    <t>Watchlist</t>
  </si>
  <si>
    <t>AddSymbolToWatchlist</t>
  </si>
  <si>
    <t>TradeFromWatchlist</t>
  </si>
  <si>
    <t>Adjust</t>
  </si>
  <si>
    <t>PTT</t>
  </si>
  <si>
    <t>TradePTT</t>
  </si>
  <si>
    <t>Increase</t>
  </si>
  <si>
    <t>Percentage</t>
  </si>
  <si>
    <t>Blotter</t>
  </si>
  <si>
    <t>VerifyOrder</t>
  </si>
  <si>
    <t>Filled</t>
  </si>
  <si>
    <t>MS</t>
  </si>
  <si>
    <t>Market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</si>
</sst>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>
        <v>10.0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IFERROR(__xludf.DUMMYFUNCTION("IF(C3="""","""",Transpose(IMPORTRANGE('_Settings'!$B$3,C3&amp;""!A4:A1000"")))"),"VerifySymbolsOnWatchlist")</f>
        <v>VerifySymbolsOnWatchlist</v>
      </c>
      <c r="C4" s="25" t="str">
        <f>IFERROR(__xludf.DUMMYFUNCTION("""COMPUTED_VALUE"""),"DeleteSymbolFromWatchlist")</f>
        <v>DeleteSymbolFromWatchlist</v>
      </c>
      <c r="D4" s="25" t="str">
        <f>IFERROR(__xludf.DUMMYFUNCTION("""COMPUTED_VALUE"""),"MultiTradeFromWatchlist")</f>
        <v>MultiTradeFromWatchlist</v>
      </c>
      <c r="E4" s="25" t="str">
        <f>IFERROR(__xludf.DUMMYFUNCTION("""COMPUTED_VALUE"""),"TradeFromWatchlist")</f>
        <v>TradeFromWatchlist</v>
      </c>
      <c r="F4" s="25" t="str">
        <f>IFERROR(__xludf.DUMMYFUNCTION("""COMPUTED_VALUE"""),"AddSymbolToWatchlist")</f>
        <v>AddSymbolToWatchlist</v>
      </c>
      <c r="G4" s="25" t="str">
        <f>IFERROR(__xludf.DUMMYFUNCTION("""COMPUTED_VALUE"""),"DeleteTabOnWatchlist")</f>
        <v>DeleteTabOnWatchlist</v>
      </c>
      <c r="H4" s="25" t="str">
        <f>IFERROR(__xludf.DUMMYFUNCTION("""COMPUTED_VALUE"""),"AddTabOnWatchlist")</f>
        <v>AddTabOnWatchlist</v>
      </c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23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IFERROR(__xludf.DUMMYFUNCTION("IF(C3="""","""",Transpose(IMPORTRANGE('_Settings'!$B$3,C3&amp;""!A4:A1000"")))"),"AutoStageImportFromPTTExport")</f>
        <v>AutoStageImportFromPTTExport</v>
      </c>
      <c r="C4" s="25" t="str">
        <f>IFERROR(__xludf.DUMMYFUNCTION("""COMPUTED_VALUE"""),"EditPTTAccountLevelWPF")</f>
        <v>EditPTTAccountLevelWPF</v>
      </c>
      <c r="D4" s="25" t="str">
        <f>IFERROR(__xludf.DUMMYFUNCTION("""COMPUTED_VALUE"""),"SetDefaultSymbology")</f>
        <v>SetDefaultSymbology</v>
      </c>
      <c r="E4" s="25" t="str">
        <f>IFERROR(__xludf.DUMMYFUNCTION("""COMPUTED_VALUE"""),"EditPTTWPFGrid")</f>
        <v>EditPTTWPFGrid</v>
      </c>
      <c r="F4" s="25" t="str">
        <f>IFERROR(__xludf.DUMMYFUNCTION("""COMPUTED_VALUE"""),"CreateOrderAfterEditPTT")</f>
        <v>CreateOrderAfterEditPTT</v>
      </c>
      <c r="G4" s="25" t="str">
        <f>IFERROR(__xludf.DUMMYFUNCTION("""COMPUTED_VALUE"""),"EditPTTRecord")</f>
        <v>EditPTTRecord</v>
      </c>
      <c r="H4" s="25" t="str">
        <f>IFERROR(__xludf.DUMMYFUNCTION("""COMPUTED_VALUE"""),"SelectPTTRecord")</f>
        <v>SelectPTTRecord</v>
      </c>
      <c r="I4" s="25" t="str">
        <f>IFERROR(__xludf.DUMMYFUNCTION("""COMPUTED_VALUE"""),"CalculatePTT")</f>
        <v>CalculatePTT</v>
      </c>
      <c r="J4" s="25" t="str">
        <f>IFERROR(__xludf.DUMMYFUNCTION("""COMPUTED_VALUE"""),"TradeUsingPTT")</f>
        <v>TradeUsingPTT</v>
      </c>
      <c r="K4" s="25" t="str">
        <f>IFERROR(__xludf.DUMMYFUNCTION("""COMPUTED_VALUE"""),"VerifyPTTCompliance")</f>
        <v>VerifyPTTCompliance</v>
      </c>
      <c r="L4" s="25" t="str">
        <f>IFERROR(__xludf.DUMMYFUNCTION("""COMPUTED_VALUE"""),"StageOrderUsingPTT")</f>
        <v>StageOrderUsingPTT</v>
      </c>
      <c r="M4" s="25" t="str">
        <f>IFERROR(__xludf.DUMMYFUNCTION("""COMPUTED_VALUE"""),"CreateOrderPTT")</f>
        <v>CreateOrderPTT</v>
      </c>
      <c r="N4" s="25" t="str">
        <f>IFERROR(__xludf.DUMMYFUNCTION("""COMPUTED_VALUE"""),"TradePTT")</f>
        <v>TradePTT</v>
      </c>
      <c r="O4" s="25" t="str">
        <f>IFERROR(__xludf.DUMMYFUNCTION("""COMPUTED_VALUE"""),"VerifyPTT")</f>
        <v>VerifyPTT</v>
      </c>
      <c r="P4" s="26" t="str">
        <f>IFERROR(__xludf.DUMMYFUNCTION("""COMPUTED_VALUE"""),"OpenMultiTTFromPTT")</f>
        <v>OpenMultiTTFromPTT</v>
      </c>
      <c r="Q4" s="26" t="str">
        <f>IFERROR(__xludf.DUMMYFUNCTION("""COMPUTED_VALUE"""),"SelectMultiTT")</f>
        <v>SelectMultiTT</v>
      </c>
      <c r="R4" s="26" t="str">
        <f>IFERROR(__xludf.DUMMYFUNCTION("""COMPUTED_VALUE"""),"EditMultiTT")</f>
        <v>EditMultiTT</v>
      </c>
      <c r="S4" s="26" t="str">
        <f>IFERROR(__xludf.DUMMYFUNCTION("""COMPUTED_VALUE"""),"SetLongShortPTTPreference")</f>
        <v>SetLongShortPTTPreference</v>
      </c>
      <c r="T4" s="26" t="str">
        <f>IFERROR(__xludf.DUMMYFUNCTION("""COMPUTED_VALUE"""),"SetPTTPreference")</f>
        <v>SetPTTPreference</v>
      </c>
      <c r="U4" s="26" t="str">
        <f>IFERROR(__xludf.DUMMYFUNCTION("""COMPUTED_VALUE"""),"SetAccountFactor")</f>
        <v>SetAccountFactor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26</v>
      </c>
      <c r="D6" s="31" t="s">
        <v>27</v>
      </c>
      <c r="E6" s="34">
        <v>10.0</v>
      </c>
      <c r="F6" s="32"/>
      <c r="G6" s="32"/>
      <c r="H6" s="32"/>
      <c r="I6" s="32" t="s">
        <v>18</v>
      </c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/>
      <c r="D6" s="33">
        <v>8.0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5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30</v>
      </c>
      <c r="AL6" s="9">
        <v>8.0</v>
      </c>
      <c r="AM6" s="9">
        <v>8.0</v>
      </c>
      <c r="AQ6" s="9">
        <v>10.0</v>
      </c>
      <c r="AR6" s="9">
        <v>10.0</v>
      </c>
      <c r="AS6" s="9" t="s">
        <v>31</v>
      </c>
      <c r="AT6" s="9" t="s">
        <v>18</v>
      </c>
      <c r="AU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