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GetDataClosing1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ExerciseAssignment" sheetId="15" r:id="rId17"/>
    <sheet state="visible" name="SelectTradeUnexpiredUnsettled1" sheetId="16" r:id="rId18"/>
  </sheets>
  <definedNames/>
  <calcPr/>
</workbook>
</file>

<file path=xl/sharedStrings.xml><?xml version="1.0" encoding="utf-8"?>
<sst xmlns="http://schemas.openxmlformats.org/spreadsheetml/2006/main" count="1300" uniqueCount="64">
  <si>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</si>
  <si>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</si>
  <si>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</si>
  <si>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</si>
  <si>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</si>
  <si>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</si>
  <si>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</si>
  <si>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</si>
  <si>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</si>
  <si>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</si>
  <si>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</si>
  <si>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</si>
  <si>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</si>
  <si>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</si>
  <si>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</si>
  <si>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</si>
  <si>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</si>
  <si>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TradingTicket</t>
  </si>
  <si>
    <t>CreateDoneAwayOrder</t>
  </si>
  <si>
    <t>AAPL</t>
  </si>
  <si>
    <t>Buy</t>
  </si>
  <si>
    <t>Allocation1</t>
  </si>
  <si>
    <t>O:AAPL 23D90.00D21</t>
  </si>
  <si>
    <t>Buy to Open</t>
  </si>
  <si>
    <t>O:AAPL 23P110.00D21</t>
  </si>
  <si>
    <t>MSFT</t>
  </si>
  <si>
    <t>Allocation2</t>
  </si>
  <si>
    <t>O:MSFT 14C36.00</t>
  </si>
  <si>
    <t>O:MSFT 12X31.00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</si>
  <si>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</si>
  <si>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</si>
  <si>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</si>
  <si>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</si>
  <si>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</si>
  <si>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</si>
  <si>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</si>
  <si>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</si>
  <si>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</t>
  </si>
  <si>
    <t>GetDataAllocation</t>
  </si>
  <si>
    <t>CheckAllocatedGroups</t>
  </si>
  <si>
    <t>Manual</t>
  </si>
  <si>
    <t>Equity</t>
  </si>
  <si>
    <t>MS</t>
  </si>
  <si>
    <t>USD</t>
  </si>
  <si>
    <t>NASDAQ</t>
  </si>
  <si>
    <t>US</t>
  </si>
  <si>
    <t>Sell</t>
  </si>
  <si>
    <t>EquityOption</t>
  </si>
  <si>
    <t>OPTS</t>
  </si>
  <si>
    <t>Sell to Close</t>
  </si>
  <si>
    <t>CheckAllocatedTaxlots</t>
  </si>
  <si>
    <t/>
  </si>
  <si>
    <t>PortfolioManagement</t>
  </si>
  <si>
    <t>CheckPortfolioManagement</t>
  </si>
  <si>
    <t>NewMF1</t>
  </si>
  <si>
    <t>Long</t>
  </si>
  <si>
    <t>Equity General</t>
  </si>
  <si>
    <t>Information Technology</t>
  </si>
  <si>
    <t>jpearce</t>
  </si>
  <si>
    <t>NewMF</t>
  </si>
  <si>
    <t>FIMAT</t>
  </si>
  <si>
    <t>New Hedge</t>
  </si>
  <si>
    <t>Small Cap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</si>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</sst>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9.0"/>
      <color rgb="FF000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6" fontId="15" numFmtId="0" xfId="0" applyAlignment="1" applyBorder="1" applyFill="1" applyFont="1">
      <alignment horizontal="right" readingOrder="0" shrinkToFit="0" wrapText="0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1100.0</v>
      </c>
      <c r="E6" s="35"/>
      <c r="F6" s="35" t="s">
        <v>21</v>
      </c>
      <c r="G6" s="32"/>
      <c r="H6" s="32"/>
      <c r="I6" s="32"/>
      <c r="J6" s="36">
        <v>1.0</v>
      </c>
      <c r="K6" s="32"/>
      <c r="L6" s="32"/>
      <c r="M6" s="32"/>
      <c r="N6" s="37">
        <f t="shared" ref="N6:N7" si="1">TODAY()-8</f>
        <v>45133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22</v>
      </c>
      <c r="C7" s="39" t="s">
        <v>23</v>
      </c>
      <c r="D7" s="40">
        <v>10.0</v>
      </c>
      <c r="E7" s="38"/>
      <c r="F7" s="35" t="s">
        <v>21</v>
      </c>
      <c r="G7" s="38"/>
      <c r="H7" s="38"/>
      <c r="I7" s="38"/>
      <c r="J7" s="40">
        <v>10.0</v>
      </c>
      <c r="K7" s="38"/>
      <c r="L7" s="38"/>
      <c r="M7" s="38"/>
      <c r="N7" s="41">
        <f t="shared" si="1"/>
        <v>45133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24</v>
      </c>
      <c r="C8" s="39" t="s">
        <v>23</v>
      </c>
      <c r="D8" s="40">
        <v>10.0</v>
      </c>
      <c r="E8" s="38"/>
      <c r="F8" s="35" t="s">
        <v>21</v>
      </c>
      <c r="G8" s="38"/>
      <c r="H8" s="38"/>
      <c r="I8" s="38"/>
      <c r="J8" s="40">
        <v>10.0</v>
      </c>
      <c r="K8" s="38"/>
      <c r="L8" s="38"/>
      <c r="M8" s="38"/>
      <c r="N8" s="41">
        <f>TODAY()-7</f>
        <v>45134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2" t="s">
        <v>25</v>
      </c>
      <c r="C9" s="39" t="s">
        <v>20</v>
      </c>
      <c r="D9" s="40">
        <v>1100.0</v>
      </c>
      <c r="E9" s="39"/>
      <c r="F9" s="35" t="s">
        <v>26</v>
      </c>
      <c r="G9" s="39"/>
      <c r="H9" s="39"/>
      <c r="I9" s="39"/>
      <c r="J9" s="40">
        <v>1.0</v>
      </c>
      <c r="K9" s="39"/>
      <c r="L9" s="39"/>
      <c r="M9" s="39"/>
      <c r="N9" s="41">
        <f t="shared" ref="N9:N10" si="2">TODAY()-8</f>
        <v>45133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43" t="s">
        <v>27</v>
      </c>
      <c r="C10" s="39" t="s">
        <v>23</v>
      </c>
      <c r="D10" s="40">
        <v>10.0</v>
      </c>
      <c r="E10" s="39"/>
      <c r="F10" s="35" t="s">
        <v>26</v>
      </c>
      <c r="G10" s="39"/>
      <c r="H10" s="39"/>
      <c r="I10" s="39"/>
      <c r="J10" s="40">
        <v>10.0</v>
      </c>
      <c r="K10" s="39"/>
      <c r="L10" s="39"/>
      <c r="M10" s="39"/>
      <c r="N10" s="41">
        <f t="shared" si="2"/>
        <v>45133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39"/>
      <c r="B11" s="43" t="s">
        <v>28</v>
      </c>
      <c r="C11" s="39" t="s">
        <v>29</v>
      </c>
      <c r="D11" s="40">
        <v>10.0</v>
      </c>
      <c r="E11" s="39"/>
      <c r="F11" s="35" t="s">
        <v>26</v>
      </c>
      <c r="G11" s="39"/>
      <c r="H11" s="39"/>
      <c r="I11" s="39"/>
      <c r="J11" s="40">
        <v>10.0</v>
      </c>
      <c r="K11" s="39"/>
      <c r="L11" s="39"/>
      <c r="M11" s="39"/>
      <c r="N11" s="41">
        <f>TODAY()-7</f>
        <v>45134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1">
        <f>TODAY()-1</f>
        <v>45140</v>
      </c>
      <c r="C6" s="41">
        <f>TODAY()</f>
        <v>45141</v>
      </c>
      <c r="D6" s="4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19</v>
      </c>
      <c r="C6" s="40">
        <v>100.0</v>
      </c>
      <c r="D6" s="4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42" t="s">
        <v>25</v>
      </c>
      <c r="C7" s="40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34</v>
      </c>
      <c r="C6" s="45" t="s">
        <v>35</v>
      </c>
      <c r="D6" s="45">
        <f>TODAY()</f>
        <v>45141</v>
      </c>
      <c r="E6" s="42" t="s">
        <v>21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6" t="s">
        <v>22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46" t="s">
        <v>24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34</v>
      </c>
      <c r="C6" s="45" t="s">
        <v>35</v>
      </c>
      <c r="D6" s="45">
        <f>TODAY()</f>
        <v>45141</v>
      </c>
      <c r="E6" s="42" t="s">
        <v>26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34</v>
      </c>
      <c r="C6" s="45" t="s">
        <v>35</v>
      </c>
      <c r="D6" s="45">
        <f>TODAY()</f>
        <v>45141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47" t="s">
        <v>21</v>
      </c>
      <c r="C6" s="8"/>
      <c r="D6" s="8"/>
      <c r="E6" s="48">
        <v>1100.0</v>
      </c>
      <c r="F6" s="47" t="s">
        <v>40</v>
      </c>
      <c r="G6" s="47" t="s">
        <v>41</v>
      </c>
      <c r="H6" s="8"/>
      <c r="I6" s="8"/>
      <c r="J6" s="8"/>
      <c r="K6" s="8"/>
      <c r="L6" s="8"/>
      <c r="M6" s="8"/>
      <c r="N6" s="8"/>
      <c r="O6" s="8" t="s">
        <v>42</v>
      </c>
      <c r="V6" s="47"/>
      <c r="Z6" t="s">
        <v>43</v>
      </c>
      <c r="AD6" s="47" t="s">
        <v>44</v>
      </c>
      <c r="BM6" t="s">
        <v>43</v>
      </c>
      <c r="BO6" s="47" t="s">
        <v>20</v>
      </c>
      <c r="BT6" s="47" t="s">
        <v>19</v>
      </c>
      <c r="CK6" t="s">
        <v>45</v>
      </c>
      <c r="CM6" s="47" t="s">
        <v>19</v>
      </c>
    </row>
    <row r="7" ht="15.75" customHeight="1">
      <c r="A7" s="8"/>
      <c r="B7" s="47" t="s">
        <v>26</v>
      </c>
      <c r="C7" s="8"/>
      <c r="D7" s="8"/>
      <c r="E7" s="48">
        <v>1100.0</v>
      </c>
      <c r="F7" s="47" t="s">
        <v>40</v>
      </c>
      <c r="G7" s="47" t="s">
        <v>41</v>
      </c>
      <c r="H7" s="8"/>
      <c r="I7" s="8"/>
      <c r="J7" s="8"/>
      <c r="K7" s="8"/>
      <c r="L7" s="8"/>
      <c r="M7" s="8"/>
      <c r="N7" s="8"/>
      <c r="O7" s="8" t="s">
        <v>42</v>
      </c>
      <c r="V7" s="47"/>
      <c r="Z7" t="s">
        <v>43</v>
      </c>
      <c r="AD7" s="47" t="s">
        <v>44</v>
      </c>
      <c r="BM7" t="s">
        <v>43</v>
      </c>
      <c r="BO7" s="47" t="s">
        <v>20</v>
      </c>
      <c r="BT7" s="47" t="s">
        <v>25</v>
      </c>
      <c r="CK7" t="s">
        <v>45</v>
      </c>
      <c r="CM7" s="47" t="s">
        <v>25</v>
      </c>
    </row>
    <row r="8" ht="15.75" customHeight="1">
      <c r="A8" s="8"/>
      <c r="B8" s="47" t="s">
        <v>21</v>
      </c>
      <c r="C8" s="8"/>
      <c r="D8" s="8"/>
      <c r="E8" s="48">
        <v>1000.0</v>
      </c>
      <c r="F8" s="47" t="s">
        <v>40</v>
      </c>
      <c r="G8" s="47" t="s">
        <v>41</v>
      </c>
      <c r="H8" s="8"/>
      <c r="I8" s="8"/>
      <c r="J8" s="8"/>
      <c r="K8" s="8"/>
      <c r="L8" s="8"/>
      <c r="M8" s="8"/>
      <c r="N8" s="8"/>
      <c r="O8" s="8" t="s">
        <v>42</v>
      </c>
      <c r="V8" s="47"/>
      <c r="Z8" t="s">
        <v>43</v>
      </c>
      <c r="AD8" s="47" t="s">
        <v>44</v>
      </c>
      <c r="BM8" t="s">
        <v>43</v>
      </c>
      <c r="BO8" s="47" t="s">
        <v>46</v>
      </c>
      <c r="BT8" s="47" t="s">
        <v>19</v>
      </c>
      <c r="CK8" t="s">
        <v>45</v>
      </c>
      <c r="CM8" s="47" t="s">
        <v>19</v>
      </c>
    </row>
    <row r="9" ht="15.75" customHeight="1">
      <c r="A9" s="8"/>
      <c r="B9" s="47" t="s">
        <v>21</v>
      </c>
      <c r="C9" s="8"/>
      <c r="D9" s="8"/>
      <c r="E9" s="48">
        <v>1000.0</v>
      </c>
      <c r="F9" s="47" t="s">
        <v>40</v>
      </c>
      <c r="G9" s="47" t="s">
        <v>41</v>
      </c>
      <c r="H9" s="8"/>
      <c r="I9" s="8"/>
      <c r="J9" s="8"/>
      <c r="K9" s="8"/>
      <c r="L9" s="8"/>
      <c r="M9" s="8"/>
      <c r="N9" s="8"/>
      <c r="O9" s="8" t="s">
        <v>42</v>
      </c>
      <c r="V9" s="47"/>
      <c r="Z9" t="s">
        <v>43</v>
      </c>
      <c r="AD9" s="47" t="s">
        <v>44</v>
      </c>
      <c r="BM9" t="s">
        <v>43</v>
      </c>
      <c r="BO9" s="47" t="s">
        <v>20</v>
      </c>
      <c r="BT9" s="47" t="s">
        <v>19</v>
      </c>
      <c r="CK9" t="s">
        <v>45</v>
      </c>
      <c r="CM9" s="47" t="s">
        <v>19</v>
      </c>
    </row>
    <row r="10" ht="15.75" customHeight="1">
      <c r="A10" s="8"/>
      <c r="B10" s="47" t="s">
        <v>21</v>
      </c>
      <c r="C10" s="8"/>
      <c r="D10" s="8"/>
      <c r="E10" s="49">
        <v>10.0</v>
      </c>
      <c r="F10" s="47" t="s">
        <v>40</v>
      </c>
      <c r="G10" s="47" t="s">
        <v>47</v>
      </c>
      <c r="H10" s="8"/>
      <c r="I10" s="8"/>
      <c r="J10" s="8"/>
      <c r="K10" s="8"/>
      <c r="L10" s="8"/>
      <c r="M10" s="8"/>
      <c r="N10" s="8"/>
      <c r="O10" s="8" t="s">
        <v>42</v>
      </c>
      <c r="V10" s="47"/>
      <c r="Z10" t="s">
        <v>43</v>
      </c>
      <c r="AD10" s="47" t="s">
        <v>48</v>
      </c>
      <c r="BM10" t="s">
        <v>43</v>
      </c>
      <c r="BO10" s="47" t="s">
        <v>23</v>
      </c>
      <c r="BT10" s="47" t="s">
        <v>24</v>
      </c>
      <c r="CK10" t="s">
        <v>45</v>
      </c>
      <c r="CM10" s="47" t="s">
        <v>19</v>
      </c>
    </row>
    <row r="11" ht="15.75" customHeight="1">
      <c r="A11" s="8"/>
      <c r="B11" s="47" t="s">
        <v>21</v>
      </c>
      <c r="C11" s="8"/>
      <c r="D11" s="8"/>
      <c r="E11" s="49">
        <v>10.0</v>
      </c>
      <c r="F11" s="47" t="s">
        <v>40</v>
      </c>
      <c r="G11" s="47" t="s">
        <v>47</v>
      </c>
      <c r="H11" s="8"/>
      <c r="I11" s="8"/>
      <c r="J11" s="8"/>
      <c r="K11" s="8"/>
      <c r="L11" s="8"/>
      <c r="M11" s="8"/>
      <c r="N11" s="8"/>
      <c r="O11" s="8" t="s">
        <v>42</v>
      </c>
      <c r="V11" s="47"/>
      <c r="Z11" t="s">
        <v>43</v>
      </c>
      <c r="AD11" s="47" t="s">
        <v>48</v>
      </c>
      <c r="BM11" t="s">
        <v>43</v>
      </c>
      <c r="BO11" s="47" t="s">
        <v>49</v>
      </c>
      <c r="BT11" s="47" t="s">
        <v>22</v>
      </c>
      <c r="CK11" t="s">
        <v>45</v>
      </c>
      <c r="CM11" s="47" t="s">
        <v>19</v>
      </c>
    </row>
    <row r="12" ht="15.75" customHeight="1">
      <c r="A12" s="8"/>
      <c r="B12" s="47" t="s">
        <v>26</v>
      </c>
      <c r="C12" s="8"/>
      <c r="D12" s="8"/>
      <c r="E12" s="49">
        <v>10.0</v>
      </c>
      <c r="F12" s="47" t="s">
        <v>40</v>
      </c>
      <c r="G12" s="47" t="s">
        <v>47</v>
      </c>
      <c r="H12" s="8"/>
      <c r="I12" s="8"/>
      <c r="J12" s="8"/>
      <c r="K12" s="8"/>
      <c r="L12" s="8"/>
      <c r="M12" s="8"/>
      <c r="N12" s="8"/>
      <c r="O12" s="8" t="s">
        <v>42</v>
      </c>
      <c r="V12" s="47"/>
      <c r="Z12" t="s">
        <v>43</v>
      </c>
      <c r="AD12" s="47" t="s">
        <v>48</v>
      </c>
      <c r="BM12" t="s">
        <v>43</v>
      </c>
      <c r="BO12" s="47" t="s">
        <v>29</v>
      </c>
      <c r="BT12" s="47" t="s">
        <v>28</v>
      </c>
      <c r="CK12" t="s">
        <v>45</v>
      </c>
      <c r="CM12" s="47" t="s">
        <v>25</v>
      </c>
    </row>
    <row r="13" ht="15.75" customHeight="1">
      <c r="A13" s="8"/>
      <c r="B13" s="47" t="s">
        <v>21</v>
      </c>
      <c r="C13" s="8"/>
      <c r="D13" s="8"/>
      <c r="E13" s="49">
        <v>10.0</v>
      </c>
      <c r="F13" s="47" t="s">
        <v>40</v>
      </c>
      <c r="G13" s="47" t="s">
        <v>47</v>
      </c>
      <c r="H13" s="8"/>
      <c r="I13" s="8"/>
      <c r="J13" s="8"/>
      <c r="K13" s="8"/>
      <c r="L13" s="8"/>
      <c r="M13" s="8"/>
      <c r="N13" s="8"/>
      <c r="O13" s="8" t="s">
        <v>42</v>
      </c>
      <c r="V13" s="47"/>
      <c r="Z13" t="s">
        <v>43</v>
      </c>
      <c r="AD13" s="47" t="s">
        <v>48</v>
      </c>
      <c r="BM13" t="s">
        <v>43</v>
      </c>
      <c r="BO13" s="47" t="s">
        <v>23</v>
      </c>
      <c r="BT13" s="47" t="s">
        <v>22</v>
      </c>
      <c r="CK13" t="s">
        <v>45</v>
      </c>
      <c r="CM13" s="47" t="s">
        <v>19</v>
      </c>
    </row>
    <row r="14" ht="15.75" customHeight="1">
      <c r="A14" s="8"/>
      <c r="B14" s="47" t="s">
        <v>26</v>
      </c>
      <c r="C14" s="8"/>
      <c r="D14" s="8"/>
      <c r="E14" s="49">
        <v>10.0</v>
      </c>
      <c r="F14" s="47" t="s">
        <v>40</v>
      </c>
      <c r="G14" s="47" t="s">
        <v>47</v>
      </c>
      <c r="H14" s="8"/>
      <c r="I14" s="8"/>
      <c r="J14" s="8"/>
      <c r="K14" s="8"/>
      <c r="L14" s="8"/>
      <c r="M14" s="8"/>
      <c r="N14" s="8"/>
      <c r="O14" s="8" t="s">
        <v>42</v>
      </c>
      <c r="V14" s="47"/>
      <c r="Z14" t="s">
        <v>43</v>
      </c>
      <c r="AD14" s="47" t="s">
        <v>48</v>
      </c>
      <c r="BM14" t="s">
        <v>43</v>
      </c>
      <c r="BO14" s="47" t="s">
        <v>23</v>
      </c>
      <c r="BT14" s="47" t="s">
        <v>27</v>
      </c>
      <c r="CK14" t="s">
        <v>45</v>
      </c>
      <c r="CM14" s="47" t="s">
        <v>25</v>
      </c>
    </row>
    <row r="15" ht="15.75" customHeight="1">
      <c r="A15" s="8"/>
      <c r="B15" s="47" t="s">
        <v>21</v>
      </c>
      <c r="C15" s="8"/>
      <c r="D15" s="8"/>
      <c r="E15" s="49">
        <v>10.0</v>
      </c>
      <c r="F15" s="47" t="s">
        <v>40</v>
      </c>
      <c r="G15" s="47" t="s">
        <v>47</v>
      </c>
      <c r="H15" s="8"/>
      <c r="I15" s="8"/>
      <c r="J15" s="8"/>
      <c r="K15" s="8"/>
      <c r="L15" s="8"/>
      <c r="M15" s="8"/>
      <c r="N15" s="8"/>
      <c r="O15" s="8" t="s">
        <v>42</v>
      </c>
      <c r="V15" s="47"/>
      <c r="Z15" t="s">
        <v>43</v>
      </c>
      <c r="AD15" s="47" t="s">
        <v>48</v>
      </c>
      <c r="BM15" t="s">
        <v>43</v>
      </c>
      <c r="BO15" s="47" t="s">
        <v>49</v>
      </c>
      <c r="BT15" s="47" t="s">
        <v>24</v>
      </c>
      <c r="CK15" t="s">
        <v>45</v>
      </c>
      <c r="CM15" s="47" t="s">
        <v>19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 t="s">
        <v>51</v>
      </c>
      <c r="B6" s="48">
        <v>1114.0006</v>
      </c>
      <c r="C6" s="48">
        <v>1114.0006</v>
      </c>
      <c r="D6" s="48">
        <v>1100.0</v>
      </c>
      <c r="E6" s="4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FA6" t="s">
        <v>51</v>
      </c>
      <c r="FB6" t="s">
        <v>51</v>
      </c>
      <c r="FC6" t="s">
        <v>51</v>
      </c>
      <c r="FJ6" t="s">
        <v>51</v>
      </c>
      <c r="FK6" t="s">
        <v>51</v>
      </c>
      <c r="FL6" t="s">
        <v>51</v>
      </c>
      <c r="FM6" t="s">
        <v>51</v>
      </c>
      <c r="FN6" t="s">
        <v>51</v>
      </c>
      <c r="FO6" t="s">
        <v>51</v>
      </c>
      <c r="FP6" t="s">
        <v>51</v>
      </c>
      <c r="FQ6" t="s">
        <v>51</v>
      </c>
    </row>
    <row r="7" ht="15.75" customHeight="1">
      <c r="A7" s="8" t="s">
        <v>51</v>
      </c>
      <c r="B7" s="48">
        <v>1114.0006</v>
      </c>
      <c r="C7" s="48">
        <v>1114.0006</v>
      </c>
      <c r="D7" s="48">
        <v>1100.0</v>
      </c>
      <c r="E7" s="48">
        <v>1100.0</v>
      </c>
      <c r="F7" s="8"/>
      <c r="G7" s="8"/>
      <c r="H7" s="8"/>
      <c r="I7" s="8"/>
      <c r="J7" s="8"/>
      <c r="K7" s="8"/>
      <c r="L7" s="8"/>
      <c r="M7" s="8"/>
      <c r="N7" s="8"/>
      <c r="O7" s="8"/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t="s">
        <v>51</v>
      </c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t="s">
        <v>51</v>
      </c>
      <c r="BK7" t="s">
        <v>51</v>
      </c>
      <c r="BL7" t="s">
        <v>51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A7" t="s">
        <v>51</v>
      </c>
      <c r="CB7" t="s">
        <v>51</v>
      </c>
      <c r="CC7" t="s">
        <v>51</v>
      </c>
      <c r="CD7" t="s">
        <v>51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51</v>
      </c>
      <c r="CK7" t="s">
        <v>51</v>
      </c>
      <c r="CL7" t="s">
        <v>51</v>
      </c>
      <c r="CM7" t="s">
        <v>51</v>
      </c>
      <c r="CN7" t="s">
        <v>51</v>
      </c>
      <c r="CO7" t="s">
        <v>51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FA7" t="s">
        <v>51</v>
      </c>
      <c r="FB7" t="s">
        <v>51</v>
      </c>
      <c r="FC7" t="s">
        <v>51</v>
      </c>
      <c r="FJ7" t="s">
        <v>51</v>
      </c>
      <c r="FK7" t="s">
        <v>51</v>
      </c>
      <c r="FL7" t="s">
        <v>51</v>
      </c>
      <c r="FM7" t="s">
        <v>51</v>
      </c>
      <c r="FN7" t="s">
        <v>51</v>
      </c>
      <c r="FO7" t="s">
        <v>51</v>
      </c>
      <c r="FP7" t="s">
        <v>51</v>
      </c>
      <c r="FQ7" t="s">
        <v>51</v>
      </c>
    </row>
    <row r="8" ht="15.75" customHeight="1">
      <c r="A8" s="8" t="s">
        <v>51</v>
      </c>
      <c r="B8" s="48">
        <v>110000.0</v>
      </c>
      <c r="C8" s="48">
        <v>110000.0</v>
      </c>
      <c r="D8" s="48">
        <v>110000.0</v>
      </c>
      <c r="E8" s="48">
        <v>110000.0</v>
      </c>
      <c r="F8" s="8"/>
      <c r="G8" s="8"/>
      <c r="H8" s="8"/>
      <c r="I8" s="8"/>
      <c r="J8" s="8"/>
      <c r="K8" s="8"/>
      <c r="L8" s="8"/>
      <c r="M8" s="8"/>
      <c r="N8" s="8"/>
      <c r="O8" s="8"/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t="s">
        <v>51</v>
      </c>
      <c r="BK8" t="s">
        <v>51</v>
      </c>
      <c r="BL8" t="s">
        <v>51</v>
      </c>
      <c r="BM8" t="s">
        <v>51</v>
      </c>
      <c r="BN8" t="s">
        <v>51</v>
      </c>
      <c r="BO8" t="s">
        <v>51</v>
      </c>
      <c r="BP8" t="s">
        <v>51</v>
      </c>
      <c r="BQ8" t="s">
        <v>51</v>
      </c>
      <c r="BR8" t="s">
        <v>51</v>
      </c>
      <c r="BS8" t="s">
        <v>51</v>
      </c>
      <c r="BT8" t="s">
        <v>51</v>
      </c>
      <c r="BU8" t="s">
        <v>51</v>
      </c>
      <c r="BV8" t="s">
        <v>51</v>
      </c>
      <c r="BW8" t="s">
        <v>51</v>
      </c>
      <c r="BX8" t="s">
        <v>51</v>
      </c>
      <c r="BY8" t="s">
        <v>51</v>
      </c>
      <c r="BZ8" t="s">
        <v>51</v>
      </c>
      <c r="CA8" t="s">
        <v>51</v>
      </c>
      <c r="CB8" t="s">
        <v>51</v>
      </c>
      <c r="CC8" t="s">
        <v>51</v>
      </c>
      <c r="CD8" t="s">
        <v>51</v>
      </c>
      <c r="CE8" t="s">
        <v>51</v>
      </c>
      <c r="CF8" t="s">
        <v>51</v>
      </c>
      <c r="CG8" t="s">
        <v>51</v>
      </c>
      <c r="CH8" t="s">
        <v>51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FA8" t="s">
        <v>51</v>
      </c>
      <c r="FB8" t="s">
        <v>51</v>
      </c>
      <c r="FC8" t="s">
        <v>51</v>
      </c>
      <c r="FJ8" t="s">
        <v>51</v>
      </c>
      <c r="FK8" t="s">
        <v>51</v>
      </c>
      <c r="FL8" t="s">
        <v>51</v>
      </c>
      <c r="FM8" t="s">
        <v>51</v>
      </c>
      <c r="FN8" t="s">
        <v>51</v>
      </c>
      <c r="FO8" t="s">
        <v>51</v>
      </c>
      <c r="FP8" t="s">
        <v>51</v>
      </c>
      <c r="FQ8" t="s">
        <v>51</v>
      </c>
    </row>
    <row r="9" ht="15.75" customHeight="1">
      <c r="A9" s="8" t="s">
        <v>51</v>
      </c>
      <c r="B9" s="48">
        <v>90000.0</v>
      </c>
      <c r="C9" s="48">
        <v>90000.0</v>
      </c>
      <c r="D9" s="48">
        <v>90000.0</v>
      </c>
      <c r="E9" s="48">
        <v>90000.0</v>
      </c>
      <c r="F9" s="8"/>
      <c r="G9" s="8"/>
      <c r="H9" s="8"/>
      <c r="I9" s="8"/>
      <c r="J9" s="8"/>
      <c r="K9" s="8"/>
      <c r="L9" s="8"/>
      <c r="M9" s="8"/>
      <c r="N9" s="8"/>
      <c r="O9" s="8"/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51</v>
      </c>
      <c r="BA9" t="s">
        <v>51</v>
      </c>
      <c r="BB9" t="s">
        <v>51</v>
      </c>
      <c r="BC9" t="s">
        <v>51</v>
      </c>
      <c r="BD9" t="s">
        <v>51</v>
      </c>
      <c r="BE9" t="s">
        <v>51</v>
      </c>
      <c r="BF9" t="s">
        <v>51</v>
      </c>
      <c r="BG9" t="s">
        <v>51</v>
      </c>
      <c r="BH9" t="s">
        <v>51</v>
      </c>
      <c r="BI9" t="s">
        <v>51</v>
      </c>
      <c r="BJ9" t="s">
        <v>51</v>
      </c>
      <c r="BK9" t="s">
        <v>51</v>
      </c>
      <c r="BL9" t="s">
        <v>51</v>
      </c>
      <c r="BM9" t="s">
        <v>51</v>
      </c>
      <c r="BN9" t="s">
        <v>51</v>
      </c>
      <c r="BO9" t="s">
        <v>51</v>
      </c>
      <c r="BP9" t="s">
        <v>51</v>
      </c>
      <c r="BQ9" t="s">
        <v>51</v>
      </c>
      <c r="BR9" t="s">
        <v>51</v>
      </c>
      <c r="BS9" t="s">
        <v>51</v>
      </c>
      <c r="BT9" t="s">
        <v>51</v>
      </c>
      <c r="BU9" t="s">
        <v>51</v>
      </c>
      <c r="BV9" t="s">
        <v>51</v>
      </c>
      <c r="BW9" t="s">
        <v>51</v>
      </c>
      <c r="BX9" t="s">
        <v>51</v>
      </c>
      <c r="BY9" t="s">
        <v>51</v>
      </c>
      <c r="BZ9" t="s">
        <v>51</v>
      </c>
      <c r="CA9" t="s">
        <v>51</v>
      </c>
      <c r="CB9" t="s">
        <v>51</v>
      </c>
      <c r="CC9" t="s">
        <v>51</v>
      </c>
      <c r="CD9" t="s">
        <v>51</v>
      </c>
      <c r="CE9" t="s">
        <v>51</v>
      </c>
      <c r="CF9" t="s">
        <v>51</v>
      </c>
      <c r="CG9" t="s">
        <v>51</v>
      </c>
      <c r="CH9" t="s">
        <v>51</v>
      </c>
      <c r="CI9" t="s">
        <v>51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51</v>
      </c>
      <c r="CQ9" t="s">
        <v>51</v>
      </c>
      <c r="CR9" t="s">
        <v>51</v>
      </c>
      <c r="CS9" t="s">
        <v>51</v>
      </c>
      <c r="CT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FA9" t="s">
        <v>51</v>
      </c>
      <c r="FB9" t="s">
        <v>51</v>
      </c>
      <c r="FC9" t="s">
        <v>51</v>
      </c>
      <c r="FJ9" t="s">
        <v>51</v>
      </c>
      <c r="FK9" t="s">
        <v>51</v>
      </c>
      <c r="FL9" t="s">
        <v>51</v>
      </c>
      <c r="FM9" t="s">
        <v>51</v>
      </c>
      <c r="FN9" t="s">
        <v>51</v>
      </c>
      <c r="FO9" t="s">
        <v>51</v>
      </c>
      <c r="FP9" t="s">
        <v>51</v>
      </c>
      <c r="FQ9" t="s">
        <v>51</v>
      </c>
    </row>
    <row r="10" ht="15.75" customHeight="1">
      <c r="A10" s="8" t="s">
        <v>51</v>
      </c>
      <c r="B10" s="48">
        <v>10000.0</v>
      </c>
      <c r="C10" s="48">
        <v>10000.0</v>
      </c>
      <c r="D10" s="48">
        <v>10000.0</v>
      </c>
      <c r="E10" s="48">
        <v>10000.0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  <c r="AY10" t="s">
        <v>51</v>
      </c>
      <c r="AZ10" t="s">
        <v>51</v>
      </c>
      <c r="BA10" t="s">
        <v>51</v>
      </c>
      <c r="BB10" t="s">
        <v>51</v>
      </c>
      <c r="BC10" t="s">
        <v>51</v>
      </c>
      <c r="BD10" t="s">
        <v>51</v>
      </c>
      <c r="BE10" t="s">
        <v>51</v>
      </c>
      <c r="BF10" t="s">
        <v>51</v>
      </c>
      <c r="BG10" t="s">
        <v>51</v>
      </c>
      <c r="BH10" t="s">
        <v>51</v>
      </c>
      <c r="BI10" t="s">
        <v>51</v>
      </c>
      <c r="BJ10" t="s">
        <v>51</v>
      </c>
      <c r="BK10" t="s">
        <v>51</v>
      </c>
      <c r="BL10" t="s">
        <v>51</v>
      </c>
      <c r="BM10" t="s">
        <v>51</v>
      </c>
      <c r="BN10" t="s">
        <v>51</v>
      </c>
      <c r="BO10" t="s">
        <v>51</v>
      </c>
      <c r="BP10" t="s">
        <v>51</v>
      </c>
      <c r="BQ10" t="s">
        <v>51</v>
      </c>
      <c r="BR10" t="s">
        <v>51</v>
      </c>
      <c r="BS10" t="s">
        <v>51</v>
      </c>
      <c r="BT10" t="s">
        <v>51</v>
      </c>
      <c r="BU10" t="s">
        <v>51</v>
      </c>
      <c r="BV10" t="s">
        <v>51</v>
      </c>
      <c r="BW10" t="s">
        <v>51</v>
      </c>
      <c r="BX10" t="s">
        <v>51</v>
      </c>
      <c r="BY10" t="s">
        <v>51</v>
      </c>
      <c r="BZ10" t="s">
        <v>51</v>
      </c>
      <c r="CA10" t="s">
        <v>51</v>
      </c>
      <c r="CB10" t="s">
        <v>51</v>
      </c>
      <c r="CC10" t="s">
        <v>51</v>
      </c>
      <c r="CD10" t="s">
        <v>51</v>
      </c>
      <c r="CE10" t="s">
        <v>51</v>
      </c>
      <c r="CF10" t="s">
        <v>51</v>
      </c>
      <c r="CG10" t="s">
        <v>51</v>
      </c>
      <c r="CH10" t="s">
        <v>51</v>
      </c>
      <c r="CI10" t="s">
        <v>51</v>
      </c>
      <c r="CJ10" t="s">
        <v>51</v>
      </c>
      <c r="CK10" t="s">
        <v>51</v>
      </c>
      <c r="CL10" t="s">
        <v>51</v>
      </c>
      <c r="CM10" t="s">
        <v>51</v>
      </c>
      <c r="CN10" t="s">
        <v>51</v>
      </c>
      <c r="CO10" t="s">
        <v>51</v>
      </c>
      <c r="CP10" t="s">
        <v>51</v>
      </c>
      <c r="CQ10" t="s">
        <v>51</v>
      </c>
      <c r="CR10" t="s">
        <v>51</v>
      </c>
      <c r="CS10" t="s">
        <v>51</v>
      </c>
      <c r="CT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FA10" t="s">
        <v>51</v>
      </c>
      <c r="FB10" t="s">
        <v>51</v>
      </c>
      <c r="FC10" t="s">
        <v>51</v>
      </c>
      <c r="FJ10" t="s">
        <v>51</v>
      </c>
      <c r="FK10" t="s">
        <v>51</v>
      </c>
      <c r="FL10" t="s">
        <v>51</v>
      </c>
      <c r="FM10" t="s">
        <v>51</v>
      </c>
      <c r="FN10" t="s">
        <v>51</v>
      </c>
      <c r="FO10" t="s">
        <v>51</v>
      </c>
      <c r="FP10" t="s">
        <v>51</v>
      </c>
      <c r="FQ10" t="s">
        <v>51</v>
      </c>
    </row>
    <row r="11" ht="15.75" customHeight="1">
      <c r="A11" s="8" t="s">
        <v>51</v>
      </c>
      <c r="B11" s="49">
        <v>0.0</v>
      </c>
      <c r="C11" s="49">
        <v>0.0</v>
      </c>
      <c r="D11" s="49">
        <v>0.0</v>
      </c>
      <c r="E11" s="49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  <c r="AY11" t="s">
        <v>51</v>
      </c>
      <c r="AZ11" t="s">
        <v>51</v>
      </c>
      <c r="BA11" t="s">
        <v>51</v>
      </c>
      <c r="BB11" t="s">
        <v>51</v>
      </c>
      <c r="BC11" t="s">
        <v>51</v>
      </c>
      <c r="BD11" t="s">
        <v>51</v>
      </c>
      <c r="BE11" t="s">
        <v>51</v>
      </c>
      <c r="BF11" t="s">
        <v>51</v>
      </c>
      <c r="BG11" t="s">
        <v>51</v>
      </c>
      <c r="BH11" t="s">
        <v>51</v>
      </c>
      <c r="BI11" t="s">
        <v>51</v>
      </c>
      <c r="BJ11" t="s">
        <v>51</v>
      </c>
      <c r="BK11" t="s">
        <v>51</v>
      </c>
      <c r="BL11" t="s">
        <v>51</v>
      </c>
      <c r="BM11" t="s">
        <v>51</v>
      </c>
      <c r="BN11" t="s">
        <v>51</v>
      </c>
      <c r="BO11" t="s">
        <v>51</v>
      </c>
      <c r="BP11" t="s">
        <v>51</v>
      </c>
      <c r="BQ11" t="s">
        <v>51</v>
      </c>
      <c r="BR11" t="s">
        <v>51</v>
      </c>
      <c r="BS11" t="s">
        <v>51</v>
      </c>
      <c r="BT11" t="s">
        <v>51</v>
      </c>
      <c r="BU11" t="s">
        <v>51</v>
      </c>
      <c r="BV11" t="s">
        <v>51</v>
      </c>
      <c r="BW11" t="s">
        <v>51</v>
      </c>
      <c r="BX11" t="s">
        <v>51</v>
      </c>
      <c r="BY11" t="s">
        <v>51</v>
      </c>
      <c r="BZ11" t="s">
        <v>51</v>
      </c>
      <c r="CA11" t="s">
        <v>51</v>
      </c>
      <c r="CB11" t="s">
        <v>51</v>
      </c>
      <c r="CC11" t="s">
        <v>51</v>
      </c>
      <c r="CD11" t="s">
        <v>51</v>
      </c>
      <c r="CE11" t="s">
        <v>51</v>
      </c>
      <c r="CF11" t="s">
        <v>51</v>
      </c>
      <c r="CG11" t="s">
        <v>51</v>
      </c>
      <c r="CH11" t="s">
        <v>51</v>
      </c>
      <c r="CI11" t="s">
        <v>51</v>
      </c>
      <c r="CJ11" t="s">
        <v>51</v>
      </c>
      <c r="CK11" t="s">
        <v>51</v>
      </c>
      <c r="CL11" t="s">
        <v>51</v>
      </c>
      <c r="CM11" t="s">
        <v>51</v>
      </c>
      <c r="CN11" t="s">
        <v>51</v>
      </c>
      <c r="CO11" t="s">
        <v>51</v>
      </c>
      <c r="CP11" t="s">
        <v>51</v>
      </c>
      <c r="CQ11" t="s">
        <v>51</v>
      </c>
      <c r="CR11" t="s">
        <v>51</v>
      </c>
      <c r="CS11" t="s">
        <v>51</v>
      </c>
      <c r="CT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FA11" t="s">
        <v>51</v>
      </c>
      <c r="FB11" t="s">
        <v>51</v>
      </c>
      <c r="FC11" t="s">
        <v>51</v>
      </c>
      <c r="FJ11" t="s">
        <v>51</v>
      </c>
      <c r="FK11" t="s">
        <v>51</v>
      </c>
      <c r="FL11" t="s">
        <v>51</v>
      </c>
      <c r="FM11" t="s">
        <v>51</v>
      </c>
      <c r="FN11" t="s">
        <v>51</v>
      </c>
      <c r="FO11" t="s">
        <v>51</v>
      </c>
      <c r="FP11" t="s">
        <v>51</v>
      </c>
      <c r="FQ11" t="s">
        <v>51</v>
      </c>
    </row>
    <row r="12" ht="15.75" customHeight="1">
      <c r="A12" s="8" t="s">
        <v>51</v>
      </c>
      <c r="B12" s="48">
        <v>10000.0</v>
      </c>
      <c r="C12" s="48">
        <v>10000.0</v>
      </c>
      <c r="D12" s="48">
        <v>10000.0</v>
      </c>
      <c r="E12" s="48">
        <v>10000.0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  <c r="AY12" t="s">
        <v>51</v>
      </c>
      <c r="AZ12" t="s">
        <v>51</v>
      </c>
      <c r="BA12" t="s">
        <v>51</v>
      </c>
      <c r="BB12" t="s">
        <v>51</v>
      </c>
      <c r="BC12" t="s">
        <v>51</v>
      </c>
      <c r="BD12" t="s">
        <v>51</v>
      </c>
      <c r="BE12" t="s">
        <v>51</v>
      </c>
      <c r="BF12" t="s">
        <v>51</v>
      </c>
      <c r="BG12" t="s">
        <v>51</v>
      </c>
      <c r="BH12" t="s">
        <v>51</v>
      </c>
      <c r="BI12" t="s">
        <v>51</v>
      </c>
      <c r="BJ12" t="s">
        <v>51</v>
      </c>
      <c r="BK12" t="s">
        <v>51</v>
      </c>
      <c r="BL12" t="s">
        <v>51</v>
      </c>
      <c r="BM12" t="s">
        <v>51</v>
      </c>
      <c r="BN12" t="s">
        <v>51</v>
      </c>
      <c r="BO12" t="s">
        <v>51</v>
      </c>
      <c r="BP12" t="s">
        <v>51</v>
      </c>
      <c r="BQ12" t="s">
        <v>51</v>
      </c>
      <c r="BR12" t="s">
        <v>51</v>
      </c>
      <c r="BS12" t="s">
        <v>51</v>
      </c>
      <c r="BT12" t="s">
        <v>51</v>
      </c>
      <c r="BU12" t="s">
        <v>51</v>
      </c>
      <c r="BV12" t="s">
        <v>51</v>
      </c>
      <c r="BW12" t="s">
        <v>51</v>
      </c>
      <c r="BX12" t="s">
        <v>51</v>
      </c>
      <c r="BY12" t="s">
        <v>51</v>
      </c>
      <c r="BZ12" t="s">
        <v>51</v>
      </c>
      <c r="CA12" t="s">
        <v>51</v>
      </c>
      <c r="CB12" t="s">
        <v>51</v>
      </c>
      <c r="CC12" t="s">
        <v>51</v>
      </c>
      <c r="CD12" t="s">
        <v>51</v>
      </c>
      <c r="CE12" t="s">
        <v>51</v>
      </c>
      <c r="CF12" t="s">
        <v>51</v>
      </c>
      <c r="CG12" t="s">
        <v>51</v>
      </c>
      <c r="CH12" t="s">
        <v>51</v>
      </c>
      <c r="CI12" t="s">
        <v>51</v>
      </c>
      <c r="CJ12" t="s">
        <v>51</v>
      </c>
      <c r="CK12" t="s">
        <v>51</v>
      </c>
      <c r="CL12" t="s">
        <v>51</v>
      </c>
      <c r="CM12" t="s">
        <v>51</v>
      </c>
      <c r="CN12" t="s">
        <v>51</v>
      </c>
      <c r="CO12" t="s">
        <v>51</v>
      </c>
      <c r="CP12" t="s">
        <v>51</v>
      </c>
      <c r="CQ12" t="s">
        <v>51</v>
      </c>
      <c r="CR12" t="s">
        <v>51</v>
      </c>
      <c r="CS12" t="s">
        <v>51</v>
      </c>
      <c r="CT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FA12" t="s">
        <v>51</v>
      </c>
      <c r="FB12" t="s">
        <v>51</v>
      </c>
      <c r="FC12" t="s">
        <v>51</v>
      </c>
      <c r="FJ12" t="s">
        <v>51</v>
      </c>
      <c r="FK12" t="s">
        <v>51</v>
      </c>
      <c r="FL12" t="s">
        <v>51</v>
      </c>
      <c r="FM12" t="s">
        <v>51</v>
      </c>
      <c r="FN12" t="s">
        <v>51</v>
      </c>
      <c r="FO12" t="s">
        <v>51</v>
      </c>
      <c r="FP12" t="s">
        <v>51</v>
      </c>
      <c r="FQ12" t="s">
        <v>51</v>
      </c>
    </row>
    <row r="13" ht="15.75" customHeight="1">
      <c r="A13" s="8"/>
      <c r="B13" s="48">
        <v>10000.0</v>
      </c>
      <c r="C13" s="48">
        <v>10000.0</v>
      </c>
      <c r="D13" s="48">
        <v>10000.0</v>
      </c>
      <c r="E13" s="48">
        <v>10000.0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>
        <v>10000.0</v>
      </c>
      <c r="C14" s="48">
        <v>10000.0</v>
      </c>
      <c r="D14" s="48">
        <v>10000.0</v>
      </c>
      <c r="E14" s="48">
        <v>10000.0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9">
        <v>0.0</v>
      </c>
      <c r="C15" s="49">
        <v>0.0</v>
      </c>
      <c r="D15" s="49">
        <v>0.0</v>
      </c>
      <c r="E15" s="49">
        <v>0.0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51</v>
      </c>
      <c r="B6" s="51"/>
      <c r="C6" s="44" t="s">
        <v>25</v>
      </c>
      <c r="D6" s="52">
        <v>1100.0</v>
      </c>
      <c r="E6" s="44" t="s">
        <v>26</v>
      </c>
      <c r="F6" s="44" t="s">
        <v>54</v>
      </c>
      <c r="G6" s="53"/>
      <c r="H6" s="44" t="s">
        <v>55</v>
      </c>
      <c r="I6" s="53"/>
      <c r="J6" s="53"/>
      <c r="K6" s="53"/>
      <c r="L6" s="53"/>
      <c r="M6" s="53"/>
      <c r="N6" s="53"/>
      <c r="O6" s="44"/>
      <c r="P6" s="53">
        <v>100.0</v>
      </c>
      <c r="Q6" s="53"/>
      <c r="R6" s="38" t="s">
        <v>42</v>
      </c>
      <c r="S6" s="38"/>
      <c r="T6" s="38" t="s">
        <v>41</v>
      </c>
      <c r="U6" s="38" t="s">
        <v>45</v>
      </c>
      <c r="V6" s="38" t="s">
        <v>44</v>
      </c>
      <c r="W6" s="38" t="s">
        <v>43</v>
      </c>
      <c r="X6" s="53">
        <v>1.0</v>
      </c>
      <c r="Y6" s="53">
        <v>1.0</v>
      </c>
      <c r="Z6" s="38"/>
      <c r="AA6" s="38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44" t="s">
        <v>20</v>
      </c>
      <c r="AO6" s="38"/>
      <c r="AP6" s="38" t="s">
        <v>55</v>
      </c>
      <c r="AQ6" s="38" t="s">
        <v>25</v>
      </c>
      <c r="AR6" s="53"/>
      <c r="AS6" s="53">
        <v>1.0</v>
      </c>
      <c r="AT6" s="38"/>
      <c r="AU6" s="38"/>
      <c r="AV6" s="53">
        <v>1.0</v>
      </c>
      <c r="AW6" s="53"/>
      <c r="AX6" s="53"/>
      <c r="AY6" s="53"/>
      <c r="AZ6" s="53"/>
      <c r="BA6" s="53"/>
      <c r="BB6" s="53"/>
      <c r="BC6" s="53"/>
      <c r="BD6" s="53"/>
      <c r="BE6" s="38" t="s">
        <v>41</v>
      </c>
      <c r="BF6" s="38" t="s">
        <v>56</v>
      </c>
      <c r="BG6" s="38" t="s">
        <v>57</v>
      </c>
      <c r="BH6" s="38"/>
      <c r="BI6" s="38"/>
      <c r="BJ6" s="53"/>
      <c r="BK6" s="53"/>
      <c r="BL6" s="53"/>
      <c r="BM6" s="53"/>
      <c r="BN6" s="53"/>
      <c r="BO6" s="53"/>
      <c r="BP6" s="53"/>
      <c r="BQ6" s="38" t="s">
        <v>58</v>
      </c>
      <c r="BR6" s="38" t="s">
        <v>42</v>
      </c>
      <c r="BS6" s="53"/>
      <c r="BT6" s="53"/>
      <c r="BU6" s="38" t="s">
        <v>41</v>
      </c>
      <c r="BV6" s="38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4"/>
      <c r="CL6" s="38"/>
      <c r="CM6" s="38"/>
      <c r="CN6" s="53"/>
      <c r="CO6" s="53"/>
      <c r="CP6" s="38"/>
      <c r="CQ6" s="38"/>
      <c r="CR6" s="53"/>
      <c r="CS6" s="53"/>
      <c r="CT6" s="38"/>
      <c r="CU6" s="38"/>
      <c r="CV6" s="38"/>
      <c r="CW6" s="38"/>
      <c r="CX6" s="38"/>
      <c r="CY6" s="38"/>
      <c r="CZ6" s="38"/>
      <c r="DA6" s="53"/>
      <c r="DB6" s="53"/>
      <c r="DC6" s="53"/>
      <c r="DD6" s="53"/>
      <c r="DE6" s="53"/>
      <c r="DF6" s="53"/>
      <c r="DG6" s="53"/>
      <c r="DH6" s="53"/>
      <c r="DI6" s="53"/>
      <c r="DJ6" s="38"/>
      <c r="DK6" s="53"/>
      <c r="DL6" s="53"/>
      <c r="DM6" s="53"/>
      <c r="DN6" s="53"/>
      <c r="DO6" s="38"/>
      <c r="DP6" s="38"/>
      <c r="DQ6" s="38"/>
      <c r="DR6" s="38"/>
      <c r="DS6" s="38"/>
      <c r="DT6" s="38"/>
      <c r="DU6" s="38"/>
      <c r="DV6" s="38"/>
      <c r="DW6" s="53"/>
      <c r="DX6" s="53"/>
      <c r="DY6" s="38"/>
      <c r="DZ6" s="38"/>
      <c r="EA6" s="38"/>
      <c r="EB6" s="38"/>
      <c r="EC6" s="38"/>
      <c r="ED6" s="38"/>
      <c r="EE6" s="38"/>
      <c r="EF6" s="53"/>
      <c r="EG6" s="53"/>
      <c r="EH6" s="53"/>
      <c r="EI6" s="53"/>
      <c r="EJ6" s="38"/>
      <c r="EK6" s="38"/>
      <c r="EL6" s="44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53"/>
      <c r="FE6" s="38"/>
      <c r="FF6" s="53"/>
      <c r="FG6" s="53"/>
      <c r="FH6" s="53"/>
      <c r="FI6" s="38" t="s">
        <v>51</v>
      </c>
      <c r="FJ6" s="38"/>
      <c r="FK6" s="38" t="s">
        <v>51</v>
      </c>
      <c r="FL6" s="38" t="s">
        <v>51</v>
      </c>
      <c r="FM6" s="38" t="s">
        <v>51</v>
      </c>
      <c r="FN6" s="38" t="s">
        <v>51</v>
      </c>
      <c r="FO6" s="38" t="s">
        <v>51</v>
      </c>
      <c r="FP6" s="38" t="s">
        <v>51</v>
      </c>
      <c r="FQ6" s="38" t="s">
        <v>51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38" t="s">
        <v>51</v>
      </c>
      <c r="B7" s="53"/>
      <c r="C7" s="44" t="s">
        <v>25</v>
      </c>
      <c r="D7" s="52">
        <v>1000.0</v>
      </c>
      <c r="E7" s="44" t="s">
        <v>26</v>
      </c>
      <c r="F7" s="44" t="s">
        <v>54</v>
      </c>
      <c r="G7" s="53"/>
      <c r="H7" s="44" t="s">
        <v>55</v>
      </c>
      <c r="I7" s="53"/>
      <c r="J7" s="53"/>
      <c r="K7" s="53"/>
      <c r="L7" s="53"/>
      <c r="M7" s="53"/>
      <c r="N7" s="53"/>
      <c r="O7" s="44"/>
      <c r="P7" s="53">
        <v>100.0</v>
      </c>
      <c r="Q7" s="53"/>
      <c r="R7" s="38" t="s">
        <v>42</v>
      </c>
      <c r="S7" s="38"/>
      <c r="T7" s="38" t="s">
        <v>41</v>
      </c>
      <c r="U7" s="38" t="s">
        <v>45</v>
      </c>
      <c r="V7" s="38" t="s">
        <v>44</v>
      </c>
      <c r="W7" s="38" t="s">
        <v>43</v>
      </c>
      <c r="X7" s="53">
        <v>1.0</v>
      </c>
      <c r="Y7" s="53">
        <v>1.0</v>
      </c>
      <c r="Z7" s="38"/>
      <c r="AA7" s="38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44" t="s">
        <v>20</v>
      </c>
      <c r="AO7" s="38"/>
      <c r="AP7" s="38" t="s">
        <v>55</v>
      </c>
      <c r="AQ7" s="38" t="s">
        <v>25</v>
      </c>
      <c r="AR7" s="53"/>
      <c r="AS7" s="53">
        <v>1.0</v>
      </c>
      <c r="AT7" s="38"/>
      <c r="AU7" s="38"/>
      <c r="AV7" s="53">
        <v>1.0</v>
      </c>
      <c r="AW7" s="53"/>
      <c r="AX7" s="53"/>
      <c r="AY7" s="53"/>
      <c r="AZ7" s="53"/>
      <c r="BA7" s="53"/>
      <c r="BB7" s="53"/>
      <c r="BC7" s="53"/>
      <c r="BD7" s="53"/>
      <c r="BE7" s="38" t="s">
        <v>41</v>
      </c>
      <c r="BF7" s="38" t="s">
        <v>56</v>
      </c>
      <c r="BG7" s="38" t="s">
        <v>57</v>
      </c>
      <c r="BH7" s="38"/>
      <c r="BI7" s="38"/>
      <c r="BJ7" s="53"/>
      <c r="BK7" s="53"/>
      <c r="BL7" s="53"/>
      <c r="BM7" s="53"/>
      <c r="BN7" s="53"/>
      <c r="BO7" s="53"/>
      <c r="BP7" s="53"/>
      <c r="BQ7" s="38" t="s">
        <v>58</v>
      </c>
      <c r="BR7" s="38" t="s">
        <v>42</v>
      </c>
      <c r="BS7" s="53"/>
      <c r="BT7" s="53"/>
      <c r="BU7" s="38" t="s">
        <v>41</v>
      </c>
      <c r="BV7" s="38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4"/>
      <c r="CL7" s="38"/>
      <c r="CM7" s="38"/>
      <c r="CN7" s="53"/>
      <c r="CO7" s="53"/>
      <c r="CP7" s="38"/>
      <c r="CQ7" s="38"/>
      <c r="CR7" s="53"/>
      <c r="CS7" s="53"/>
      <c r="CT7" s="38"/>
      <c r="CU7" s="38"/>
      <c r="CV7" s="38"/>
      <c r="CW7" s="38"/>
      <c r="CX7" s="38"/>
      <c r="CY7" s="38"/>
      <c r="CZ7" s="38"/>
      <c r="DA7" s="53"/>
      <c r="DB7" s="53"/>
      <c r="DC7" s="53"/>
      <c r="DD7" s="53"/>
      <c r="DE7" s="53"/>
      <c r="DF7" s="53"/>
      <c r="DG7" s="53"/>
      <c r="DH7" s="53"/>
      <c r="DI7" s="53"/>
      <c r="DJ7" s="38"/>
      <c r="DK7" s="53"/>
      <c r="DL7" s="53"/>
      <c r="DM7" s="53"/>
      <c r="DN7" s="53"/>
      <c r="DO7" s="38"/>
      <c r="DP7" s="38"/>
      <c r="DQ7" s="38"/>
      <c r="DR7" s="38"/>
      <c r="DS7" s="38"/>
      <c r="DT7" s="38"/>
      <c r="DU7" s="38"/>
      <c r="DV7" s="38"/>
      <c r="DW7" s="53"/>
      <c r="DX7" s="53"/>
      <c r="DY7" s="38"/>
      <c r="DZ7" s="38"/>
      <c r="EA7" s="38"/>
      <c r="EB7" s="38"/>
      <c r="EC7" s="38"/>
      <c r="ED7" s="38"/>
      <c r="EE7" s="38"/>
      <c r="EF7" s="53"/>
      <c r="EG7" s="53"/>
      <c r="EH7" s="53"/>
      <c r="EI7" s="53"/>
      <c r="EJ7" s="38"/>
      <c r="EK7" s="38"/>
      <c r="EL7" s="44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53"/>
      <c r="FE7" s="38"/>
      <c r="FF7" s="53"/>
      <c r="FG7" s="53"/>
      <c r="FH7" s="53"/>
      <c r="FI7" s="38" t="s">
        <v>51</v>
      </c>
      <c r="FJ7" s="38"/>
      <c r="FK7" s="38" t="s">
        <v>51</v>
      </c>
      <c r="FL7" s="38" t="s">
        <v>51</v>
      </c>
      <c r="FM7" s="38" t="s">
        <v>51</v>
      </c>
      <c r="FN7" s="38" t="s">
        <v>51</v>
      </c>
      <c r="FO7" s="38" t="s">
        <v>51</v>
      </c>
      <c r="FP7" s="38" t="s">
        <v>51</v>
      </c>
      <c r="FQ7" s="38" t="s">
        <v>51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38" t="s">
        <v>51</v>
      </c>
      <c r="B8" s="53"/>
      <c r="C8" s="44" t="s">
        <v>25</v>
      </c>
      <c r="D8" s="52">
        <v>1000.0</v>
      </c>
      <c r="E8" s="44" t="s">
        <v>26</v>
      </c>
      <c r="F8" s="44" t="s">
        <v>54</v>
      </c>
      <c r="G8" s="53"/>
      <c r="H8" s="44" t="s">
        <v>55</v>
      </c>
      <c r="I8" s="53"/>
      <c r="J8" s="53"/>
      <c r="K8" s="53"/>
      <c r="L8" s="53"/>
      <c r="M8" s="53"/>
      <c r="N8" s="53"/>
      <c r="O8" s="44"/>
      <c r="P8" s="53">
        <v>100.0</v>
      </c>
      <c r="Q8" s="53"/>
      <c r="R8" s="38" t="s">
        <v>42</v>
      </c>
      <c r="S8" s="38"/>
      <c r="T8" s="38" t="s">
        <v>41</v>
      </c>
      <c r="U8" s="38" t="s">
        <v>45</v>
      </c>
      <c r="V8" s="38" t="s">
        <v>44</v>
      </c>
      <c r="W8" s="38" t="s">
        <v>43</v>
      </c>
      <c r="X8" s="53">
        <v>1.0</v>
      </c>
      <c r="Y8" s="53">
        <v>1.0</v>
      </c>
      <c r="Z8" s="38"/>
      <c r="AA8" s="38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44" t="s">
        <v>20</v>
      </c>
      <c r="AO8" s="38"/>
      <c r="AP8" s="38" t="s">
        <v>55</v>
      </c>
      <c r="AQ8" s="38" t="s">
        <v>25</v>
      </c>
      <c r="AR8" s="53"/>
      <c r="AS8" s="53">
        <v>1.0</v>
      </c>
      <c r="AT8" s="38"/>
      <c r="AU8" s="38"/>
      <c r="AV8" s="53">
        <v>1.0</v>
      </c>
      <c r="AW8" s="53"/>
      <c r="AX8" s="53"/>
      <c r="AY8" s="53"/>
      <c r="AZ8" s="53"/>
      <c r="BA8" s="53"/>
      <c r="BB8" s="53"/>
      <c r="BC8" s="53"/>
      <c r="BD8" s="53"/>
      <c r="BE8" s="38" t="s">
        <v>41</v>
      </c>
      <c r="BF8" s="38" t="s">
        <v>56</v>
      </c>
      <c r="BG8" s="38" t="s">
        <v>57</v>
      </c>
      <c r="BH8" s="38"/>
      <c r="BI8" s="38"/>
      <c r="BJ8" s="53"/>
      <c r="BK8" s="53"/>
      <c r="BL8" s="53"/>
      <c r="BM8" s="53"/>
      <c r="BN8" s="53"/>
      <c r="BO8" s="53"/>
      <c r="BP8" s="53"/>
      <c r="BQ8" s="38" t="s">
        <v>58</v>
      </c>
      <c r="BR8" s="38" t="s">
        <v>42</v>
      </c>
      <c r="BS8" s="53"/>
      <c r="BT8" s="53"/>
      <c r="BU8" s="38" t="s">
        <v>41</v>
      </c>
      <c r="BV8" s="38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4"/>
      <c r="CL8" s="38"/>
      <c r="CM8" s="38"/>
      <c r="CN8" s="53"/>
      <c r="CO8" s="53"/>
      <c r="CP8" s="38"/>
      <c r="CQ8" s="38"/>
      <c r="CR8" s="53"/>
      <c r="CS8" s="53"/>
      <c r="CT8" s="38"/>
      <c r="CU8" s="38"/>
      <c r="CV8" s="38"/>
      <c r="CW8" s="38"/>
      <c r="CX8" s="38"/>
      <c r="CY8" s="38"/>
      <c r="CZ8" s="38"/>
      <c r="DA8" s="53"/>
      <c r="DB8" s="53"/>
      <c r="DC8" s="53"/>
      <c r="DD8" s="53"/>
      <c r="DE8" s="53"/>
      <c r="DF8" s="53"/>
      <c r="DG8" s="53"/>
      <c r="DH8" s="53"/>
      <c r="DI8" s="53"/>
      <c r="DJ8" s="38"/>
      <c r="DK8" s="53"/>
      <c r="DL8" s="53"/>
      <c r="DM8" s="53"/>
      <c r="DN8" s="53"/>
      <c r="DO8" s="38"/>
      <c r="DP8" s="38"/>
      <c r="DQ8" s="38"/>
      <c r="DR8" s="38"/>
      <c r="DS8" s="38"/>
      <c r="DT8" s="38"/>
      <c r="DU8" s="38"/>
      <c r="DV8" s="38"/>
      <c r="DW8" s="53"/>
      <c r="DX8" s="53"/>
      <c r="DY8" s="38"/>
      <c r="DZ8" s="38"/>
      <c r="EA8" s="38"/>
      <c r="EB8" s="38"/>
      <c r="EC8" s="38"/>
      <c r="ED8" s="38"/>
      <c r="EE8" s="38"/>
      <c r="EF8" s="53"/>
      <c r="EG8" s="53"/>
      <c r="EH8" s="53"/>
      <c r="EI8" s="53"/>
      <c r="EJ8" s="38"/>
      <c r="EK8" s="38"/>
      <c r="EL8" s="44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53"/>
      <c r="FE8" s="38"/>
      <c r="FF8" s="53"/>
      <c r="FG8" s="53"/>
      <c r="FH8" s="53"/>
      <c r="FI8" s="38" t="s">
        <v>51</v>
      </c>
      <c r="FJ8" s="38"/>
      <c r="FK8" s="38" t="s">
        <v>51</v>
      </c>
      <c r="FL8" s="38" t="s">
        <v>51</v>
      </c>
      <c r="FM8" s="38" t="s">
        <v>51</v>
      </c>
      <c r="FN8" s="38" t="s">
        <v>51</v>
      </c>
      <c r="FO8" s="38" t="s">
        <v>51</v>
      </c>
      <c r="FP8" s="38" t="s">
        <v>51</v>
      </c>
      <c r="FQ8" s="38" t="s">
        <v>51</v>
      </c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</row>
    <row r="9" ht="15.75" customHeight="1">
      <c r="A9" s="38" t="s">
        <v>51</v>
      </c>
      <c r="B9" s="53"/>
      <c r="C9" s="44" t="s">
        <v>19</v>
      </c>
      <c r="D9" s="52">
        <v>1100.0</v>
      </c>
      <c r="E9" s="44" t="s">
        <v>21</v>
      </c>
      <c r="F9" s="44" t="s">
        <v>59</v>
      </c>
      <c r="G9" s="53"/>
      <c r="H9" s="44" t="s">
        <v>55</v>
      </c>
      <c r="I9" s="53"/>
      <c r="J9" s="53"/>
      <c r="K9" s="53"/>
      <c r="L9" s="53"/>
      <c r="M9" s="53"/>
      <c r="N9" s="53"/>
      <c r="O9" s="44"/>
      <c r="P9" s="53">
        <v>100.0</v>
      </c>
      <c r="Q9" s="53"/>
      <c r="R9" s="38" t="s">
        <v>60</v>
      </c>
      <c r="S9" s="38"/>
      <c r="T9" s="38" t="s">
        <v>41</v>
      </c>
      <c r="U9" s="38" t="s">
        <v>45</v>
      </c>
      <c r="V9" s="38" t="s">
        <v>44</v>
      </c>
      <c r="W9" s="38" t="s">
        <v>43</v>
      </c>
      <c r="X9" s="53">
        <v>1.0</v>
      </c>
      <c r="Y9" s="53">
        <v>1.0</v>
      </c>
      <c r="Z9" s="38"/>
      <c r="AA9" s="38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44" t="s">
        <v>20</v>
      </c>
      <c r="AO9" s="38"/>
      <c r="AP9" s="38" t="s">
        <v>55</v>
      </c>
      <c r="AQ9" s="38" t="s">
        <v>19</v>
      </c>
      <c r="AR9" s="53"/>
      <c r="AS9" s="53">
        <v>1.0</v>
      </c>
      <c r="AT9" s="38"/>
      <c r="AU9" s="38"/>
      <c r="AV9" s="53">
        <v>1.0</v>
      </c>
      <c r="AW9" s="53"/>
      <c r="AX9" s="53"/>
      <c r="AY9" s="53"/>
      <c r="AZ9" s="53"/>
      <c r="BA9" s="53"/>
      <c r="BB9" s="53"/>
      <c r="BC9" s="53"/>
      <c r="BD9" s="53"/>
      <c r="BE9" s="38" t="s">
        <v>41</v>
      </c>
      <c r="BF9" s="38" t="s">
        <v>61</v>
      </c>
      <c r="BG9" s="38" t="s">
        <v>62</v>
      </c>
      <c r="BH9" s="38"/>
      <c r="BI9" s="53"/>
      <c r="BJ9" s="53"/>
      <c r="BK9" s="53"/>
      <c r="BL9" s="53"/>
      <c r="BM9" s="53"/>
      <c r="BN9" s="53"/>
      <c r="BO9" s="53"/>
      <c r="BP9" s="53"/>
      <c r="BQ9" s="38" t="s">
        <v>58</v>
      </c>
      <c r="BR9" s="38" t="s">
        <v>42</v>
      </c>
      <c r="BS9" s="53"/>
      <c r="BT9" s="53"/>
      <c r="BU9" s="38" t="s">
        <v>41</v>
      </c>
      <c r="BV9" s="38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4"/>
      <c r="CL9" s="38"/>
      <c r="CM9" s="38"/>
      <c r="CN9" s="38"/>
      <c r="CO9" s="38"/>
      <c r="CP9" s="38"/>
      <c r="CQ9" s="38"/>
      <c r="CR9" s="53"/>
      <c r="CS9" s="53"/>
      <c r="CT9" s="38"/>
      <c r="CU9" s="38"/>
      <c r="CV9" s="38"/>
      <c r="CW9" s="38"/>
      <c r="CX9" s="38"/>
      <c r="CY9" s="38"/>
      <c r="CZ9" s="38"/>
      <c r="DA9" s="53"/>
      <c r="DB9" s="53"/>
      <c r="DC9" s="53"/>
      <c r="DD9" s="53"/>
      <c r="DE9" s="53"/>
      <c r="DF9" s="53"/>
      <c r="DG9" s="53"/>
      <c r="DH9" s="53"/>
      <c r="DI9" s="53"/>
      <c r="DJ9" s="38"/>
      <c r="DK9" s="53"/>
      <c r="DL9" s="53"/>
      <c r="DM9" s="53"/>
      <c r="DN9" s="53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53"/>
      <c r="EG9" s="53"/>
      <c r="EH9" s="53"/>
      <c r="EI9" s="53"/>
      <c r="EJ9" s="38"/>
      <c r="EK9" s="38"/>
      <c r="EL9" s="44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53"/>
      <c r="FE9" s="38"/>
      <c r="FF9" s="53"/>
      <c r="FG9" s="53"/>
      <c r="FH9" s="53"/>
      <c r="FI9" s="38" t="s">
        <v>51</v>
      </c>
      <c r="FJ9" s="38"/>
      <c r="FK9" s="38" t="s">
        <v>51</v>
      </c>
      <c r="FL9" s="38" t="s">
        <v>51</v>
      </c>
      <c r="FM9" s="38" t="s">
        <v>51</v>
      </c>
      <c r="FN9" s="38" t="s">
        <v>51</v>
      </c>
      <c r="FO9" s="38" t="s">
        <v>51</v>
      </c>
      <c r="FP9" s="38" t="s">
        <v>51</v>
      </c>
      <c r="FQ9" s="38" t="s">
        <v>51</v>
      </c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</row>
    <row r="10" ht="15.75" customHeight="1">
      <c r="A10" s="38" t="s">
        <v>51</v>
      </c>
      <c r="B10" s="53"/>
      <c r="C10" s="44" t="s">
        <v>19</v>
      </c>
      <c r="D10" s="51">
        <v>-1000.0</v>
      </c>
      <c r="E10" s="44" t="s">
        <v>21</v>
      </c>
      <c r="F10" s="44" t="s">
        <v>59</v>
      </c>
      <c r="G10" s="53"/>
      <c r="H10" s="44" t="s">
        <v>55</v>
      </c>
      <c r="I10" s="53"/>
      <c r="J10" s="53"/>
      <c r="K10" s="53"/>
      <c r="L10" s="53"/>
      <c r="M10" s="53"/>
      <c r="N10" s="53"/>
      <c r="O10" s="44"/>
      <c r="P10" s="53">
        <v>100.0</v>
      </c>
      <c r="Q10" s="53"/>
      <c r="R10" s="38" t="s">
        <v>60</v>
      </c>
      <c r="S10" s="38"/>
      <c r="T10" s="38" t="s">
        <v>41</v>
      </c>
      <c r="U10" s="38" t="s">
        <v>45</v>
      </c>
      <c r="V10" s="38" t="s">
        <v>44</v>
      </c>
      <c r="W10" s="38" t="s">
        <v>43</v>
      </c>
      <c r="X10" s="53">
        <v>1.0</v>
      </c>
      <c r="Y10" s="53">
        <v>1.0</v>
      </c>
      <c r="Z10" s="38"/>
      <c r="AA10" s="38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44" t="s">
        <v>46</v>
      </c>
      <c r="AO10" s="38"/>
      <c r="AP10" s="38" t="s">
        <v>55</v>
      </c>
      <c r="AQ10" s="38" t="s">
        <v>19</v>
      </c>
      <c r="AR10" s="53"/>
      <c r="AS10" s="53">
        <v>-1.0</v>
      </c>
      <c r="AT10" s="38"/>
      <c r="AU10" s="38"/>
      <c r="AV10" s="53">
        <v>1.0</v>
      </c>
      <c r="AW10" s="53"/>
      <c r="AX10" s="53"/>
      <c r="AY10" s="53"/>
      <c r="AZ10" s="53"/>
      <c r="BA10" s="53"/>
      <c r="BB10" s="53"/>
      <c r="BC10" s="53"/>
      <c r="BD10" s="53"/>
      <c r="BE10" s="38" t="s">
        <v>41</v>
      </c>
      <c r="BF10" s="38" t="s">
        <v>61</v>
      </c>
      <c r="BG10" s="38" t="s">
        <v>62</v>
      </c>
      <c r="BH10" s="38"/>
      <c r="BI10" s="53"/>
      <c r="BJ10" s="53"/>
      <c r="BK10" s="53"/>
      <c r="BL10" s="53"/>
      <c r="BM10" s="53"/>
      <c r="BN10" s="53"/>
      <c r="BO10" s="53"/>
      <c r="BP10" s="53"/>
      <c r="BQ10" s="38" t="s">
        <v>58</v>
      </c>
      <c r="BR10" s="38" t="s">
        <v>42</v>
      </c>
      <c r="BS10" s="53"/>
      <c r="BT10" s="53"/>
      <c r="BU10" s="38" t="s">
        <v>41</v>
      </c>
      <c r="BV10" s="38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4"/>
      <c r="CL10" s="38"/>
      <c r="CM10" s="38"/>
      <c r="CN10" s="38"/>
      <c r="CO10" s="38"/>
      <c r="CP10" s="38"/>
      <c r="CQ10" s="38"/>
      <c r="CR10" s="53"/>
      <c r="CS10" s="53"/>
      <c r="CT10" s="38"/>
      <c r="CU10" s="38"/>
      <c r="CV10" s="38"/>
      <c r="CW10" s="38"/>
      <c r="CX10" s="38"/>
      <c r="CY10" s="38"/>
      <c r="CZ10" s="38"/>
      <c r="DA10" s="53"/>
      <c r="DB10" s="53"/>
      <c r="DC10" s="53"/>
      <c r="DD10" s="53"/>
      <c r="DE10" s="53"/>
      <c r="DF10" s="53"/>
      <c r="DG10" s="53"/>
      <c r="DH10" s="53"/>
      <c r="DI10" s="53"/>
      <c r="DJ10" s="38"/>
      <c r="DK10" s="53"/>
      <c r="DL10" s="53"/>
      <c r="DM10" s="53"/>
      <c r="DN10" s="53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53"/>
      <c r="EG10" s="53"/>
      <c r="EH10" s="53"/>
      <c r="EI10" s="53"/>
      <c r="EJ10" s="38"/>
      <c r="EK10" s="38"/>
      <c r="EL10" s="44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53"/>
      <c r="FE10" s="38"/>
      <c r="FF10" s="53"/>
      <c r="FG10" s="53"/>
      <c r="FH10" s="53"/>
      <c r="FI10" s="38" t="s">
        <v>51</v>
      </c>
      <c r="FJ10" s="38"/>
      <c r="FK10" s="38" t="s">
        <v>51</v>
      </c>
      <c r="FL10" s="38" t="s">
        <v>51</v>
      </c>
      <c r="FM10" s="38" t="s">
        <v>51</v>
      </c>
      <c r="FN10" s="38" t="s">
        <v>51</v>
      </c>
      <c r="FO10" s="38" t="s">
        <v>51</v>
      </c>
      <c r="FP10" s="38" t="s">
        <v>51</v>
      </c>
      <c r="FQ10" s="38" t="s">
        <v>51</v>
      </c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</row>
    <row r="11" ht="15.75" customHeight="1">
      <c r="A11" s="38" t="s">
        <v>51</v>
      </c>
      <c r="B11" s="53"/>
      <c r="C11" s="44" t="s">
        <v>19</v>
      </c>
      <c r="D11" s="51">
        <v>1000.0</v>
      </c>
      <c r="E11" s="44" t="s">
        <v>21</v>
      </c>
      <c r="F11" s="44" t="s">
        <v>59</v>
      </c>
      <c r="G11" s="53"/>
      <c r="H11" s="44" t="s">
        <v>55</v>
      </c>
      <c r="I11" s="53"/>
      <c r="J11" s="53"/>
      <c r="K11" s="53"/>
      <c r="L11" s="53"/>
      <c r="M11" s="53"/>
      <c r="N11" s="53"/>
      <c r="O11" s="44"/>
      <c r="P11" s="53">
        <v>100.0</v>
      </c>
      <c r="Q11" s="53"/>
      <c r="R11" s="38" t="s">
        <v>60</v>
      </c>
      <c r="S11" s="38"/>
      <c r="T11" s="38" t="s">
        <v>41</v>
      </c>
      <c r="U11" s="38" t="s">
        <v>45</v>
      </c>
      <c r="V11" s="38" t="s">
        <v>44</v>
      </c>
      <c r="W11" s="38" t="s">
        <v>43</v>
      </c>
      <c r="X11" s="53">
        <v>1.0</v>
      </c>
      <c r="Y11" s="53">
        <v>1.0</v>
      </c>
      <c r="Z11" s="38"/>
      <c r="AA11" s="38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44" t="s">
        <v>20</v>
      </c>
      <c r="AO11" s="38"/>
      <c r="AP11" s="38" t="s">
        <v>55</v>
      </c>
      <c r="AQ11" s="38" t="s">
        <v>19</v>
      </c>
      <c r="AR11" s="53"/>
      <c r="AS11" s="53">
        <v>1.0</v>
      </c>
      <c r="AT11" s="38"/>
      <c r="AU11" s="38"/>
      <c r="AV11" s="53">
        <v>1.0</v>
      </c>
      <c r="AW11" s="53"/>
      <c r="AX11" s="53"/>
      <c r="AY11" s="53"/>
      <c r="AZ11" s="53"/>
      <c r="BA11" s="53"/>
      <c r="BB11" s="53"/>
      <c r="BC11" s="53"/>
      <c r="BD11" s="53"/>
      <c r="BE11" s="38" t="s">
        <v>41</v>
      </c>
      <c r="BF11" s="38" t="s">
        <v>61</v>
      </c>
      <c r="BG11" s="38" t="s">
        <v>62</v>
      </c>
      <c r="BH11" s="38"/>
      <c r="BI11" s="53"/>
      <c r="BJ11" s="53"/>
      <c r="BK11" s="53"/>
      <c r="BL11" s="53"/>
      <c r="BM11" s="53"/>
      <c r="BN11" s="53"/>
      <c r="BO11" s="53"/>
      <c r="BP11" s="53"/>
      <c r="BQ11" s="38" t="s">
        <v>58</v>
      </c>
      <c r="BR11" s="38" t="s">
        <v>42</v>
      </c>
      <c r="BS11" s="53"/>
      <c r="BT11" s="53"/>
      <c r="BU11" s="38" t="s">
        <v>41</v>
      </c>
      <c r="BV11" s="38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4"/>
      <c r="CL11" s="38"/>
      <c r="CM11" s="38"/>
      <c r="CN11" s="38"/>
      <c r="CO11" s="38"/>
      <c r="CP11" s="38"/>
      <c r="CQ11" s="38"/>
      <c r="CR11" s="53"/>
      <c r="CS11" s="53"/>
      <c r="CT11" s="38"/>
      <c r="CU11" s="38"/>
      <c r="CV11" s="38"/>
      <c r="CW11" s="38"/>
      <c r="CX11" s="38"/>
      <c r="CY11" s="38"/>
      <c r="CZ11" s="38"/>
      <c r="DA11" s="53"/>
      <c r="DB11" s="53"/>
      <c r="DC11" s="53"/>
      <c r="DD11" s="53"/>
      <c r="DE11" s="53"/>
      <c r="DF11" s="53"/>
      <c r="DG11" s="53"/>
      <c r="DH11" s="53"/>
      <c r="DI11" s="53"/>
      <c r="DJ11" s="38"/>
      <c r="DK11" s="53"/>
      <c r="DL11" s="53"/>
      <c r="DM11" s="53"/>
      <c r="DN11" s="53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53"/>
      <c r="EG11" s="53"/>
      <c r="EH11" s="53"/>
      <c r="EI11" s="53"/>
      <c r="EJ11" s="38"/>
      <c r="EK11" s="38"/>
      <c r="EL11" s="44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53"/>
      <c r="FE11" s="38"/>
      <c r="FF11" s="53"/>
      <c r="FG11" s="53"/>
      <c r="FH11" s="53"/>
      <c r="FI11" s="38" t="s">
        <v>51</v>
      </c>
      <c r="FJ11" s="38"/>
      <c r="FK11" s="38" t="s">
        <v>51</v>
      </c>
      <c r="FL11" s="38" t="s">
        <v>51</v>
      </c>
      <c r="FM11" s="38" t="s">
        <v>51</v>
      </c>
      <c r="FN11" s="38" t="s">
        <v>51</v>
      </c>
      <c r="FO11" s="38" t="s">
        <v>51</v>
      </c>
      <c r="FP11" s="38" t="s">
        <v>51</v>
      </c>
      <c r="FQ11" s="38" t="s">
        <v>51</v>
      </c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  <c r="DH6" s="43" t="s">
        <v>27</v>
      </c>
    </row>
    <row r="7" ht="15.75" customHeight="1">
      <c r="A7" s="8"/>
      <c r="B7" s="38" t="s">
        <v>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43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