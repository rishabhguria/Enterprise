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orexConversion" sheetId="4" r:id="rId6"/>
    <sheet state="visible" name="UpdateForexConversionMonthly" sheetId="5" r:id="rId7"/>
    <sheet state="visible" name="CreateDoneAwayOrder" sheetId="6" r:id="rId8"/>
    <sheet state="visible" name="GetForexConversion1" sheetId="7" r:id="rId9"/>
    <sheet state="visible" name="UpdateForexConversionMonthly1" sheetId="8" r:id="rId10"/>
    <sheet state="visible" name="GetForwardPoints" sheetId="9" r:id="rId11"/>
    <sheet state="visible" name="UpdateForwardPoints" sheetId="10" r:id="rId12"/>
    <sheet state="visible" name="GetForwardPoints1" sheetId="11" r:id="rId13"/>
    <sheet state="visible" name="UpdateForwardPoints1" sheetId="12" r:id="rId14"/>
    <sheet state="visible" name="GetForwardPoints2" sheetId="13" r:id="rId15"/>
    <sheet state="visible" name="UpdateForwardPoints2" sheetId="14" r:id="rId16"/>
    <sheet state="visible" name="GetForwardPoints3" sheetId="15" r:id="rId17"/>
    <sheet state="visible" name="UpdateForwardPoints3" sheetId="16" r:id="rId18"/>
    <sheet state="visible" name="GetForwardPoints4" sheetId="17" r:id="rId19"/>
    <sheet state="visible" name="UpdateForwardPoints4" sheetId="18" r:id="rId20"/>
    <sheet state="visible" name="GetDataClosing" sheetId="19" r:id="rId21"/>
    <sheet state="visible" name="UpdateForwardPoints6" sheetId="20" r:id="rId22"/>
    <sheet state="visible" name="CashSettlementAtClosingDtSpotPx" sheetId="21" r:id="rId23"/>
    <sheet state="visible" name="VerifyExpiredSettledGrid" sheetId="22" r:id="rId24"/>
    <sheet state="visible" name="SelectTradeUnexpiredUnsettled" sheetId="23" r:id="rId25"/>
    <sheet state="visible" name="GetDataAllocation" sheetId="24" r:id="rId26"/>
    <sheet state="visible" name="CheckAllocatedGroups" sheetId="25" r:id="rId27"/>
    <sheet state="visible" name="GetTradingTransaction" sheetId="26" r:id="rId28"/>
    <sheet state="visible" name="VerifyTradingTransaction" sheetId="27" r:id="rId29"/>
    <sheet state="visible" name="RunRevaluation" sheetId="28" r:id="rId30"/>
    <sheet state="visible" name="GetRevaluationData" sheetId="29" r:id="rId31"/>
    <sheet state="visible" name="VerifyRevaluationData" sheetId="30" r:id="rId32"/>
    <sheet state="visible" name="GetForwardPoints5" sheetId="31" r:id="rId33"/>
    <sheet state="visible" name="UpdateForwardPoints5" sheetId="32" r:id="rId34"/>
    <sheet state="visible" name="GetForwardPoints6" sheetId="33" r:id="rId35"/>
  </sheets>
  <definedNames/>
  <calcPr/>
</workbook>
</file>

<file path=xl/sharedStrings.xml><?xml version="1.0" encoding="utf-8"?>
<sst xmlns="http://schemas.openxmlformats.org/spreadsheetml/2006/main" count="562" uniqueCount="59">
  <si>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</si>
  <si>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</si>
  <si>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</si>
  <si>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</si>
  <si>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</si>
  <si>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</si>
  <si>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</si>
  <si>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</si>
  <si>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</si>
  <si>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</si>
  <si>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</si>
  <si>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</si>
  <si>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</si>
  <si>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GetForexConversion</t>
  </si>
  <si>
    <t>Data Format</t>
  </si>
  <si>
    <t>Input Format</t>
  </si>
  <si>
    <t>UpdateForexConversionMonthly</t>
  </si>
  <si>
    <t>USD</t>
  </si>
  <si>
    <t>CAD</t>
  </si>
  <si>
    <t>CAD A0-FX</t>
  </si>
  <si>
    <t>TradingTicket</t>
  </si>
  <si>
    <t>CreateDoneAwayOrder</t>
  </si>
  <si>
    <t>USD/CAD 02/06/2019</t>
  </si>
  <si>
    <t>Sell</t>
  </si>
  <si>
    <t>Allocation1</t>
  </si>
  <si>
    <t>GetForwardPoints</t>
  </si>
  <si>
    <t>UpdateForwardPoints</t>
  </si>
  <si>
    <t>Closing</t>
  </si>
  <si>
    <t>GetDataClosing</t>
  </si>
  <si>
    <t>Historical</t>
  </si>
  <si>
    <t>CashSettlementAtClosingDtSpotPx</t>
  </si>
  <si>
    <t>VerifyExpiredSettledGrid</t>
  </si>
  <si>
    <t>FXForward</t>
  </si>
  <si>
    <t>CashSettleinBaseCurrency</t>
  </si>
  <si>
    <t>SelectTradeUnexpiredUnsettled</t>
  </si>
  <si>
    <t>Allocation</t>
  </si>
  <si>
    <t>GetDataAllocation</t>
  </si>
  <si>
    <t>CheckAllocatedGroups</t>
  </si>
  <si>
    <t>Buy</t>
  </si>
  <si>
    <t>GeneralLedger</t>
  </si>
  <si>
    <t>GetTradingTransaction</t>
  </si>
  <si>
    <t>NewMF</t>
  </si>
  <si>
    <t>VerifyTradingTransaction</t>
  </si>
  <si>
    <t>DR</t>
  </si>
  <si>
    <t>Cash [Cash]</t>
  </si>
  <si>
    <t>CR</t>
  </si>
  <si>
    <t>FX Forward Realized Profit And Loss [Income]</t>
  </si>
  <si>
    <t>FX Profit And Loss [Income]</t>
  </si>
  <si>
    <t>RunRevaluation</t>
  </si>
  <si>
    <t>GetRevaluationData</t>
  </si>
  <si>
    <t>VerifyRevaluationData</t>
  </si>
  <si>
    <t>FX Forward UnRealized Profit And Loss [Income]</t>
  </si>
  <si>
    <t>Revaluation</t>
  </si>
  <si>
    <t>UnRealized PNL Entry</t>
  </si>
  <si>
    <t>FX Forward Short Revaluation [Liability]</t>
  </si>
  <si>
    <t>Contra UnRealized PNL Entry</t>
  </si>
  <si>
    <t>Cash PNL Entry</t>
  </si>
  <si>
    <t>Cash UnRealized Profit And Loss [Income]</t>
  </si>
  <si>
    <t>Contra Cash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</si>
</sst>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Arial"/>
    </font>
    <font>
      <sz val="9.0"/>
      <color rgb="FF000000"/>
      <name val="&quot;Quattrocento Sans&quot;"/>
    </font>
    <font>
      <sz val="9.0"/>
      <color rgb="FFFFFFFF"/>
      <name val="&quot;Quattrocento Sans&quot;"/>
    </font>
    <font>
      <sz val="11.0"/>
      <name val="Calibri"/>
    </font>
    <font>
      <sz val="9.0"/>
      <color rgb="FF808080"/>
      <name val="&quot;Quattrocento Sans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6" fontId="15" numFmtId="14" xfId="0" applyFont="1" applyNumberFormat="1"/>
    <xf borderId="0" fillId="6" fontId="15" numFmtId="0" xfId="0" applyFont="1"/>
    <xf borderId="5" fillId="6" fontId="15" numFmtId="0" xfId="0" applyBorder="1" applyFont="1"/>
    <xf borderId="5" fillId="6" fontId="15" numFmtId="0" xfId="0" applyBorder="1" applyFont="1"/>
    <xf borderId="5" fillId="6" fontId="15" numFmtId="0" xfId="0" applyAlignment="1" applyBorder="1" applyFont="1">
      <alignment horizontal="right"/>
    </xf>
    <xf borderId="5" fillId="6" fontId="16" numFmtId="0" xfId="0" applyAlignment="1" applyBorder="1" applyFont="1">
      <alignment horizontal="right"/>
    </xf>
    <xf borderId="0" fillId="6" fontId="15" numFmtId="0" xfId="0" applyAlignment="1" applyFont="1">
      <alignment horizontal="right"/>
    </xf>
    <xf borderId="5" fillId="6" fontId="15" numFmtId="0" xfId="0" applyAlignment="1" applyBorder="1" applyFont="1">
      <alignment horizontal="right"/>
    </xf>
    <xf borderId="0" fillId="0" fontId="17" numFmtId="0" xfId="0" applyAlignment="1" applyFont="1">
      <alignment vertical="bottom"/>
    </xf>
    <xf borderId="5" fillId="6" fontId="15" numFmtId="14" xfId="0" applyBorder="1" applyFont="1" applyNumberFormat="1"/>
    <xf borderId="5" fillId="7" fontId="15" numFmtId="0" xfId="0" applyBorder="1" applyFill="1" applyFont="1"/>
    <xf borderId="5" fillId="7" fontId="18" numFmtId="0" xfId="0" applyAlignment="1" applyBorder="1" applyFont="1">
      <alignment horizontal="right"/>
    </xf>
    <xf borderId="5" fillId="7" fontId="15" numFmtId="0" xfId="0" applyAlignment="1" applyBorder="1" applyFont="1">
      <alignment horizontal="right"/>
    </xf>
    <xf borderId="5" fillId="7" fontId="15" numFmtId="0" xfId="0" applyAlignment="1" applyBorder="1" applyFont="1">
      <alignment horizontal="right"/>
    </xf>
    <xf borderId="5" fillId="6" fontId="15" numFmtId="22" xfId="0" applyBorder="1" applyFont="1" applyNumberFormat="1"/>
    <xf borderId="0" fillId="0" fontId="17" numFmtId="14" xfId="0" applyAlignment="1" applyFont="1" applyNumberFormat="1">
      <alignment vertical="bottom"/>
    </xf>
    <xf borderId="0" fillId="0" fontId="17" numFmtId="2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5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>
      <c r="A495" t="str">
        <f>IFERROR(__xludf.DUMMYFUNCTION("""COMPUTED_VALUE"""),"Dropcopy")</f>
        <v>Dropcopy</v>
      </c>
      <c r="B495" t="str">
        <f>IFERROR(__xludf.DUMMYFUNCTION("""COMPUTED_VALUE"""),"UploadDropcopyFile")</f>
        <v>UploadDropcopyFile</v>
      </c>
      <c r="C495" t="str">
        <f>IFERROR(__xludf.DUMMYFUNCTION("""COMPUTED_VALUE"""),"1W-fqHVGr66uN9zMhvO6QE-0fTnvoMIo31A_MC2VEFUY")</f>
        <v>1W-fqHVGr66uN9zMhvO6QE-0fTnvoMIo31A_MC2VEFUY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IFERROR(__xludf.DUMMYFUNCTION("""COMPUTED_VALUE"""),"StartTradeServer")</f>
        <v>StartTradeServer</v>
      </c>
      <c r="C496" t="str">
        <f>IFERROR(__xludf.DUMMYFUNCTION("""COMPUTED_VALUE"""),"1B9rnk-hL47W-7iUGju1P5wtQC8y0BGZIAhuxsistETQ")</f>
        <v>1B9rnk-hL47W-7iUGju1P5wtQC8y0BGZIAhuxsistETQ</v>
      </c>
    </row>
    <row r="497" ht="15.75" customHeight="1">
      <c r="A497" t="str">
        <f>IFERROR(__xludf.DUMMYFUNCTION("""COMPUTED_VALUE"""),"TradeServer")</f>
        <v>TradeServer</v>
      </c>
      <c r="B497" t="str">
        <f>IFERROR(__xludf.DUMMYFUNCTION("""COMPUTED_VALUE"""),"CloseTradeServer ")</f>
        <v>CloseTradeServer </v>
      </c>
      <c r="C497" t="str">
        <f>IFERROR(__xludf.DUMMYFUNCTION("""COMPUTED_VALUE"""),"174Tprzh0aMAZa-Ckuaucg-4aWwJTc-gYly9QXAbePh0")</f>
        <v>174Tprzh0aMAZa-Ckuaucg-4aWwJTc-gYly9QXAbePh0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IFERROR(__xludf.DUMMYFUNCTION("""COMPUTED_VALUE"""),"GetExecutionReportOrders")</f>
        <v>GetExecutionReportOrders</v>
      </c>
      <c r="C498" t="str">
        <f>IFERROR(__xludf.DUMMYFUNCTION("""COMPUTED_VALUE"""),"1hQPEUlOvv9Vi1KsbHsN6z0TIt4-v9Ckko9Z170M5bto")</f>
        <v>1hQPEUlOvv9Vi1KsbHsN6z0TIt4-v9Ckko9Z170M5bto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IFERROR(__xludf.DUMMYFUNCTION("""COMPUTED_VALUE"""),"GetExecutionReportDetails")</f>
        <v>GetExecutionReportDetails</v>
      </c>
      <c r="C499" t="str">
        <f>IFERROR(__xludf.DUMMYFUNCTION("""COMPUTED_VALUE"""),"1aD9Si2VBbY68g9PUfKv624K3d2PbLqScMJakPjZ8hFs")</f>
        <v>1aD9Si2VBbY68g9PUfKv624K3d2PbLqScMJakPjZ8hFs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IFERROR(__xludf.DUMMYFUNCTION("""COMPUTED_VALUE"""),"ExportExecutionReportData")</f>
        <v>ExportExecutionReportData</v>
      </c>
      <c r="C500" t="str">
        <f>IFERROR(__xludf.DUMMYFUNCTION("""COMPUTED_VALUE"""),"1a6yh6QYOXKH0UbWUlB2RKwf87hvs13OSFnVJBRYCYpM")</f>
        <v>1a6yh6QYOXKH0UbWUlB2RKwf87hvs13OSFnVJBRYCYpM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IFERROR(__xludf.DUMMYFUNCTION("""COMPUTED_VALUE"""),"VerifyExecutionReport")</f>
        <v>VerifyExecutionReport</v>
      </c>
      <c r="C501" t="str">
        <f>IFERROR(__xludf.DUMMYFUNCTION("""COMPUTED_VALUE"""),"15sKQ6yRs5rA6j70FvZOyg9HBsLCsZF-psuPGXdEFJSg")</f>
        <v>15sKQ6yRs5rA6j70FvZOyg9HBsLCsZF-psuPGXdEFJSg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IFERROR(__xludf.DUMMYFUNCTION("""COMPUTED_VALUE"""),"BlotterExecutionReportSnapshot")</f>
        <v>BlotterExecutionReportSnapshot</v>
      </c>
      <c r="C502" t="str">
        <f>IFERROR(__xludf.DUMMYFUNCTION("""COMPUTED_VALUE"""),"1O56bvbVFEtmCnv92OXcl9NqN7Zssjg6iXf_dOM4W0hs")</f>
        <v>1O56bvbVFEtmCnv92OXcl9NqN7Zssjg6iXf_dOM4W0hs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IFERROR(__xludf.DUMMYFUNCTION("""COMPUTED_VALUE"""),"SetDollarAmountPermission")</f>
        <v>SetDollarAmountPermission</v>
      </c>
      <c r="C503" t="str">
        <f>IFERROR(__xludf.DUMMYFUNCTION("""COMPUTED_VALUE"""),"19sxepfVnPP3DvqI8vW23p2yn2sob_Nn7_0R4WSGOgyc")</f>
        <v>19sxepfVnPP3DvqI8vW23p2yn2sob_Nn7_0R4WSGOgyc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IFERROR(__xludf.DUMMYFUNCTION("""COMPUTED_VALUE"""),"EnableDisableModule")</f>
        <v>EnableDisableModule</v>
      </c>
      <c r="C504" t="str">
        <f>IFERROR(__xludf.DUMMYFUNCTION("""COMPUTED_VALUE"""),"15tD_fIpFjzJbtr_OxvY-KeLg88908v4fXmpVzi9shPk")</f>
        <v>15tD_fIpFjzJbtr_OxvY-KeLg88908v4fXmpVzi9shPk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IFERROR(__xludf.DUMMYFUNCTION("""COMPUTED_VALUE"""),"MultipleTradeTransferToUserOrder")</f>
        <v>MultipleTradeTransferToUserOrder</v>
      </c>
      <c r="C505" t="str">
        <f>IFERROR(__xludf.DUMMYFUNCTION("""COMPUTED_VALUE"""),"1eTZQrT3XogDSDr8Yned5F-eab5T9uRCBh4Nq-huvYdE")</f>
        <v>1eTZQrT3XogDSDr8Yned5F-eab5T9uRCBh4Nq-huvYdE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IFERROR(__xludf.DUMMYFUNCTION("""COMPUTED_VALUE"""),"IsImportOverrideOnShortLocate")</f>
        <v>IsImportOverrideOnShortLocate</v>
      </c>
      <c r="C506" t="str">
        <f>IFERROR(__xludf.DUMMYFUNCTION("""COMPUTED_VALUE"""),"1HBroiXC_lXdWfzSFEUhcmVdGFqF-7ioRbfzMIhd-D84")</f>
        <v>1HBroiXC_lXdWfzSFEUhcmVdGFqF-7ioRbfzMIhd-D84</v>
      </c>
    </row>
    <row r="507" ht="15.75" customHeight="1">
      <c r="A507" t="str">
        <f>IFERROR(__xludf.DUMMYFUNCTION("""COMPUTED_VALUE"""),"Admin")</f>
        <v>Admin</v>
      </c>
      <c r="B507" t="str">
        <f>IFERROR(__xludf.DUMMYFUNCTION("""COMPUTED_VALUE"""),"SetShortLocateStructures")</f>
        <v>SetShortLocateStructures</v>
      </c>
      <c r="C507" t="str">
        <f>IFERROR(__xludf.DUMMYFUNCTION("""COMPUTED_VALUE"""),"1GBfDhS1Qx5z0a-XwiuVZHmjNQQNldS_oLDTK5hBKigQ")</f>
        <v>1GBfDhS1Qx5z0a-XwiuVZHmjNQQNldS_oLDTK5hBKigQ</v>
      </c>
    </row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 t="s">
        <v>19</v>
      </c>
      <c r="E6" s="30">
        <v>43495.0</v>
      </c>
      <c r="F6" s="11">
        <v>1.34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11" t="s">
        <v>18</v>
      </c>
      <c r="D7" s="11" t="s">
        <v>19</v>
      </c>
      <c r="E7" s="30">
        <v>43496.0</v>
      </c>
      <c r="F7" s="11">
        <v>1.344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11" t="s">
        <v>23</v>
      </c>
      <c r="D6" s="32">
        <v>2655650.38</v>
      </c>
      <c r="E6" s="31"/>
      <c r="F6" s="8"/>
      <c r="G6" s="8"/>
      <c r="H6" s="8"/>
      <c r="I6" s="8"/>
      <c r="J6" s="11">
        <v>1.33</v>
      </c>
      <c r="K6" s="8"/>
      <c r="L6" s="8"/>
      <c r="M6" s="8"/>
      <c r="N6" s="30">
        <v>43495.0</v>
      </c>
      <c r="O6" s="8"/>
      <c r="AK6" s="9" t="s">
        <v>24</v>
      </c>
      <c r="AM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3" t="s">
        <v>19</v>
      </c>
      <c r="E6" s="35">
        <v>43497.0</v>
      </c>
      <c r="F6" s="36">
        <v>1.35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18</v>
      </c>
      <c r="D7" s="37" t="s">
        <v>19</v>
      </c>
      <c r="E7" s="38">
        <v>43498.0</v>
      </c>
      <c r="F7" s="39">
        <v>1.35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17</v>
      </c>
      <c r="C8" s="37" t="s">
        <v>18</v>
      </c>
      <c r="D8" s="37" t="s">
        <v>19</v>
      </c>
      <c r="E8" s="38">
        <v>43499.0</v>
      </c>
      <c r="F8" s="39">
        <v>1.35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17</v>
      </c>
      <c r="C9" s="37" t="s">
        <v>18</v>
      </c>
      <c r="D9" s="37" t="s">
        <v>19</v>
      </c>
      <c r="E9" s="38">
        <v>43500.0</v>
      </c>
      <c r="F9" s="39">
        <v>1.357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17</v>
      </c>
      <c r="C10" s="37" t="s">
        <v>18</v>
      </c>
      <c r="D10" s="37" t="s">
        <v>19</v>
      </c>
      <c r="E10" s="38">
        <v>43501.0</v>
      </c>
      <c r="F10" s="39">
        <v>1.36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17</v>
      </c>
      <c r="C11" s="37" t="s">
        <v>18</v>
      </c>
      <c r="D11" s="37" t="s">
        <v>19</v>
      </c>
      <c r="E11" s="38">
        <v>43502.0</v>
      </c>
      <c r="F11" s="39">
        <v>1.375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36">
        <v>-0.004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43496.0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36">
        <v>-0.003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43498.0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43499.0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0">
        <v>43495.0</v>
      </c>
      <c r="D6" s="30">
        <v>43496.0</v>
      </c>
      <c r="E6" s="11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-0.0025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UpdateForwardPoints6!$4:$4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30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 t="s">
        <v>32</v>
      </c>
      <c r="D6" s="11"/>
      <c r="E6" s="30">
        <v>43502.0</v>
      </c>
      <c r="F6" s="8"/>
      <c r="G6" s="11">
        <v>2655650.38</v>
      </c>
      <c r="H6" s="8"/>
      <c r="I6" s="11"/>
      <c r="J6" s="11" t="s">
        <v>33</v>
      </c>
      <c r="K6" s="8"/>
      <c r="L6" s="8"/>
      <c r="M6" s="8"/>
      <c r="N6" s="8"/>
      <c r="O6" s="8"/>
      <c r="T6" s="9">
        <v>1.33</v>
      </c>
      <c r="Y6" s="9">
        <v>-73164.8797</v>
      </c>
      <c r="Z6" s="9" t="s">
        <v>23</v>
      </c>
      <c r="AB6" s="3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11" t="s">
        <v>32</v>
      </c>
      <c r="F6" s="8"/>
      <c r="G6" s="8"/>
      <c r="H6" s="8"/>
      <c r="I6" s="11">
        <v>1.33</v>
      </c>
      <c r="J6" s="8"/>
      <c r="K6" s="8"/>
      <c r="L6" s="8"/>
      <c r="M6" s="8"/>
      <c r="N6" s="8"/>
      <c r="O6" s="8"/>
      <c r="AU6" s="9">
        <v>0.7519</v>
      </c>
      <c r="BV6" s="9" t="s">
        <v>23</v>
      </c>
      <c r="CG6" s="9">
        <v>2655650.38</v>
      </c>
      <c r="DH6" s="3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0">
        <v>43495.0</v>
      </c>
      <c r="D6" s="30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19.14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11">
        <v>2655650.38</v>
      </c>
      <c r="F6" s="8"/>
      <c r="G6" s="11" t="s">
        <v>32</v>
      </c>
      <c r="H6" s="8"/>
      <c r="I6" s="8"/>
      <c r="J6" s="8"/>
      <c r="K6" s="11">
        <v>0.75187969924812</v>
      </c>
      <c r="L6" s="11">
        <v>1.33</v>
      </c>
      <c r="M6" s="8"/>
      <c r="N6" s="8"/>
      <c r="O6" s="8"/>
      <c r="AI6" s="9">
        <v>0.7519</v>
      </c>
      <c r="AT6" s="9">
        <v>2655650.38</v>
      </c>
      <c r="AU6" s="9">
        <v>3532015.0054</v>
      </c>
      <c r="BE6" s="9">
        <v>2655650.38</v>
      </c>
      <c r="BF6" s="9">
        <v>3532015.0054</v>
      </c>
      <c r="BJ6" s="9">
        <v>2655650.38</v>
      </c>
      <c r="BO6" s="9" t="s">
        <v>23</v>
      </c>
      <c r="BT6" s="32" t="s">
        <v>22</v>
      </c>
    </row>
    <row r="7" ht="15.75" customHeight="1">
      <c r="A7" s="8"/>
      <c r="B7" s="11" t="s">
        <v>24</v>
      </c>
      <c r="C7" s="8"/>
      <c r="D7" s="8"/>
      <c r="E7" s="11">
        <v>2655650.38</v>
      </c>
      <c r="F7" s="8"/>
      <c r="G7" s="11" t="s">
        <v>32</v>
      </c>
      <c r="H7" s="8"/>
      <c r="I7" s="8"/>
      <c r="J7" s="8"/>
      <c r="K7" s="32">
        <v>0.75187969924812</v>
      </c>
      <c r="L7" s="11">
        <v>1.33</v>
      </c>
      <c r="M7" s="8"/>
      <c r="N7" s="8"/>
      <c r="O7" s="8"/>
      <c r="AI7" s="9">
        <v>1.33</v>
      </c>
      <c r="AT7" s="9">
        <v>2655650.38</v>
      </c>
      <c r="AU7" s="9">
        <v>3532015.0054</v>
      </c>
      <c r="BE7" s="9">
        <v>2655650.38</v>
      </c>
      <c r="BF7" s="9">
        <v>3532015.0054</v>
      </c>
      <c r="BJ7" s="9">
        <v>2655650.38</v>
      </c>
      <c r="BO7" s="9" t="s">
        <v>38</v>
      </c>
      <c r="BT7" s="32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43495.0</v>
      </c>
      <c r="E6" s="30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>
        <v>43502.0</v>
      </c>
      <c r="C6" s="8"/>
      <c r="D6" s="11"/>
      <c r="E6" s="11">
        <v>3532015.01</v>
      </c>
      <c r="F6" s="8"/>
      <c r="G6" s="11">
        <v>0.7352941176471</v>
      </c>
      <c r="H6" s="8"/>
      <c r="I6" s="11" t="s">
        <v>43</v>
      </c>
      <c r="J6" s="8"/>
      <c r="K6" s="11" t="s">
        <v>18</v>
      </c>
      <c r="L6" s="11" t="s">
        <v>17</v>
      </c>
      <c r="M6" s="32" t="s">
        <v>22</v>
      </c>
      <c r="N6" s="8"/>
      <c r="O6" s="11">
        <v>2597069.86</v>
      </c>
      <c r="Q6" s="42" t="s">
        <v>44</v>
      </c>
      <c r="R6" s="43" t="s">
        <v>24</v>
      </c>
    </row>
    <row r="7" ht="15.75" customHeight="1">
      <c r="A7" s="8"/>
      <c r="B7" s="38">
        <v>43502.0</v>
      </c>
      <c r="C7" s="8"/>
      <c r="D7" s="8"/>
      <c r="E7" s="8"/>
      <c r="F7" s="11">
        <v>2655650.38</v>
      </c>
      <c r="G7" s="11">
        <v>1.0</v>
      </c>
      <c r="H7" s="8"/>
      <c r="I7" s="11" t="s">
        <v>45</v>
      </c>
      <c r="J7" s="8"/>
      <c r="K7" s="11" t="s">
        <v>17</v>
      </c>
      <c r="L7" s="11" t="s">
        <v>17</v>
      </c>
      <c r="M7" s="32" t="s">
        <v>22</v>
      </c>
      <c r="N7" s="8"/>
      <c r="O7" s="8"/>
      <c r="P7" s="9">
        <v>2655650.38</v>
      </c>
      <c r="Q7" s="44" t="s">
        <v>44</v>
      </c>
      <c r="R7" s="45" t="s">
        <v>24</v>
      </c>
    </row>
    <row r="8" ht="15.75" customHeight="1">
      <c r="A8" s="8"/>
      <c r="B8" s="38">
        <v>43502.0</v>
      </c>
      <c r="C8" s="8"/>
      <c r="D8" s="8"/>
      <c r="E8" s="11">
        <v>73164.88</v>
      </c>
      <c r="F8" s="8"/>
      <c r="G8" s="11">
        <v>0.7352941176471</v>
      </c>
      <c r="H8" s="8"/>
      <c r="I8" s="11" t="s">
        <v>43</v>
      </c>
      <c r="J8" s="8"/>
      <c r="K8" s="11" t="s">
        <v>18</v>
      </c>
      <c r="L8" s="11" t="s">
        <v>17</v>
      </c>
      <c r="M8" s="32" t="s">
        <v>22</v>
      </c>
      <c r="N8" s="8"/>
      <c r="O8" s="11">
        <v>53797.71</v>
      </c>
      <c r="Q8" s="46" t="s">
        <v>46</v>
      </c>
      <c r="R8" s="45" t="s">
        <v>24</v>
      </c>
    </row>
    <row r="9" ht="15.75" customHeight="1">
      <c r="A9" s="8"/>
      <c r="B9" s="38">
        <v>43502.0</v>
      </c>
      <c r="C9" s="8"/>
      <c r="D9" s="8"/>
      <c r="E9" s="11">
        <v>6504.63</v>
      </c>
      <c r="F9" s="8"/>
      <c r="G9" s="11">
        <v>0.7352941176471</v>
      </c>
      <c r="H9" s="8"/>
      <c r="I9" s="11" t="s">
        <v>43</v>
      </c>
      <c r="J9" s="8"/>
      <c r="K9" s="11" t="s">
        <v>18</v>
      </c>
      <c r="L9" s="11" t="s">
        <v>17</v>
      </c>
      <c r="M9" s="32" t="s">
        <v>22</v>
      </c>
      <c r="N9" s="8"/>
      <c r="O9" s="11">
        <v>4782.82</v>
      </c>
      <c r="Q9" s="46" t="s">
        <v>47</v>
      </c>
      <c r="R9" s="45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43495.0</v>
      </c>
      <c r="E6" s="30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3.43"/>
    <col customWidth="1" min="5" max="5" width="18.57"/>
    <col customWidth="1" min="6" max="6" width="38.29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7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43495.0</v>
      </c>
      <c r="C6" s="48" t="s">
        <v>24</v>
      </c>
      <c r="D6" s="49" t="s">
        <v>22</v>
      </c>
      <c r="E6" s="49" t="s">
        <v>18</v>
      </c>
      <c r="F6" s="50" t="s">
        <v>51</v>
      </c>
      <c r="G6" s="51">
        <v>15981.6099999999</v>
      </c>
      <c r="H6" s="52">
        <v>0.0</v>
      </c>
      <c r="I6" s="8"/>
      <c r="J6" s="8"/>
      <c r="K6" s="8"/>
      <c r="L6" s="53">
        <v>0.7462686567164178</v>
      </c>
      <c r="M6" s="8"/>
      <c r="N6" s="48" t="s">
        <v>43</v>
      </c>
      <c r="O6" s="48" t="s">
        <v>52</v>
      </c>
      <c r="P6" s="48" t="s">
        <v>17</v>
      </c>
      <c r="Q6" s="50" t="s">
        <v>53</v>
      </c>
      <c r="R6" s="54">
        <v>11926.574626865598</v>
      </c>
      <c r="S6" s="54">
        <v>0.0</v>
      </c>
      <c r="T6" s="55"/>
      <c r="U6" s="55"/>
      <c r="V6" s="55"/>
      <c r="W6" s="55"/>
      <c r="X6" s="55"/>
    </row>
    <row r="7" ht="15.75" customHeight="1">
      <c r="A7" s="8"/>
      <c r="B7" s="56">
        <v>43495.0</v>
      </c>
      <c r="C7" s="50" t="s">
        <v>24</v>
      </c>
      <c r="D7" s="50" t="s">
        <v>22</v>
      </c>
      <c r="E7" s="49" t="s">
        <v>18</v>
      </c>
      <c r="F7" s="57" t="s">
        <v>54</v>
      </c>
      <c r="G7" s="58">
        <v>0.0</v>
      </c>
      <c r="H7" s="59">
        <v>15981.6099999999</v>
      </c>
      <c r="I7" s="8"/>
      <c r="J7" s="8"/>
      <c r="K7" s="8"/>
      <c r="L7" s="59">
        <v>0.7462686567164178</v>
      </c>
      <c r="M7" s="8"/>
      <c r="N7" s="57" t="s">
        <v>45</v>
      </c>
      <c r="O7" s="57" t="s">
        <v>52</v>
      </c>
      <c r="P7" s="57" t="s">
        <v>17</v>
      </c>
      <c r="Q7" s="50" t="s">
        <v>53</v>
      </c>
      <c r="R7" s="60">
        <v>0.0</v>
      </c>
      <c r="S7" s="60">
        <v>11926.574626865598</v>
      </c>
      <c r="T7" s="55"/>
      <c r="U7" s="55"/>
      <c r="V7" s="55"/>
      <c r="W7" s="55"/>
      <c r="X7" s="55"/>
    </row>
    <row r="8" ht="15.75" customHeight="1">
      <c r="A8" s="8"/>
      <c r="B8" s="56">
        <v>43496.0</v>
      </c>
      <c r="C8" s="50" t="s">
        <v>24</v>
      </c>
      <c r="D8" s="50" t="s">
        <v>22</v>
      </c>
      <c r="E8" s="49" t="s">
        <v>18</v>
      </c>
      <c r="F8" s="50" t="s">
        <v>51</v>
      </c>
      <c r="G8" s="51">
        <v>29277.5099999998</v>
      </c>
      <c r="H8" s="52">
        <v>0.0</v>
      </c>
      <c r="I8" s="8"/>
      <c r="J8" s="8"/>
      <c r="K8" s="8"/>
      <c r="L8" s="51">
        <v>0.744047619047619</v>
      </c>
      <c r="M8" s="8"/>
      <c r="N8" s="50" t="s">
        <v>43</v>
      </c>
      <c r="O8" s="50" t="s">
        <v>52</v>
      </c>
      <c r="P8" s="50" t="s">
        <v>17</v>
      </c>
      <c r="Q8" s="50" t="s">
        <v>53</v>
      </c>
      <c r="R8" s="54">
        <v>21783.861607142706</v>
      </c>
      <c r="S8" s="54">
        <v>0.0</v>
      </c>
      <c r="T8" s="55"/>
      <c r="U8" s="55"/>
      <c r="V8" s="55"/>
      <c r="W8" s="55"/>
      <c r="X8" s="55"/>
    </row>
    <row r="9" ht="15.75" customHeight="1">
      <c r="A9" s="8"/>
      <c r="B9" s="56">
        <v>43496.0</v>
      </c>
      <c r="C9" s="50" t="s">
        <v>24</v>
      </c>
      <c r="D9" s="50" t="s">
        <v>22</v>
      </c>
      <c r="E9" s="49" t="s">
        <v>18</v>
      </c>
      <c r="F9" s="57" t="s">
        <v>54</v>
      </c>
      <c r="G9" s="58">
        <v>0.0</v>
      </c>
      <c r="H9" s="59">
        <v>29277.5099999998</v>
      </c>
      <c r="I9" s="8"/>
      <c r="J9" s="8"/>
      <c r="K9" s="8"/>
      <c r="L9" s="59">
        <v>0.744047619047619</v>
      </c>
      <c r="M9" s="8"/>
      <c r="N9" s="57" t="s">
        <v>45</v>
      </c>
      <c r="O9" s="57" t="s">
        <v>52</v>
      </c>
      <c r="P9" s="57" t="s">
        <v>17</v>
      </c>
      <c r="Q9" s="50" t="s">
        <v>53</v>
      </c>
      <c r="R9" s="60">
        <v>0.0</v>
      </c>
      <c r="S9" s="60">
        <v>21783.861607142706</v>
      </c>
      <c r="T9" s="55"/>
      <c r="U9" s="55"/>
      <c r="V9" s="55"/>
      <c r="W9" s="55"/>
      <c r="X9" s="55"/>
    </row>
    <row r="10" ht="15.75" customHeight="1">
      <c r="A10" s="8"/>
      <c r="B10" s="56">
        <v>43496.0</v>
      </c>
      <c r="C10" s="50" t="s">
        <v>24</v>
      </c>
      <c r="D10" s="50" t="s">
        <v>22</v>
      </c>
      <c r="E10" s="49" t="s">
        <v>18</v>
      </c>
      <c r="F10" s="50" t="s">
        <v>54</v>
      </c>
      <c r="G10" s="51">
        <v>15981.6084821429</v>
      </c>
      <c r="H10" s="52">
        <v>0.0</v>
      </c>
      <c r="I10" s="8"/>
      <c r="J10" s="8"/>
      <c r="K10" s="8"/>
      <c r="L10" s="51">
        <v>0.7462686567164178</v>
      </c>
      <c r="M10" s="8"/>
      <c r="N10" s="50" t="s">
        <v>43</v>
      </c>
      <c r="O10" s="50" t="s">
        <v>52</v>
      </c>
      <c r="P10" s="50" t="s">
        <v>17</v>
      </c>
      <c r="Q10" s="50" t="s">
        <v>55</v>
      </c>
      <c r="R10" s="54">
        <v>11926.573494136495</v>
      </c>
      <c r="S10" s="54">
        <v>0.0</v>
      </c>
      <c r="T10" s="55"/>
      <c r="U10" s="55"/>
      <c r="V10" s="55"/>
      <c r="W10" s="55"/>
      <c r="X10" s="55"/>
    </row>
    <row r="11" ht="15.75" customHeight="1">
      <c r="A11" s="8"/>
      <c r="B11" s="56">
        <v>43496.0</v>
      </c>
      <c r="C11" s="50" t="s">
        <v>24</v>
      </c>
      <c r="D11" s="50" t="s">
        <v>22</v>
      </c>
      <c r="E11" s="49" t="s">
        <v>18</v>
      </c>
      <c r="F11" s="57" t="s">
        <v>51</v>
      </c>
      <c r="G11" s="58">
        <v>0.0</v>
      </c>
      <c r="H11" s="59">
        <v>15981.6084821429</v>
      </c>
      <c r="I11" s="8"/>
      <c r="J11" s="8"/>
      <c r="K11" s="8"/>
      <c r="L11" s="59">
        <v>0.7462686567164178</v>
      </c>
      <c r="M11" s="8"/>
      <c r="N11" s="57" t="s">
        <v>45</v>
      </c>
      <c r="O11" s="57" t="s">
        <v>52</v>
      </c>
      <c r="P11" s="57" t="s">
        <v>17</v>
      </c>
      <c r="Q11" s="50" t="s">
        <v>55</v>
      </c>
      <c r="R11" s="60">
        <v>0.0</v>
      </c>
      <c r="S11" s="60">
        <v>11926.573494136495</v>
      </c>
      <c r="T11" s="55"/>
      <c r="U11" s="55"/>
      <c r="V11" s="55"/>
      <c r="W11" s="55"/>
      <c r="X11" s="55"/>
    </row>
    <row r="12" ht="15.75" customHeight="1">
      <c r="A12" s="8"/>
      <c r="B12" s="56">
        <v>43497.0</v>
      </c>
      <c r="C12" s="50" t="s">
        <v>24</v>
      </c>
      <c r="D12" s="50" t="s">
        <v>22</v>
      </c>
      <c r="E12" s="49" t="s">
        <v>18</v>
      </c>
      <c r="F12" s="50" t="s">
        <v>51</v>
      </c>
      <c r="G12" s="51">
        <v>39982.8399999998</v>
      </c>
      <c r="H12" s="52">
        <v>0.0</v>
      </c>
      <c r="I12" s="8"/>
      <c r="J12" s="8"/>
      <c r="K12" s="8"/>
      <c r="L12" s="51">
        <v>0.7407407407407407</v>
      </c>
      <c r="M12" s="8"/>
      <c r="N12" s="50" t="s">
        <v>43</v>
      </c>
      <c r="O12" s="50" t="s">
        <v>52</v>
      </c>
      <c r="P12" s="50" t="s">
        <v>17</v>
      </c>
      <c r="Q12" s="50" t="s">
        <v>53</v>
      </c>
      <c r="R12" s="54">
        <v>29616.91851851838</v>
      </c>
      <c r="S12" s="54">
        <v>0.0</v>
      </c>
      <c r="T12" s="55"/>
      <c r="U12" s="55"/>
      <c r="V12" s="55"/>
      <c r="W12" s="55"/>
      <c r="X12" s="55"/>
    </row>
    <row r="13" ht="15.75" customHeight="1">
      <c r="A13" s="8"/>
      <c r="B13" s="56">
        <v>43497.0</v>
      </c>
      <c r="C13" s="50" t="s">
        <v>24</v>
      </c>
      <c r="D13" s="50" t="s">
        <v>22</v>
      </c>
      <c r="E13" s="49" t="s">
        <v>18</v>
      </c>
      <c r="F13" s="57" t="s">
        <v>54</v>
      </c>
      <c r="G13" s="58">
        <v>0.0</v>
      </c>
      <c r="H13" s="59">
        <v>39982.8399999998</v>
      </c>
      <c r="I13" s="8"/>
      <c r="J13" s="8"/>
      <c r="K13" s="8"/>
      <c r="L13" s="59">
        <v>0.7407407407407407</v>
      </c>
      <c r="M13" s="8"/>
      <c r="N13" s="57" t="s">
        <v>45</v>
      </c>
      <c r="O13" s="57" t="s">
        <v>52</v>
      </c>
      <c r="P13" s="57" t="s">
        <v>17</v>
      </c>
      <c r="Q13" s="50" t="s">
        <v>53</v>
      </c>
      <c r="R13" s="60">
        <v>0.0</v>
      </c>
      <c r="S13" s="60">
        <v>29616.91851851838</v>
      </c>
      <c r="T13" s="55"/>
      <c r="U13" s="55"/>
      <c r="V13" s="55"/>
      <c r="W13" s="55"/>
      <c r="X13" s="55"/>
    </row>
    <row r="14" ht="15.75" customHeight="1">
      <c r="A14" s="8"/>
      <c r="B14" s="56">
        <v>43497.0</v>
      </c>
      <c r="C14" s="50" t="s">
        <v>24</v>
      </c>
      <c r="D14" s="50" t="s">
        <v>22</v>
      </c>
      <c r="E14" s="49" t="s">
        <v>18</v>
      </c>
      <c r="F14" s="50" t="s">
        <v>54</v>
      </c>
      <c r="G14" s="51">
        <v>29277.5077333334</v>
      </c>
      <c r="H14" s="52">
        <v>0.0</v>
      </c>
      <c r="I14" s="8"/>
      <c r="J14" s="8"/>
      <c r="K14" s="8"/>
      <c r="L14" s="51">
        <v>0.744047619047619</v>
      </c>
      <c r="M14" s="8"/>
      <c r="N14" s="50" t="s">
        <v>43</v>
      </c>
      <c r="O14" s="50" t="s">
        <v>52</v>
      </c>
      <c r="P14" s="50" t="s">
        <v>17</v>
      </c>
      <c r="Q14" s="50" t="s">
        <v>55</v>
      </c>
      <c r="R14" s="54">
        <v>21783.859920634968</v>
      </c>
      <c r="S14" s="54">
        <v>0.0</v>
      </c>
      <c r="T14" s="55"/>
      <c r="U14" s="55"/>
      <c r="V14" s="55"/>
      <c r="W14" s="55"/>
      <c r="X14" s="55"/>
    </row>
    <row r="15" ht="15.75" customHeight="1">
      <c r="A15" s="8"/>
      <c r="B15" s="56">
        <v>43497.0</v>
      </c>
      <c r="C15" s="50" t="s">
        <v>24</v>
      </c>
      <c r="D15" s="50" t="s">
        <v>22</v>
      </c>
      <c r="E15" s="49" t="s">
        <v>18</v>
      </c>
      <c r="F15" s="57" t="s">
        <v>51</v>
      </c>
      <c r="G15" s="58">
        <v>0.0</v>
      </c>
      <c r="H15" s="59">
        <v>29277.5077333334</v>
      </c>
      <c r="I15" s="8"/>
      <c r="J15" s="8"/>
      <c r="K15" s="8"/>
      <c r="L15" s="59">
        <v>0.744047619047619</v>
      </c>
      <c r="M15" s="8"/>
      <c r="N15" s="57" t="s">
        <v>45</v>
      </c>
      <c r="O15" s="57" t="s">
        <v>52</v>
      </c>
      <c r="P15" s="57" t="s">
        <v>17</v>
      </c>
      <c r="Q15" s="50" t="s">
        <v>55</v>
      </c>
      <c r="R15" s="60">
        <v>0.0</v>
      </c>
      <c r="S15" s="60">
        <v>21783.859920634968</v>
      </c>
      <c r="T15" s="55"/>
      <c r="U15" s="55"/>
      <c r="V15" s="55"/>
      <c r="W15" s="55"/>
      <c r="X15" s="55"/>
    </row>
    <row r="16" ht="15.75" customHeight="1">
      <c r="A16" s="8"/>
      <c r="B16" s="56">
        <v>43498.0</v>
      </c>
      <c r="C16" s="50" t="s">
        <v>24</v>
      </c>
      <c r="D16" s="50" t="s">
        <v>22</v>
      </c>
      <c r="E16" s="49" t="s">
        <v>18</v>
      </c>
      <c r="F16" s="50" t="s">
        <v>51</v>
      </c>
      <c r="G16" s="51">
        <v>39982.8399999998</v>
      </c>
      <c r="H16" s="52">
        <v>0.0</v>
      </c>
      <c r="I16" s="8"/>
      <c r="J16" s="8"/>
      <c r="K16" s="8"/>
      <c r="L16" s="51">
        <v>0.7407407407407407</v>
      </c>
      <c r="M16" s="8"/>
      <c r="N16" s="50" t="s">
        <v>43</v>
      </c>
      <c r="O16" s="50" t="s">
        <v>52</v>
      </c>
      <c r="P16" s="50" t="s">
        <v>17</v>
      </c>
      <c r="Q16" s="50" t="s">
        <v>53</v>
      </c>
      <c r="R16" s="54">
        <v>29616.91851851838</v>
      </c>
      <c r="S16" s="54">
        <v>0.0</v>
      </c>
      <c r="T16" s="55"/>
      <c r="U16" s="55"/>
      <c r="V16" s="55"/>
      <c r="W16" s="55"/>
      <c r="X16" s="55"/>
    </row>
    <row r="17" ht="15.75" customHeight="1">
      <c r="A17" s="8"/>
      <c r="B17" s="56">
        <v>43498.0</v>
      </c>
      <c r="C17" s="50" t="s">
        <v>24</v>
      </c>
      <c r="D17" s="50" t="s">
        <v>22</v>
      </c>
      <c r="E17" s="49" t="s">
        <v>18</v>
      </c>
      <c r="F17" s="57" t="s">
        <v>54</v>
      </c>
      <c r="G17" s="58">
        <v>0.0</v>
      </c>
      <c r="H17" s="59">
        <v>39982.8399999998</v>
      </c>
      <c r="I17" s="8"/>
      <c r="J17" s="8"/>
      <c r="K17" s="8"/>
      <c r="L17" s="59">
        <v>0.7407407407407407</v>
      </c>
      <c r="M17" s="8"/>
      <c r="N17" s="57" t="s">
        <v>45</v>
      </c>
      <c r="O17" s="57" t="s">
        <v>52</v>
      </c>
      <c r="P17" s="57" t="s">
        <v>17</v>
      </c>
      <c r="Q17" s="50" t="s">
        <v>53</v>
      </c>
      <c r="R17" s="60">
        <v>0.0</v>
      </c>
      <c r="S17" s="60">
        <v>29616.91851851838</v>
      </c>
      <c r="T17" s="55"/>
      <c r="U17" s="55"/>
      <c r="V17" s="55"/>
      <c r="W17" s="55"/>
      <c r="X17" s="55"/>
    </row>
    <row r="18" ht="15.75" customHeight="1">
      <c r="A18" s="8"/>
      <c r="B18" s="56">
        <v>43498.0</v>
      </c>
      <c r="C18" s="50" t="s">
        <v>24</v>
      </c>
      <c r="D18" s="50" t="s">
        <v>22</v>
      </c>
      <c r="E18" s="49" t="s">
        <v>18</v>
      </c>
      <c r="F18" s="50" t="s">
        <v>54</v>
      </c>
      <c r="G18" s="51">
        <v>39982.8399999998</v>
      </c>
      <c r="H18" s="52">
        <v>0.0</v>
      </c>
      <c r="I18" s="8"/>
      <c r="J18" s="8"/>
      <c r="K18" s="8"/>
      <c r="L18" s="51">
        <v>0.7407407407407407</v>
      </c>
      <c r="M18" s="8"/>
      <c r="N18" s="50" t="s">
        <v>43</v>
      </c>
      <c r="O18" s="50" t="s">
        <v>52</v>
      </c>
      <c r="P18" s="50" t="s">
        <v>17</v>
      </c>
      <c r="Q18" s="50" t="s">
        <v>55</v>
      </c>
      <c r="R18" s="54">
        <v>29616.91851851838</v>
      </c>
      <c r="S18" s="54">
        <v>0.0</v>
      </c>
      <c r="T18" s="55"/>
      <c r="U18" s="55"/>
      <c r="V18" s="55"/>
      <c r="W18" s="55"/>
      <c r="X18" s="55"/>
    </row>
    <row r="19" ht="15.75" customHeight="1">
      <c r="A19" s="8"/>
      <c r="B19" s="56">
        <v>43498.0</v>
      </c>
      <c r="C19" s="50" t="s">
        <v>24</v>
      </c>
      <c r="D19" s="50" t="s">
        <v>22</v>
      </c>
      <c r="E19" s="49" t="s">
        <v>18</v>
      </c>
      <c r="F19" s="57" t="s">
        <v>51</v>
      </c>
      <c r="G19" s="58">
        <v>0.0</v>
      </c>
      <c r="H19" s="59">
        <v>39982.8399999998</v>
      </c>
      <c r="I19" s="8"/>
      <c r="J19" s="8"/>
      <c r="K19" s="8"/>
      <c r="L19" s="59">
        <v>0.7407407407407407</v>
      </c>
      <c r="M19" s="8"/>
      <c r="N19" s="57" t="s">
        <v>45</v>
      </c>
      <c r="O19" s="57" t="s">
        <v>52</v>
      </c>
      <c r="P19" s="57" t="s">
        <v>17</v>
      </c>
      <c r="Q19" s="50" t="s">
        <v>55</v>
      </c>
      <c r="R19" s="60">
        <v>0.0</v>
      </c>
      <c r="S19" s="60">
        <v>29616.91851851838</v>
      </c>
      <c r="T19" s="55"/>
      <c r="U19" s="55"/>
      <c r="V19" s="55"/>
      <c r="W19" s="55"/>
      <c r="X19" s="55"/>
    </row>
    <row r="20" ht="15.75" customHeight="1">
      <c r="A20" s="8"/>
      <c r="B20" s="56">
        <v>43499.0</v>
      </c>
      <c r="C20" s="50" t="s">
        <v>24</v>
      </c>
      <c r="D20" s="50" t="s">
        <v>22</v>
      </c>
      <c r="E20" s="49" t="s">
        <v>18</v>
      </c>
      <c r="F20" s="50" t="s">
        <v>51</v>
      </c>
      <c r="G20" s="51">
        <v>39982.8399999998</v>
      </c>
      <c r="H20" s="52">
        <v>0.0</v>
      </c>
      <c r="I20" s="8"/>
      <c r="J20" s="8"/>
      <c r="K20" s="8"/>
      <c r="L20" s="51">
        <v>0.7407407407407407</v>
      </c>
      <c r="M20" s="8"/>
      <c r="N20" s="50" t="s">
        <v>43</v>
      </c>
      <c r="O20" s="50" t="s">
        <v>52</v>
      </c>
      <c r="P20" s="50" t="s">
        <v>17</v>
      </c>
      <c r="Q20" s="50" t="s">
        <v>53</v>
      </c>
      <c r="R20" s="54">
        <v>29616.91851851838</v>
      </c>
      <c r="S20" s="54">
        <v>0.0</v>
      </c>
      <c r="T20" s="55"/>
      <c r="U20" s="55"/>
      <c r="V20" s="55"/>
      <c r="W20" s="55"/>
      <c r="X20" s="55"/>
    </row>
    <row r="21" ht="15.75" customHeight="1">
      <c r="A21" s="8"/>
      <c r="B21" s="56">
        <v>43499.0</v>
      </c>
      <c r="C21" s="50" t="s">
        <v>24</v>
      </c>
      <c r="D21" s="50" t="s">
        <v>22</v>
      </c>
      <c r="E21" s="49" t="s">
        <v>18</v>
      </c>
      <c r="F21" s="57" t="s">
        <v>54</v>
      </c>
      <c r="G21" s="58">
        <v>0.0</v>
      </c>
      <c r="H21" s="59">
        <v>39982.8399999998</v>
      </c>
      <c r="I21" s="8"/>
      <c r="J21" s="8"/>
      <c r="K21" s="8"/>
      <c r="L21" s="59">
        <v>0.7407407407407407</v>
      </c>
      <c r="M21" s="8"/>
      <c r="N21" s="57" t="s">
        <v>45</v>
      </c>
      <c r="O21" s="57" t="s">
        <v>52</v>
      </c>
      <c r="P21" s="57" t="s">
        <v>17</v>
      </c>
      <c r="Q21" s="50" t="s">
        <v>53</v>
      </c>
      <c r="R21" s="60">
        <v>0.0</v>
      </c>
      <c r="S21" s="60">
        <v>29616.91851851838</v>
      </c>
      <c r="T21" s="55"/>
      <c r="U21" s="55"/>
      <c r="V21" s="55"/>
      <c r="W21" s="55"/>
      <c r="X21" s="55"/>
    </row>
    <row r="22" ht="15.75" customHeight="1">
      <c r="A22" s="8"/>
      <c r="B22" s="56">
        <v>43499.0</v>
      </c>
      <c r="C22" s="50" t="s">
        <v>24</v>
      </c>
      <c r="D22" s="50" t="s">
        <v>22</v>
      </c>
      <c r="E22" s="49" t="s">
        <v>18</v>
      </c>
      <c r="F22" s="50" t="s">
        <v>54</v>
      </c>
      <c r="G22" s="51">
        <v>39982.8399999998</v>
      </c>
      <c r="H22" s="52">
        <v>0.0</v>
      </c>
      <c r="I22" s="8"/>
      <c r="J22" s="8"/>
      <c r="K22" s="8"/>
      <c r="L22" s="51">
        <v>0.7407407407407407</v>
      </c>
      <c r="M22" s="8"/>
      <c r="N22" s="50" t="s">
        <v>43</v>
      </c>
      <c r="O22" s="50" t="s">
        <v>52</v>
      </c>
      <c r="P22" s="50" t="s">
        <v>17</v>
      </c>
      <c r="Q22" s="50" t="s">
        <v>55</v>
      </c>
      <c r="R22" s="54">
        <v>29616.91851851838</v>
      </c>
      <c r="S22" s="54">
        <v>0.0</v>
      </c>
      <c r="T22" s="55"/>
      <c r="U22" s="55"/>
      <c r="V22" s="55"/>
      <c r="W22" s="55"/>
      <c r="X22" s="55"/>
    </row>
    <row r="23" ht="15.75" customHeight="1">
      <c r="A23" s="8"/>
      <c r="B23" s="56">
        <v>43499.0</v>
      </c>
      <c r="C23" s="50" t="s">
        <v>24</v>
      </c>
      <c r="D23" s="50" t="s">
        <v>22</v>
      </c>
      <c r="E23" s="49" t="s">
        <v>18</v>
      </c>
      <c r="F23" s="57" t="s">
        <v>51</v>
      </c>
      <c r="G23" s="58">
        <v>0.0</v>
      </c>
      <c r="H23" s="59">
        <v>39982.8399999998</v>
      </c>
      <c r="I23" s="8"/>
      <c r="J23" s="8"/>
      <c r="K23" s="8"/>
      <c r="L23" s="59">
        <v>0.7407407407407407</v>
      </c>
      <c r="M23" s="8"/>
      <c r="N23" s="57" t="s">
        <v>45</v>
      </c>
      <c r="O23" s="57" t="s">
        <v>52</v>
      </c>
      <c r="P23" s="57" t="s">
        <v>17</v>
      </c>
      <c r="Q23" s="50" t="s">
        <v>55</v>
      </c>
      <c r="R23" s="60">
        <v>0.0</v>
      </c>
      <c r="S23" s="60">
        <v>29616.91851851838</v>
      </c>
      <c r="T23" s="55"/>
      <c r="U23" s="55"/>
      <c r="V23" s="55"/>
      <c r="W23" s="55"/>
      <c r="X23" s="55"/>
    </row>
    <row r="24" ht="15.75" customHeight="1">
      <c r="A24" s="8"/>
      <c r="B24" s="56">
        <v>43500.0</v>
      </c>
      <c r="C24" s="50" t="s">
        <v>24</v>
      </c>
      <c r="D24" s="50" t="s">
        <v>22</v>
      </c>
      <c r="E24" s="49" t="s">
        <v>18</v>
      </c>
      <c r="F24" s="50" t="s">
        <v>51</v>
      </c>
      <c r="G24" s="51">
        <v>66489.2599999998</v>
      </c>
      <c r="H24" s="52">
        <v>0.0</v>
      </c>
      <c r="I24" s="8"/>
      <c r="J24" s="8"/>
      <c r="K24" s="8"/>
      <c r="L24" s="51">
        <v>0.7369196757553427</v>
      </c>
      <c r="M24" s="8"/>
      <c r="N24" s="50" t="s">
        <v>43</v>
      </c>
      <c r="O24" s="50" t="s">
        <v>52</v>
      </c>
      <c r="P24" s="50" t="s">
        <v>17</v>
      </c>
      <c r="Q24" s="50" t="s">
        <v>53</v>
      </c>
      <c r="R24" s="54">
        <v>48997.24392041255</v>
      </c>
      <c r="S24" s="54">
        <v>0.0</v>
      </c>
      <c r="T24" s="55"/>
      <c r="U24" s="55"/>
      <c r="V24" s="55"/>
      <c r="W24" s="55"/>
      <c r="X24" s="55"/>
    </row>
    <row r="25" ht="15.75" customHeight="1">
      <c r="A25" s="8"/>
      <c r="B25" s="56">
        <v>43500.0</v>
      </c>
      <c r="C25" s="50" t="s">
        <v>24</v>
      </c>
      <c r="D25" s="50" t="s">
        <v>22</v>
      </c>
      <c r="E25" s="49" t="s">
        <v>18</v>
      </c>
      <c r="F25" s="57" t="s">
        <v>54</v>
      </c>
      <c r="G25" s="58">
        <v>0.0</v>
      </c>
      <c r="H25" s="59">
        <v>66489.2599999998</v>
      </c>
      <c r="I25" s="8"/>
      <c r="J25" s="8"/>
      <c r="K25" s="8"/>
      <c r="L25" s="59">
        <v>0.7369196757553427</v>
      </c>
      <c r="M25" s="8"/>
      <c r="N25" s="57" t="s">
        <v>45</v>
      </c>
      <c r="O25" s="57" t="s">
        <v>52</v>
      </c>
      <c r="P25" s="57" t="s">
        <v>17</v>
      </c>
      <c r="Q25" s="50" t="s">
        <v>53</v>
      </c>
      <c r="R25" s="60">
        <v>0.0</v>
      </c>
      <c r="S25" s="60">
        <v>48997.24392041255</v>
      </c>
      <c r="T25" s="55"/>
      <c r="U25" s="55"/>
      <c r="V25" s="55"/>
      <c r="W25" s="55"/>
      <c r="X25" s="55"/>
    </row>
    <row r="26" ht="15.75" customHeight="1">
      <c r="A26" s="8"/>
      <c r="B26" s="56">
        <v>43500.0</v>
      </c>
      <c r="C26" s="50" t="s">
        <v>24</v>
      </c>
      <c r="D26" s="50" t="s">
        <v>22</v>
      </c>
      <c r="E26" s="49" t="s">
        <v>18</v>
      </c>
      <c r="F26" s="50" t="s">
        <v>54</v>
      </c>
      <c r="G26" s="51">
        <v>39982.8473176127</v>
      </c>
      <c r="H26" s="52">
        <v>0.0</v>
      </c>
      <c r="I26" s="8"/>
      <c r="J26" s="8"/>
      <c r="K26" s="8"/>
      <c r="L26" s="51">
        <v>0.7407407407407407</v>
      </c>
      <c r="M26" s="8"/>
      <c r="N26" s="50" t="s">
        <v>43</v>
      </c>
      <c r="O26" s="50" t="s">
        <v>52</v>
      </c>
      <c r="P26" s="50" t="s">
        <v>17</v>
      </c>
      <c r="Q26" s="50" t="s">
        <v>55</v>
      </c>
      <c r="R26" s="54">
        <v>29616.92393897238</v>
      </c>
      <c r="S26" s="54">
        <v>0.0</v>
      </c>
      <c r="T26" s="55"/>
      <c r="U26" s="55"/>
      <c r="V26" s="55"/>
      <c r="W26" s="55"/>
      <c r="X26" s="55"/>
    </row>
    <row r="27" ht="15.75" customHeight="1">
      <c r="B27" s="56">
        <v>43500.0</v>
      </c>
      <c r="C27" s="50" t="s">
        <v>24</v>
      </c>
      <c r="D27" s="50" t="s">
        <v>22</v>
      </c>
      <c r="E27" s="49" t="s">
        <v>18</v>
      </c>
      <c r="F27" s="57" t="s">
        <v>51</v>
      </c>
      <c r="G27" s="58">
        <v>0.0</v>
      </c>
      <c r="H27" s="59">
        <v>39982.8473176127</v>
      </c>
      <c r="L27" s="59">
        <v>0.7407407407407407</v>
      </c>
      <c r="N27" s="57" t="s">
        <v>45</v>
      </c>
      <c r="O27" s="57" t="s">
        <v>52</v>
      </c>
      <c r="P27" s="57" t="s">
        <v>17</v>
      </c>
      <c r="Q27" s="50" t="s">
        <v>55</v>
      </c>
      <c r="R27" s="60">
        <v>0.0</v>
      </c>
      <c r="S27" s="60">
        <v>29616.92393897238</v>
      </c>
      <c r="T27" s="55"/>
      <c r="U27" s="55"/>
      <c r="V27" s="55"/>
      <c r="W27" s="55"/>
      <c r="X27" s="55"/>
    </row>
    <row r="28" ht="15.75" customHeight="1">
      <c r="B28" s="56">
        <v>43501.0</v>
      </c>
      <c r="C28" s="50" t="s">
        <v>24</v>
      </c>
      <c r="D28" s="50" t="s">
        <v>22</v>
      </c>
      <c r="E28" s="49" t="s">
        <v>18</v>
      </c>
      <c r="F28" s="50" t="s">
        <v>51</v>
      </c>
      <c r="G28" s="51">
        <v>73164.8799999999</v>
      </c>
      <c r="H28" s="52">
        <v>0.0</v>
      </c>
      <c r="L28" s="54">
        <v>0.7352941176470588</v>
      </c>
      <c r="N28" s="50" t="s">
        <v>43</v>
      </c>
      <c r="O28" s="50" t="s">
        <v>52</v>
      </c>
      <c r="P28" s="50" t="s">
        <v>17</v>
      </c>
      <c r="Q28" s="50" t="s">
        <v>53</v>
      </c>
      <c r="R28" s="54">
        <v>53797.70588235288</v>
      </c>
      <c r="S28" s="54">
        <v>0.0</v>
      </c>
      <c r="T28" s="55"/>
      <c r="U28" s="55"/>
      <c r="V28" s="55"/>
      <c r="W28" s="55"/>
      <c r="X28" s="55"/>
    </row>
    <row r="29" ht="15.75" customHeight="1">
      <c r="B29" s="56">
        <v>43501.0</v>
      </c>
      <c r="C29" s="50" t="s">
        <v>24</v>
      </c>
      <c r="D29" s="50" t="s">
        <v>22</v>
      </c>
      <c r="E29" s="49" t="s">
        <v>18</v>
      </c>
      <c r="F29" s="57" t="s">
        <v>54</v>
      </c>
      <c r="G29" s="58">
        <v>0.0</v>
      </c>
      <c r="H29" s="59">
        <v>73164.8799999999</v>
      </c>
      <c r="L29" s="60">
        <v>0.7352941176470588</v>
      </c>
      <c r="N29" s="57" t="s">
        <v>45</v>
      </c>
      <c r="O29" s="57" t="s">
        <v>52</v>
      </c>
      <c r="P29" s="57" t="s">
        <v>17</v>
      </c>
      <c r="Q29" s="50" t="s">
        <v>53</v>
      </c>
      <c r="R29" s="60">
        <v>0.0</v>
      </c>
      <c r="S29" s="60">
        <v>53797.70588235288</v>
      </c>
      <c r="T29" s="55"/>
      <c r="U29" s="55"/>
      <c r="V29" s="55"/>
      <c r="W29" s="55"/>
      <c r="X29" s="55"/>
    </row>
    <row r="30" ht="15.75" customHeight="1">
      <c r="B30" s="56">
        <v>43501.0</v>
      </c>
      <c r="C30" s="50" t="s">
        <v>24</v>
      </c>
      <c r="D30" s="50" t="s">
        <v>22</v>
      </c>
      <c r="E30" s="49" t="s">
        <v>18</v>
      </c>
      <c r="F30" s="50" t="s">
        <v>54</v>
      </c>
      <c r="G30" s="51">
        <v>66489.258852941</v>
      </c>
      <c r="H30" s="52">
        <v>0.0</v>
      </c>
      <c r="L30" s="51">
        <v>0.7369196757553427</v>
      </c>
      <c r="N30" s="50" t="s">
        <v>43</v>
      </c>
      <c r="O30" s="50" t="s">
        <v>52</v>
      </c>
      <c r="P30" s="50" t="s">
        <v>17</v>
      </c>
      <c r="Q30" s="50" t="s">
        <v>55</v>
      </c>
      <c r="R30" s="54">
        <v>48997.24307512235</v>
      </c>
      <c r="S30" s="54">
        <v>0.0</v>
      </c>
      <c r="T30" s="55"/>
      <c r="U30" s="55"/>
      <c r="V30" s="55"/>
      <c r="W30" s="55"/>
      <c r="X30" s="55"/>
    </row>
    <row r="31" ht="15.75" customHeight="1">
      <c r="B31" s="56">
        <v>43501.0</v>
      </c>
      <c r="C31" s="50" t="s">
        <v>24</v>
      </c>
      <c r="D31" s="50" t="s">
        <v>22</v>
      </c>
      <c r="E31" s="49" t="s">
        <v>18</v>
      </c>
      <c r="F31" s="57" t="s">
        <v>51</v>
      </c>
      <c r="G31" s="58">
        <v>0.0</v>
      </c>
      <c r="H31" s="59">
        <v>66489.258852941</v>
      </c>
      <c r="L31" s="59">
        <v>0.7369196757553427</v>
      </c>
      <c r="N31" s="57" t="s">
        <v>45</v>
      </c>
      <c r="O31" s="57" t="s">
        <v>52</v>
      </c>
      <c r="P31" s="57" t="s">
        <v>17</v>
      </c>
      <c r="Q31" s="50" t="s">
        <v>55</v>
      </c>
      <c r="R31" s="60">
        <v>0.0</v>
      </c>
      <c r="S31" s="60">
        <v>48997.24307512235</v>
      </c>
      <c r="T31" s="55"/>
      <c r="U31" s="55"/>
      <c r="V31" s="55"/>
      <c r="W31" s="55"/>
      <c r="X31" s="55"/>
    </row>
    <row r="32" ht="15.75" customHeight="1">
      <c r="B32" s="56">
        <v>43502.0</v>
      </c>
      <c r="C32" s="50" t="s">
        <v>24</v>
      </c>
      <c r="D32" s="50" t="s">
        <v>22</v>
      </c>
      <c r="E32" s="49" t="s">
        <v>18</v>
      </c>
      <c r="F32" s="50" t="s">
        <v>54</v>
      </c>
      <c r="G32" s="51">
        <v>73164.8713600002</v>
      </c>
      <c r="H32" s="52">
        <v>0.0</v>
      </c>
      <c r="L32" s="54">
        <v>0.7352941176470588</v>
      </c>
      <c r="N32" s="50" t="s">
        <v>43</v>
      </c>
      <c r="O32" s="50" t="s">
        <v>52</v>
      </c>
      <c r="P32" s="50" t="s">
        <v>17</v>
      </c>
      <c r="Q32" s="50" t="s">
        <v>55</v>
      </c>
      <c r="R32" s="54">
        <v>53797.69952941193</v>
      </c>
      <c r="S32" s="54">
        <v>0.0</v>
      </c>
      <c r="T32" s="55"/>
      <c r="U32" s="55"/>
      <c r="V32" s="55"/>
      <c r="W32" s="55"/>
      <c r="X32" s="55"/>
    </row>
    <row r="33" ht="15.75" customHeight="1">
      <c r="B33" s="56">
        <v>43502.0</v>
      </c>
      <c r="C33" s="50" t="s">
        <v>24</v>
      </c>
      <c r="D33" s="50" t="s">
        <v>22</v>
      </c>
      <c r="E33" s="49" t="s">
        <v>18</v>
      </c>
      <c r="F33" s="57" t="s">
        <v>51</v>
      </c>
      <c r="G33" s="58">
        <v>0.0</v>
      </c>
      <c r="H33" s="59">
        <v>73164.8713600002</v>
      </c>
      <c r="L33" s="60">
        <v>0.7352941176470588</v>
      </c>
      <c r="N33" s="57" t="s">
        <v>45</v>
      </c>
      <c r="O33" s="57" t="s">
        <v>52</v>
      </c>
      <c r="P33" s="57" t="s">
        <v>17</v>
      </c>
      <c r="Q33" s="50" t="s">
        <v>55</v>
      </c>
      <c r="R33" s="60">
        <v>0.0</v>
      </c>
      <c r="S33" s="60">
        <v>53797.69952941193</v>
      </c>
      <c r="T33" s="55"/>
      <c r="U33" s="55"/>
      <c r="V33" s="55"/>
      <c r="W33" s="55"/>
      <c r="X33" s="55"/>
    </row>
    <row r="34" ht="15.75" customHeight="1">
      <c r="B34" s="61">
        <v>43502.5</v>
      </c>
      <c r="C34" s="50" t="s">
        <v>24</v>
      </c>
      <c r="D34" s="50" t="s">
        <v>18</v>
      </c>
      <c r="E34" s="50" t="s">
        <v>18</v>
      </c>
      <c r="F34" s="50" t="s">
        <v>44</v>
      </c>
      <c r="G34" s="54">
        <v>3532015.0054</v>
      </c>
      <c r="H34" s="52">
        <v>0.0</v>
      </c>
      <c r="L34" s="54">
        <v>0.7272727272727273</v>
      </c>
      <c r="N34" s="50" t="s">
        <v>43</v>
      </c>
      <c r="O34" s="50" t="s">
        <v>52</v>
      </c>
      <c r="P34" s="50" t="s">
        <v>17</v>
      </c>
      <c r="Q34" s="50" t="s">
        <v>56</v>
      </c>
      <c r="R34" s="54">
        <v>2568738.1857454535</v>
      </c>
      <c r="S34" s="54">
        <v>0.0</v>
      </c>
      <c r="T34" s="55"/>
      <c r="U34" s="55"/>
      <c r="V34" s="55"/>
      <c r="W34" s="55"/>
      <c r="X34" s="55"/>
    </row>
    <row r="35" ht="15.75" customHeight="1">
      <c r="B35" s="61">
        <v>43502.5</v>
      </c>
      <c r="C35" s="50" t="s">
        <v>24</v>
      </c>
      <c r="D35" s="50" t="s">
        <v>18</v>
      </c>
      <c r="E35" s="50" t="s">
        <v>18</v>
      </c>
      <c r="F35" s="57" t="s">
        <v>57</v>
      </c>
      <c r="G35" s="58">
        <v>0.0</v>
      </c>
      <c r="H35" s="60">
        <v>3532015.0054</v>
      </c>
      <c r="L35" s="60">
        <v>0.7272727272727273</v>
      </c>
      <c r="N35" s="57" t="s">
        <v>45</v>
      </c>
      <c r="O35" s="57" t="s">
        <v>52</v>
      </c>
      <c r="P35" s="57" t="s">
        <v>17</v>
      </c>
      <c r="Q35" s="50" t="s">
        <v>56</v>
      </c>
      <c r="R35" s="60">
        <v>0.0</v>
      </c>
      <c r="S35" s="60">
        <v>2568738.1857454535</v>
      </c>
      <c r="T35" s="55"/>
      <c r="U35" s="55"/>
      <c r="V35" s="55"/>
      <c r="W35" s="55"/>
      <c r="X35" s="55"/>
    </row>
    <row r="36" ht="15.75" customHeight="1">
      <c r="B36" s="61">
        <v>43502.5</v>
      </c>
      <c r="C36" s="50" t="s">
        <v>24</v>
      </c>
      <c r="D36" s="50" t="s">
        <v>18</v>
      </c>
      <c r="E36" s="50" t="s">
        <v>18</v>
      </c>
      <c r="F36" s="50" t="s">
        <v>57</v>
      </c>
      <c r="G36" s="54">
        <v>3532015.0054</v>
      </c>
      <c r="H36" s="52">
        <v>0.0</v>
      </c>
      <c r="L36" s="54">
        <v>0.7352941176470588</v>
      </c>
      <c r="N36" s="50" t="s">
        <v>43</v>
      </c>
      <c r="O36" s="50" t="s">
        <v>52</v>
      </c>
      <c r="P36" s="50" t="s">
        <v>17</v>
      </c>
      <c r="Q36" s="50" t="s">
        <v>58</v>
      </c>
      <c r="R36" s="54">
        <v>2597069.8569117654</v>
      </c>
      <c r="S36" s="54">
        <v>0.0</v>
      </c>
      <c r="T36" s="55"/>
      <c r="U36" s="55"/>
      <c r="V36" s="55"/>
      <c r="W36" s="55"/>
      <c r="X36" s="55"/>
    </row>
    <row r="37" ht="15.75" customHeight="1">
      <c r="B37" s="61">
        <v>43502.5</v>
      </c>
      <c r="C37" s="50" t="s">
        <v>24</v>
      </c>
      <c r="D37" s="50" t="s">
        <v>18</v>
      </c>
      <c r="E37" s="50" t="s">
        <v>18</v>
      </c>
      <c r="F37" s="57" t="s">
        <v>44</v>
      </c>
      <c r="G37" s="58">
        <v>0.0</v>
      </c>
      <c r="H37" s="60">
        <v>3532015.0054</v>
      </c>
      <c r="L37" s="60">
        <v>0.7352941176470588</v>
      </c>
      <c r="N37" s="57" t="s">
        <v>45</v>
      </c>
      <c r="O37" s="57" t="s">
        <v>52</v>
      </c>
      <c r="P37" s="57" t="s">
        <v>17</v>
      </c>
      <c r="Q37" s="50" t="s">
        <v>58</v>
      </c>
      <c r="R37" s="60">
        <v>0.0</v>
      </c>
      <c r="S37" s="60">
        <v>2597069.8569117654</v>
      </c>
      <c r="T37" s="55"/>
      <c r="U37" s="55"/>
      <c r="V37" s="55"/>
      <c r="W37" s="55"/>
      <c r="X37" s="55"/>
    </row>
    <row r="38" ht="15.75" customHeight="1">
      <c r="B38" s="62"/>
      <c r="C38" s="55"/>
      <c r="D38" s="55"/>
      <c r="E38" s="55"/>
      <c r="F38" s="55"/>
      <c r="G38" s="55"/>
      <c r="H38" s="55"/>
      <c r="L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ht="15.75" customHeight="1">
      <c r="B39" s="62"/>
      <c r="C39" s="55"/>
      <c r="D39" s="55"/>
      <c r="E39" s="55"/>
      <c r="F39" s="55"/>
      <c r="G39" s="55"/>
      <c r="H39" s="55"/>
      <c r="L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</row>
    <row r="40" ht="15.75" customHeight="1">
      <c r="B40" s="62"/>
      <c r="C40" s="55"/>
      <c r="D40" s="55"/>
      <c r="E40" s="55"/>
      <c r="F40" s="55"/>
      <c r="G40" s="55"/>
      <c r="H40" s="55"/>
      <c r="L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 ht="15.75" customHeight="1">
      <c r="B41" s="62"/>
      <c r="C41" s="55"/>
      <c r="D41" s="55"/>
      <c r="E41" s="55"/>
      <c r="F41" s="55"/>
      <c r="G41" s="55"/>
      <c r="H41" s="55"/>
      <c r="L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 ht="15.75" customHeight="1">
      <c r="B42" s="62"/>
      <c r="C42" s="55"/>
      <c r="D42" s="55"/>
      <c r="E42" s="55"/>
      <c r="F42" s="55"/>
      <c r="G42" s="55"/>
      <c r="H42" s="55"/>
      <c r="L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 ht="15.75" customHeight="1">
      <c r="B43" s="62"/>
      <c r="C43" s="55"/>
      <c r="D43" s="55"/>
      <c r="E43" s="55"/>
      <c r="F43" s="55"/>
      <c r="G43" s="55"/>
      <c r="H43" s="55"/>
      <c r="L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</row>
    <row r="44" ht="15.75" customHeight="1">
      <c r="B44" s="62"/>
      <c r="C44" s="55"/>
      <c r="D44" s="55"/>
      <c r="E44" s="55"/>
      <c r="F44" s="55"/>
      <c r="G44" s="55"/>
      <c r="H44" s="55"/>
      <c r="L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 ht="15.75" customHeight="1">
      <c r="B45" s="62"/>
      <c r="C45" s="55"/>
      <c r="D45" s="55"/>
      <c r="E45" s="55"/>
      <c r="F45" s="55"/>
      <c r="G45" s="55"/>
      <c r="H45" s="55"/>
      <c r="L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 ht="15.75" customHeight="1">
      <c r="B46" s="62"/>
      <c r="C46" s="55"/>
      <c r="D46" s="55"/>
      <c r="E46" s="55"/>
      <c r="F46" s="55"/>
      <c r="G46" s="55"/>
      <c r="H46" s="55"/>
      <c r="L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</row>
    <row r="47" ht="15.75" customHeight="1">
      <c r="B47" s="62"/>
      <c r="C47" s="55"/>
      <c r="D47" s="55"/>
      <c r="E47" s="55"/>
      <c r="F47" s="55"/>
      <c r="G47" s="55"/>
      <c r="H47" s="55"/>
      <c r="L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 ht="15.75" customHeight="1">
      <c r="B48" s="62"/>
      <c r="C48" s="55"/>
      <c r="D48" s="55"/>
      <c r="E48" s="55"/>
      <c r="F48" s="55"/>
      <c r="G48" s="55"/>
      <c r="H48" s="55"/>
      <c r="L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</row>
    <row r="49" ht="15.75" customHeight="1">
      <c r="B49" s="62"/>
      <c r="C49" s="55"/>
      <c r="D49" s="55"/>
      <c r="E49" s="55"/>
      <c r="F49" s="55"/>
      <c r="G49" s="55"/>
      <c r="H49" s="55"/>
      <c r="L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 ht="15.75" customHeight="1">
      <c r="B50" s="62"/>
      <c r="C50" s="55"/>
      <c r="D50" s="55"/>
      <c r="E50" s="55"/>
      <c r="F50" s="55"/>
      <c r="G50" s="55"/>
      <c r="H50" s="55"/>
      <c r="L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</row>
    <row r="51" ht="15.75" customHeight="1">
      <c r="B51" s="62"/>
      <c r="C51" s="55"/>
      <c r="D51" s="55"/>
      <c r="E51" s="55"/>
      <c r="F51" s="55"/>
      <c r="G51" s="55"/>
      <c r="H51" s="55"/>
      <c r="L51" s="55"/>
      <c r="N51" s="55"/>
      <c r="P51" s="55"/>
      <c r="Q51" s="55"/>
      <c r="R51" s="55"/>
      <c r="S51" s="55"/>
      <c r="T51" s="55"/>
      <c r="U51" s="55"/>
      <c r="V51" s="55"/>
      <c r="W51" s="55"/>
      <c r="X51" s="55"/>
    </row>
    <row r="52" ht="15.75" customHeight="1">
      <c r="B52" s="62"/>
      <c r="C52" s="55"/>
      <c r="D52" s="55"/>
      <c r="E52" s="55"/>
      <c r="F52" s="55"/>
      <c r="G52" s="55"/>
      <c r="H52" s="55"/>
      <c r="L52" s="55"/>
      <c r="N52" s="55"/>
      <c r="P52" s="55"/>
      <c r="Q52" s="55"/>
      <c r="R52" s="55"/>
      <c r="S52" s="55"/>
      <c r="T52" s="55"/>
      <c r="U52" s="55"/>
      <c r="V52" s="55"/>
      <c r="W52" s="55"/>
      <c r="X52" s="55"/>
    </row>
    <row r="53" ht="15.75" customHeight="1">
      <c r="B53" s="62"/>
      <c r="C53" s="50"/>
      <c r="D53" s="50"/>
      <c r="E53" s="50"/>
      <c r="F53" s="57"/>
      <c r="G53" s="58"/>
      <c r="H53" s="60"/>
      <c r="L53" s="55"/>
      <c r="P53" s="55"/>
      <c r="Q53" s="55"/>
      <c r="R53" s="55"/>
      <c r="S53" s="55"/>
      <c r="T53" s="55"/>
      <c r="U53" s="55"/>
      <c r="V53" s="55"/>
      <c r="W53" s="55"/>
      <c r="X53" s="55"/>
    </row>
    <row r="54" ht="15.75" customHeight="1">
      <c r="B54" s="62"/>
      <c r="C54" s="50"/>
      <c r="D54" s="50"/>
      <c r="E54" s="50"/>
      <c r="F54" s="50"/>
      <c r="G54" s="54"/>
      <c r="H54" s="52"/>
      <c r="L54" s="55"/>
      <c r="P54" s="55"/>
      <c r="Q54" s="55"/>
      <c r="R54" s="55"/>
      <c r="S54" s="55"/>
      <c r="T54" s="55"/>
      <c r="U54" s="55"/>
      <c r="V54" s="55"/>
      <c r="W54" s="55"/>
      <c r="X54" s="55"/>
    </row>
    <row r="55" ht="15.75" customHeight="1">
      <c r="B55" s="62"/>
      <c r="C55" s="50"/>
      <c r="D55" s="50"/>
      <c r="E55" s="50"/>
      <c r="F55" s="57"/>
      <c r="G55" s="58"/>
      <c r="H55" s="60"/>
      <c r="L55" s="55"/>
      <c r="P55" s="55"/>
      <c r="Q55" s="55"/>
      <c r="R55" s="55"/>
      <c r="S55" s="55"/>
      <c r="T55" s="55"/>
      <c r="U55" s="55"/>
      <c r="V55" s="55"/>
      <c r="W55" s="55"/>
      <c r="X55" s="55"/>
    </row>
    <row r="56" ht="15.75" customHeight="1">
      <c r="B56" s="62"/>
      <c r="C56" s="50"/>
      <c r="D56" s="50"/>
      <c r="E56" s="50"/>
      <c r="F56" s="50"/>
      <c r="G56" s="54"/>
      <c r="H56" s="52"/>
      <c r="L56" s="55"/>
      <c r="P56" s="55"/>
      <c r="Q56" s="55"/>
      <c r="R56" s="55"/>
      <c r="S56" s="55"/>
      <c r="T56" s="55"/>
      <c r="U56" s="55"/>
      <c r="V56" s="55"/>
      <c r="W56" s="55"/>
      <c r="X56" s="55"/>
    </row>
    <row r="57" ht="15.75" customHeight="1">
      <c r="B57" s="62"/>
      <c r="C57" s="50"/>
      <c r="D57" s="50"/>
      <c r="E57" s="50"/>
      <c r="F57" s="57"/>
      <c r="G57" s="58"/>
      <c r="H57" s="60"/>
      <c r="P57" s="55"/>
      <c r="Q57" s="55"/>
      <c r="R57" s="55"/>
      <c r="S57" s="55"/>
      <c r="T57" s="55"/>
      <c r="U57" s="55"/>
      <c r="V57" s="55"/>
      <c r="W57" s="55"/>
      <c r="X57" s="55"/>
    </row>
    <row r="58" ht="15.75" customHeight="1">
      <c r="B58" s="62"/>
      <c r="C58" s="50"/>
      <c r="D58" s="50"/>
      <c r="E58" s="50"/>
      <c r="F58" s="50"/>
      <c r="G58" s="54"/>
      <c r="H58" s="52"/>
      <c r="P58" s="55"/>
      <c r="Q58" s="55"/>
      <c r="R58" s="55"/>
      <c r="S58" s="55"/>
      <c r="T58" s="55"/>
      <c r="U58" s="55"/>
      <c r="V58" s="55"/>
      <c r="W58" s="55"/>
      <c r="X58" s="55"/>
    </row>
    <row r="59" ht="15.75" customHeight="1">
      <c r="B59" s="62"/>
      <c r="C59" s="50"/>
      <c r="D59" s="50"/>
      <c r="E59" s="50"/>
      <c r="F59" s="57"/>
      <c r="G59" s="58"/>
      <c r="H59" s="60"/>
      <c r="P59" s="55"/>
      <c r="Q59" s="55"/>
      <c r="R59" s="55"/>
      <c r="S59" s="55"/>
      <c r="T59" s="55"/>
      <c r="U59" s="55"/>
      <c r="V59" s="55"/>
      <c r="W59" s="55"/>
      <c r="X59" s="55"/>
    </row>
    <row r="60" ht="15.75" customHeight="1">
      <c r="B60" s="62"/>
      <c r="C60" s="50"/>
      <c r="D60" s="50"/>
      <c r="E60" s="50"/>
      <c r="F60" s="50"/>
      <c r="G60" s="54"/>
      <c r="H60" s="52"/>
      <c r="P60" s="55"/>
      <c r="Q60" s="55"/>
      <c r="R60" s="55"/>
      <c r="S60" s="55"/>
      <c r="T60" s="55"/>
      <c r="U60" s="55"/>
      <c r="V60" s="55"/>
      <c r="W60" s="55"/>
      <c r="X60" s="55"/>
    </row>
    <row r="61" ht="15.75" customHeight="1">
      <c r="B61" s="62"/>
      <c r="C61" s="50"/>
      <c r="D61" s="50"/>
      <c r="E61" s="50"/>
      <c r="F61" s="57"/>
      <c r="G61" s="58"/>
      <c r="H61" s="60"/>
      <c r="P61" s="55"/>
      <c r="Q61" s="55"/>
      <c r="R61" s="55"/>
      <c r="S61" s="55"/>
      <c r="T61" s="55"/>
      <c r="U61" s="55"/>
      <c r="V61" s="55"/>
      <c r="W61" s="55"/>
      <c r="X61" s="55"/>
    </row>
    <row r="62" ht="15.75" customHeight="1">
      <c r="B62" s="62"/>
      <c r="C62" s="50"/>
      <c r="D62" s="50"/>
      <c r="E62" s="50"/>
      <c r="F62" s="50"/>
      <c r="G62" s="54"/>
      <c r="H62" s="52"/>
      <c r="P62" s="55"/>
      <c r="Q62" s="55"/>
      <c r="R62" s="55"/>
      <c r="S62" s="55"/>
      <c r="T62" s="55"/>
      <c r="U62" s="55"/>
      <c r="V62" s="55"/>
      <c r="W62" s="55"/>
      <c r="X62" s="55"/>
    </row>
    <row r="63" ht="15.75" customHeight="1">
      <c r="B63" s="62"/>
      <c r="C63" s="50"/>
      <c r="D63" s="50"/>
      <c r="E63" s="50"/>
      <c r="F63" s="57"/>
      <c r="G63" s="58"/>
      <c r="H63" s="60"/>
      <c r="P63" s="55"/>
      <c r="Q63" s="55"/>
      <c r="R63" s="55"/>
      <c r="S63" s="55"/>
      <c r="T63" s="55"/>
      <c r="U63" s="55"/>
      <c r="V63" s="55"/>
      <c r="W63" s="55"/>
      <c r="X63" s="55"/>
    </row>
    <row r="64" ht="15.75" customHeight="1">
      <c r="B64" s="63"/>
      <c r="C64" s="50"/>
      <c r="D64" s="50"/>
      <c r="E64" s="50"/>
      <c r="F64" s="50"/>
      <c r="G64" s="54"/>
      <c r="H64" s="52"/>
      <c r="P64" s="55"/>
      <c r="Q64" s="55"/>
      <c r="R64" s="55"/>
      <c r="S64" s="55"/>
      <c r="T64" s="55"/>
      <c r="U64" s="55"/>
      <c r="V64" s="55"/>
      <c r="W64" s="55"/>
      <c r="X64" s="55"/>
    </row>
    <row r="65" ht="15.75" customHeight="1">
      <c r="B65" s="61"/>
      <c r="C65" s="50"/>
      <c r="D65" s="50"/>
      <c r="E65" s="50"/>
      <c r="F65" s="57"/>
      <c r="G65" s="58"/>
      <c r="H65" s="60"/>
      <c r="P65" s="55"/>
      <c r="Q65" s="55"/>
      <c r="R65" s="55"/>
      <c r="S65" s="55"/>
      <c r="T65" s="55"/>
      <c r="U65" s="55"/>
      <c r="V65" s="55"/>
      <c r="W65" s="55"/>
      <c r="X65" s="55"/>
    </row>
    <row r="66" ht="15.75" customHeight="1">
      <c r="B66" s="61"/>
      <c r="C66" s="50"/>
      <c r="D66" s="50"/>
      <c r="E66" s="50"/>
      <c r="F66" s="50"/>
      <c r="G66" s="54"/>
      <c r="H66" s="52"/>
      <c r="P66" s="55"/>
      <c r="Q66" s="55"/>
      <c r="R66" s="55"/>
      <c r="S66" s="55"/>
      <c r="T66" s="55"/>
      <c r="U66" s="55"/>
      <c r="V66" s="55"/>
      <c r="W66" s="55"/>
      <c r="X66" s="55"/>
    </row>
    <row r="67" ht="15.75" customHeight="1">
      <c r="B67" s="61"/>
      <c r="C67" s="50"/>
      <c r="D67" s="50"/>
      <c r="E67" s="50"/>
      <c r="F67" s="57"/>
      <c r="G67" s="58"/>
      <c r="H67" s="60"/>
      <c r="P67" s="55"/>
      <c r="Q67" s="55"/>
      <c r="R67" s="55"/>
      <c r="S67" s="55"/>
      <c r="T67" s="55"/>
      <c r="U67" s="55"/>
      <c r="V67" s="55"/>
      <c r="W67" s="55"/>
      <c r="X67" s="55"/>
    </row>
    <row r="68" ht="15.75" customHeight="1">
      <c r="B68" s="55"/>
      <c r="C68" s="55"/>
      <c r="D68" s="55"/>
      <c r="E68" s="55"/>
      <c r="F68" s="55"/>
      <c r="G68" s="55"/>
      <c r="H68" s="55"/>
      <c r="P68" s="55"/>
      <c r="Q68" s="55"/>
      <c r="R68" s="55"/>
      <c r="S68" s="55"/>
      <c r="T68" s="55"/>
      <c r="U68" s="55"/>
      <c r="V68" s="55"/>
      <c r="W68" s="55"/>
      <c r="X68" s="55"/>
    </row>
    <row r="69" ht="15.75" customHeight="1">
      <c r="P69" s="55"/>
      <c r="Q69" s="55"/>
      <c r="R69" s="55"/>
      <c r="S69" s="55"/>
      <c r="T69" s="55"/>
      <c r="U69" s="55"/>
      <c r="V69" s="55"/>
      <c r="W69" s="55"/>
      <c r="X69" s="55"/>
    </row>
    <row r="70" ht="15.75" customHeight="1">
      <c r="P70" s="55"/>
      <c r="Q70" s="55"/>
      <c r="R70" s="55"/>
      <c r="S70" s="55"/>
      <c r="T70" s="55"/>
      <c r="U70" s="55"/>
      <c r="V70" s="55"/>
      <c r="W70" s="55"/>
      <c r="X70" s="55"/>
    </row>
    <row r="71" ht="15.75" customHeight="1">
      <c r="P71" s="55"/>
      <c r="Q71" s="55"/>
      <c r="R71" s="55"/>
      <c r="S71" s="55"/>
      <c r="T71" s="55"/>
      <c r="U71" s="55"/>
      <c r="V71" s="55"/>
      <c r="W71" s="55"/>
      <c r="X71" s="55"/>
    </row>
    <row r="72" ht="15.75" customHeight="1">
      <c r="P72" s="55"/>
      <c r="Q72" s="55"/>
      <c r="R72" s="55"/>
      <c r="S72" s="55"/>
      <c r="T72" s="55"/>
      <c r="U72" s="55"/>
      <c r="V72" s="55"/>
      <c r="W72" s="55"/>
      <c r="X72" s="55"/>
    </row>
    <row r="73" ht="15.75" customHeight="1">
      <c r="P73" s="55"/>
      <c r="Q73" s="55"/>
      <c r="R73" s="55"/>
      <c r="S73" s="55"/>
      <c r="T73" s="55"/>
      <c r="U73" s="55"/>
      <c r="V73" s="55"/>
      <c r="W73" s="55"/>
      <c r="X73" s="55"/>
    </row>
    <row r="74" ht="15.75" customHeight="1">
      <c r="P74" s="55"/>
      <c r="Q74" s="55"/>
      <c r="R74" s="55"/>
      <c r="S74" s="55"/>
      <c r="T74" s="55"/>
      <c r="U74" s="55"/>
      <c r="V74" s="55"/>
      <c r="W74" s="55"/>
      <c r="X74" s="5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43500.0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43501.0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