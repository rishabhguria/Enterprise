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CompliancePreference" sheetId="4" r:id="rId6"/>
    <sheet state="visible" name="GetDailyCash" sheetId="5" r:id="rId7"/>
    <sheet state="visible" name="UpdateDailyCash" sheetId="6" r:id="rId8"/>
    <sheet state="visible" name="FetchAccountPositions" sheetId="7" r:id="rId9"/>
    <sheet state="visible" name="AddCash" sheetId="8" r:id="rId10"/>
    <sheet state="visible" name="RebalanceAcrossSecurities" sheetId="9" r:id="rId11"/>
    <sheet state="visible" name="RunRebalance" sheetId="10" r:id="rId12"/>
    <sheet state="visible" name="VerifyGridData" sheetId="11" r:id="rId13"/>
    <sheet state="visible" name="SendtoStaging" sheetId="12" r:id="rId14"/>
    <sheet state="visible" name="TradeNewSubOrder" sheetId="13" r:id="rId15"/>
    <sheet state="visible" name="CreateDoneAwayOrder" sheetId="14" r:id="rId16"/>
    <sheet state="visible" name="GetDataAllocation" sheetId="15" r:id="rId17"/>
    <sheet state="visible" name="CheckAllocatedGroups" sheetId="16" r:id="rId18"/>
    <sheet state="visible" name="VerifyOrder" sheetId="17" r:id="rId19"/>
    <sheet state="visible" name="CheckPortfolioManagement" sheetId="18" r:id="rId20"/>
    <sheet state="visible" name="VerifyRowCalculationBaseWindow" sheetId="19" r:id="rId21"/>
    <sheet state="visible" name="AddFillsSubOrder" sheetId="20" r:id="rId22"/>
    <sheet state="visible" name="EditAddFillsDetails" sheetId="21" r:id="rId23"/>
    <sheet state="visible" name="VerifySubOrder" sheetId="22" r:id="rId24"/>
    <sheet state="visible" name="VerifyRowCalculationBaseWindow1" sheetId="23" r:id="rId25"/>
    <sheet state="visible" name="CheckAllocatedGroups1" sheetId="24" r:id="rId26"/>
    <sheet state="visible" name="CheckPortfolioManagement1" sheetId="25" r:id="rId27"/>
    <sheet state="visible" name="AddFillsSubOrder1" sheetId="26" r:id="rId28"/>
    <sheet state="visible" name="EditAddFillsDetails1" sheetId="27" r:id="rId29"/>
    <sheet state="visible" name="VerifySubOrder1" sheetId="28" r:id="rId30"/>
    <sheet state="visible" name="CheckAllocatedGroups2" sheetId="29" r:id="rId31"/>
    <sheet state="visible" name="CheckPortfolioManagement2" sheetId="30" r:id="rId32"/>
    <sheet state="visible" name="CreateNewSubOrder" sheetId="31" r:id="rId33"/>
  </sheets>
  <definedNames/>
  <calcPr/>
</workbook>
</file>

<file path=xl/sharedStrings.xml><?xml version="1.0" encoding="utf-8"?>
<sst xmlns="http://schemas.openxmlformats.org/spreadsheetml/2006/main" count="514" uniqueCount="85">
  <si>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</si>
  <si>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</si>
  <si>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</si>
  <si>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</si>
  <si>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</si>
  <si>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</si>
  <si>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</si>
  <si>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</si>
  <si>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</si>
  <si>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</si>
  <si>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</si>
  <si>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</si>
  <si>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</si>
  <si>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SetTTCompliancePreference</t>
  </si>
  <si>
    <t>Data Format</t>
  </si>
  <si>
    <t>Input Format</t>
  </si>
  <si>
    <t>DailyValuation</t>
  </si>
  <si>
    <t>GetDailyCash</t>
  </si>
  <si>
    <t xml:space="preserve"> </t>
  </si>
  <si>
    <t>UpdateDailyCash</t>
  </si>
  <si>
    <t>Allocation1</t>
  </si>
  <si>
    <t>USD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</si>
  <si>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</si>
  <si>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</si>
  <si>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</si>
  <si>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</si>
  <si>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</si>
  <si>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</si>
  <si>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</si>
  <si>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None</t>
  </si>
  <si>
    <t>RebalanceAcrossSecurities</t>
  </si>
  <si>
    <t>AAPL</t>
  </si>
  <si>
    <t xml:space="preserve">Set </t>
  </si>
  <si>
    <t>RunRebalance</t>
  </si>
  <si>
    <t>Nearest Round Off</t>
  </si>
  <si>
    <t>VerifyGridData</t>
  </si>
  <si>
    <t>Equity</t>
  </si>
  <si>
    <t>Long</t>
  </si>
  <si>
    <t>Accruals</t>
  </si>
  <si>
    <t>Cash</t>
  </si>
  <si>
    <t>SendtoStaging</t>
  </si>
  <si>
    <t>Buy</t>
  </si>
  <si>
    <t>Blotter</t>
  </si>
  <si>
    <t>TradeNewSubOrder</t>
  </si>
  <si>
    <t>New</t>
  </si>
  <si>
    <t>MS</t>
  </si>
  <si>
    <t>CreateDoneAwayOrder</t>
  </si>
  <si>
    <t>Yes</t>
  </si>
  <si>
    <t>Allocation</t>
  </si>
  <si>
    <t>GetDataAllocation</t>
  </si>
  <si>
    <t>Current</t>
  </si>
  <si>
    <t>CheckAllocatedGroups</t>
  </si>
  <si>
    <t>AAPL US EQUITY</t>
  </si>
  <si>
    <t>Open</t>
  </si>
  <si>
    <t>NASDAQ</t>
  </si>
  <si>
    <t>M</t>
  </si>
  <si>
    <t>Market</t>
  </si>
  <si>
    <t>US</t>
  </si>
  <si>
    <t>jpearce</t>
  </si>
  <si>
    <t>NONE</t>
  </si>
  <si>
    <t>VerifyOrder</t>
  </si>
  <si>
    <t>PartiallyFilled</t>
  </si>
  <si>
    <t>PortfolioManagement</t>
  </si>
  <si>
    <t>CheckPortfolioManagement</t>
  </si>
  <si>
    <t>NewMF</t>
  </si>
  <si>
    <t>Undefined</t>
  </si>
  <si>
    <t>FIMAT</t>
  </si>
  <si>
    <t>Strategy Unallocated</t>
  </si>
  <si>
    <t>New Hedge</t>
  </si>
  <si>
    <t>Small Cap</t>
  </si>
  <si>
    <t>Default</t>
  </si>
  <si>
    <t>test1</t>
  </si>
  <si>
    <t>india</t>
  </si>
  <si>
    <t>test 1</t>
  </si>
  <si>
    <t>APPLE</t>
  </si>
  <si>
    <t>Compliance</t>
  </si>
  <si>
    <t>VerifyRowCalculationBaseWindow</t>
  </si>
  <si>
    <t>Post</t>
  </si>
  <si>
    <t>InTradeMarket</t>
  </si>
  <si>
    <t>AddFillsSubOrder</t>
  </si>
  <si>
    <t>EditAddFillsDetails</t>
  </si>
  <si>
    <t>VerifySubOrder</t>
  </si>
  <si>
    <t>GCCAP1</t>
  </si>
  <si>
    <t>Filled</t>
  </si>
  <si>
    <t>CreateNewSubOrder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</si>
</sst>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 am/pm"/>
    <numFmt numFmtId="165" formatCode="m/d/yyyy h:mm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FF8000"/>
      <name val="&quot;Segoe UI&quot;"/>
    </font>
    <font>
      <sz val="9.0"/>
      <color rgb="FFFF8000"/>
      <name val="Verdana"/>
    </font>
    <font>
      <sz val="9.0"/>
      <color rgb="FFFF8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shrinkToFit="0" vertical="bottom" wrapText="0"/>
    </xf>
    <xf borderId="5" fillId="0" fontId="13" numFmtId="0" xfId="0" applyAlignment="1" applyBorder="1" applyFont="1">
      <alignment horizontal="right" vertical="bottom"/>
    </xf>
    <xf borderId="5" fillId="0" fontId="13" numFmtId="0" xfId="0" applyAlignment="1" applyBorder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0" fillId="0" fontId="1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13" numFmtId="3" xfId="0" applyAlignment="1" applyFont="1" applyNumberFormat="1">
      <alignment horizontal="right" vertical="bottom"/>
    </xf>
    <xf borderId="0" fillId="0" fontId="3" numFmtId="3" xfId="0" applyAlignment="1" applyFont="1" applyNumberFormat="1">
      <alignment vertical="bottom"/>
    </xf>
    <xf borderId="0" fillId="0" fontId="3" numFmtId="0" xfId="0" applyAlignment="1" applyFont="1">
      <alignment horizontal="right" vertical="bottom"/>
    </xf>
    <xf borderId="5" fillId="0" fontId="13" numFmtId="0" xfId="0" applyAlignment="1" applyBorder="1" applyFont="1">
      <alignment vertical="bottom"/>
    </xf>
    <xf borderId="5" fillId="0" fontId="3" numFmtId="0" xfId="0" applyAlignment="1" applyBorder="1" applyFon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13" numFmtId="0" xfId="0" applyAlignment="1" applyFont="1">
      <alignment horizontal="center" vertical="bottom"/>
    </xf>
    <xf borderId="0" fillId="0" fontId="3" numFmtId="165" xfId="0" applyAlignment="1" applyFont="1" applyNumberFormat="1">
      <alignment vertical="bottom"/>
    </xf>
    <xf borderId="0" fillId="0" fontId="13" numFmtId="4" xfId="0" applyAlignment="1" applyFont="1" applyNumberFormat="1">
      <alignment horizontal="right" vertical="bottom"/>
    </xf>
    <xf borderId="0" fillId="0" fontId="13" numFmtId="0" xfId="0" applyAlignment="1" applyFont="1">
      <alignment readingOrder="0" vertical="bottom"/>
    </xf>
    <xf borderId="5" fillId="0" fontId="3" numFmtId="165" xfId="0" applyAlignment="1" applyBorder="1" applyFont="1" applyNumberFormat="1">
      <alignment vertical="bottom"/>
    </xf>
    <xf borderId="5" fillId="0" fontId="13" numFmtId="0" xfId="0" applyAlignment="1" applyBorder="1" applyFont="1">
      <alignment vertical="bottom"/>
    </xf>
    <xf borderId="0" fillId="0" fontId="1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6" fontId="14" numFmtId="0" xfId="0" applyAlignment="1" applyBorder="1" applyFill="1" applyFont="1">
      <alignment horizontal="right" vertical="top"/>
    </xf>
    <xf borderId="5" fillId="0" fontId="3" numFmtId="0" xfId="0" applyAlignment="1" applyBorder="1" applyFont="1">
      <alignment horizontal="right" vertical="bottom"/>
    </xf>
    <xf borderId="5" fillId="6" fontId="14" numFmtId="0" xfId="0" applyAlignment="1" applyBorder="1" applyFont="1">
      <alignment horizontal="right" vertical="top"/>
    </xf>
    <xf borderId="0" fillId="6" fontId="14" numFmtId="0" xfId="0" applyAlignment="1" applyFont="1">
      <alignment horizontal="right" vertical="top"/>
    </xf>
    <xf borderId="0" fillId="6" fontId="15" numFmtId="0" xfId="0" applyAlignment="1" applyFont="1">
      <alignment horizontal="right" vertical="top"/>
    </xf>
    <xf borderId="0" fillId="6" fontId="3" numFmtId="0" xfId="0" applyAlignment="1" applyFont="1">
      <alignment vertical="top"/>
    </xf>
    <xf borderId="0" fillId="6" fontId="3" numFmtId="165" xfId="0" applyAlignment="1" applyFont="1" applyNumberFormat="1">
      <alignment vertical="top"/>
    </xf>
    <xf borderId="0" fillId="6" fontId="16" numFmtId="0" xfId="0" applyAlignment="1" applyFont="1">
      <alignment horizontal="right" vertical="top"/>
    </xf>
    <xf borderId="0" fillId="0" fontId="3" numFmtId="0" xfId="0" applyAlignment="1" applyFont="1">
      <alignment horizontal="right" readingOrder="0" vertical="bottom"/>
    </xf>
    <xf borderId="5" fillId="0" fontId="13" numFmtId="4" xfId="0" applyAlignment="1" applyBorder="1" applyFont="1" applyNumberFormat="1">
      <alignment horizontal="right" vertical="bottom"/>
    </xf>
    <xf borderId="5" fillId="0" fontId="13" numFmtId="3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1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34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2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0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9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50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3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44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43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42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55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47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54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53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5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IFERROR(__xludf.DUMMYFUNCTION("""COMPUTED_VALUE"""),"UpdateFee")</f>
        <v>UpdateFee</v>
      </c>
      <c r="C523" t="str">
        <f>IFERROR(__xludf.DUMMYFUNCTION("""COMPUTED_VALUE"""),"19Rcvs50oHXGL5FsIW3nGsIY2a3BShYxifQZnyCdj5YI")</f>
        <v>19Rcvs50oHXGL5FsIW3nGsIY2a3BShYxifQZnyCdj5YI</v>
      </c>
    </row>
    <row r="524" ht="15.75" customHeight="1">
      <c r="A524" t="str">
        <f>IFERROR(__xludf.DUMMYFUNCTION("""COMPUTED_VALUE"""),"Allocation")</f>
        <v>Allocation</v>
      </c>
      <c r="B524" t="str">
        <f>IFERROR(__xludf.DUMMYFUNCTION("""COMPUTED_VALUE"""),"CheckPreferences")</f>
        <v>CheckPreferences</v>
      </c>
      <c r="C524" t="str">
        <f>IFERROR(__xludf.DUMMYFUNCTION("""COMPUTED_VALUE"""),"19LWAFgtJK8TJic3Bigl3vokyu1yraGt63a_sVpP1MUU")</f>
        <v>19LWAFgtJK8TJic3Bigl3vokyu1yraGt63a_sVpP1MUU</v>
      </c>
    </row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IFERROR(__xludf.DUMMYFUNCTION("""COMPUTED_VALUE"""),"PopUpTargetQty")</f>
        <v>PopUpTargetQty</v>
      </c>
      <c r="C5" s="28" t="str">
        <f>IFERROR(__xludf.DUMMYFUNCTION("""COMPUTED_VALUE"""),"PopUpNewOrder")</f>
        <v>PopUpNewOrder</v>
      </c>
      <c r="D5" s="28" t="str">
        <f>IFERROR(__xludf.DUMMYFUNCTION("""COMPUTED_VALUE"""),"PopUpCXL")</f>
        <v>PopUpCXL</v>
      </c>
      <c r="E5" s="28" t="str">
        <f>IFERROR(__xludf.DUMMYFUNCTION("""COMPUTED_VALUE"""),"PopUpReplace")</f>
        <v>PopUpReplace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SetTTCompliancePreference!$4:$4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>
        <f t="shared" ref="B6:C6" si="1">TODAY()-1</f>
        <v>44545</v>
      </c>
      <c r="C6" s="33">
        <f t="shared" si="1"/>
        <v>44545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13" t="s">
        <v>18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20</v>
      </c>
      <c r="C6" s="35" t="s">
        <v>21</v>
      </c>
      <c r="D6" s="36">
        <v>100000.0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IFERROR(__xludf.DUMMYFUNCTION("""COMPUTED_VALUE"""),"ModifyRebalance")</f>
        <v>ModifyRebalance</v>
      </c>
      <c r="H4" s="25" t="str">
        <f>IFERROR(__xludf.DUMMYFUNCTION("""COMPUTED_VALUE"""),"ClearCalculations")</f>
        <v>ClearCalculations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IFERROR(__xludf.DUMMYFUNCTION("""COMPUTED_VALUE"""),"RebalanceAcrossSecuritiesViaBloomberg")</f>
        <v>RebalanceAcrossSecuritiesViaBloomberg</v>
      </c>
      <c r="N4" s="25" t="str">
        <f>IFERROR(__xludf.DUMMYFUNCTION("""COMPUTED_VALUE"""),"RebalanceAcrossSecuritiesViaBloomberg")</f>
        <v>RebalanceAcrossSecuritiesViaBloomberg</v>
      </c>
      <c r="O4" s="25" t="str">
        <f>IFERROR(__xludf.DUMMYFUNCTION("""COMPUTED_VALUE"""),"AddUserAdjustedNAV")</f>
        <v>AddUserAdjustedNAV</v>
      </c>
      <c r="P4" s="26" t="str">
        <f>IFERROR(__xludf.DUMMYFUNCTION("""COMPUTED_VALUE"""),"RebalanceViaBloomberg")</f>
        <v>RebalanceViaBloomberg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9" t="s">
        <v>20</v>
      </c>
      <c r="C6" s="40" t="s">
        <v>24</v>
      </c>
      <c r="D6" s="39" t="s">
        <v>25</v>
      </c>
      <c r="E6" s="40" t="s">
        <v>26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IFERROR(__xludf.DUMMYFUNCTION("""COMPUTED_VALUE"""),"ModifyRebalance")</f>
        <v>ModifyRebalance</v>
      </c>
      <c r="H4" s="25" t="str">
        <f>IFERROR(__xludf.DUMMYFUNCTION("""COMPUTED_VALUE"""),"ClearCalculations")</f>
        <v>ClearCalculations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IFERROR(__xludf.DUMMYFUNCTION("""COMPUTED_VALUE"""),"RebalanceAcrossSecuritiesViaBloomberg")</f>
        <v>RebalanceAcrossSecuritiesViaBloomberg</v>
      </c>
      <c r="N4" s="25" t="str">
        <f>IFERROR(__xludf.DUMMYFUNCTION("""COMPUTED_VALUE"""),"RebalanceAcrossSecuritiesViaBloomberg")</f>
        <v>RebalanceAcrossSecuritiesViaBloomberg</v>
      </c>
      <c r="O4" s="25" t="str">
        <f>IFERROR(__xludf.DUMMYFUNCTION("""COMPUTED_VALUE"""),"AddUserAdjustedNAV")</f>
        <v>AddUserAdjustedNAV</v>
      </c>
      <c r="P4" s="26" t="str">
        <f>IFERROR(__xludf.DUMMYFUNCTION("""COMPUTED_VALUE"""),"RebalanceViaBloomberg")</f>
        <v>RebalanceViaBloomberg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6">
        <v>100000.0</v>
      </c>
      <c r="C6" s="35" t="s">
        <v>28</v>
      </c>
      <c r="D6" s="34" t="s">
        <v>29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IFERROR(__xludf.DUMMYFUNCTION("""COMPUTED_VALUE"""),"ModifyRebalance")</f>
        <v>ModifyRebalance</v>
      </c>
      <c r="H4" s="25" t="str">
        <f>IFERROR(__xludf.DUMMYFUNCTION("""COMPUTED_VALUE"""),"ClearCalculations")</f>
        <v>ClearCalculations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IFERROR(__xludf.DUMMYFUNCTION("""COMPUTED_VALUE"""),"RebalanceAcrossSecuritiesViaBloomberg")</f>
        <v>RebalanceAcrossSecuritiesViaBloomberg</v>
      </c>
      <c r="N4" s="25" t="str">
        <f>IFERROR(__xludf.DUMMYFUNCTION("""COMPUTED_VALUE"""),"RebalanceAcrossSecuritiesViaBloomberg")</f>
        <v>RebalanceAcrossSecuritiesViaBloomberg</v>
      </c>
      <c r="O4" s="25" t="str">
        <f>IFERROR(__xludf.DUMMYFUNCTION("""COMPUTED_VALUE"""),"AddUserAdjustedNAV")</f>
        <v>AddUserAdjustedNAV</v>
      </c>
      <c r="P4" s="26" t="str">
        <f>IFERROR(__xludf.DUMMYFUNCTION("""COMPUTED_VALUE"""),"RebalanceViaBloomberg")</f>
        <v>RebalanceViaBloomberg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IFERROR(__xludf.DUMMYFUNCTION("""COMPUTED_VALUE"""),"Set/Inc/Dec")</f>
        <v>Set/Inc/Dec</v>
      </c>
      <c r="D5" s="28" t="str">
        <f>IFERROR(__xludf.DUMMYFUNCTION("""COMPUTED_VALUE"""),"Target%")</f>
        <v>Target%</v>
      </c>
      <c r="E5" s="28" t="str">
        <f>IFERROR(__xludf.DUMMYFUNCTION("""COMPUTED_VALUE"""),"Account/Group")</f>
        <v>Account/Group</v>
      </c>
      <c r="F5" s="29" t="str">
        <f>IFERROR(__xludf.DUMMYFUNCTION("""COMPUTED_VALUE"""),"ReinvestCash")</f>
        <v>ReinvestCash</v>
      </c>
      <c r="G5" s="28" t="str">
        <f>IFERROR(__xludf.DUMMYFUNCTION("""COMPUTED_VALUE"""),"SellToRaiseCash")</f>
        <v>SellToRaiseCash</v>
      </c>
      <c r="H5" s="28" t="str">
        <f>IFERROR(__xludf.DUMMYFUNCTION("""COMPUTED_VALUE"""),"AllowNegCash")</f>
        <v>AllowNegCash</v>
      </c>
      <c r="I5" s="28" t="str">
        <f>IFERROR(__xludf.DUMMYFUNCTION("""COMPUTED_VALUE"""),"NoShortning")</f>
        <v>NoShortning</v>
      </c>
      <c r="J5" s="28" t="str">
        <f>IFERROR(__xludf.DUMMYFUNCTION("""COMPUTED_VALUE"""),"Price")</f>
        <v>Price</v>
      </c>
      <c r="K5" s="28" t="str">
        <f>IFERROR(__xludf.DUMMYFUNCTION("""COMPUTED_VALUE"""),"Fx")</f>
        <v>Fx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9" t="s">
        <v>31</v>
      </c>
      <c r="C6" s="35" t="s">
        <v>32</v>
      </c>
      <c r="D6" s="36">
        <v>0.5</v>
      </c>
      <c r="E6" s="35" t="s">
        <v>20</v>
      </c>
      <c r="F6" s="35"/>
      <c r="G6" s="35"/>
      <c r="H6" s="35"/>
      <c r="I6" s="35"/>
      <c r="J6" s="41">
        <v>1.0</v>
      </c>
      <c r="K6" s="35"/>
      <c r="L6" s="35"/>
      <c r="M6" s="35"/>
      <c r="N6" s="35"/>
      <c r="O6" s="35"/>
      <c r="P6" s="35"/>
      <c r="Q6" s="35"/>
      <c r="R6" s="35"/>
      <c r="S6" s="35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RebalanceAcrossSecurities!$4:$4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IFERROR(__xludf.DUMMYFUNCTION("""COMPUTED_VALUE"""),"ModifyRebalance")</f>
        <v>ModifyRebalance</v>
      </c>
      <c r="H4" s="25" t="str">
        <f>IFERROR(__xludf.DUMMYFUNCTION("""COMPUTED_VALUE"""),"ClearCalculations")</f>
        <v>ClearCalculations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IFERROR(__xludf.DUMMYFUNCTION("""COMPUTED_VALUE"""),"RebalanceAcrossSecuritiesViaBloomberg")</f>
        <v>RebalanceAcrossSecuritiesViaBloomberg</v>
      </c>
      <c r="N4" s="25" t="str">
        <f>IFERROR(__xludf.DUMMYFUNCTION("""COMPUTED_VALUE"""),"RebalanceAcrossSecuritiesViaBloomberg")</f>
        <v>RebalanceAcrossSecuritiesViaBloomberg</v>
      </c>
      <c r="O4" s="25" t="str">
        <f>IFERROR(__xludf.DUMMYFUNCTION("""COMPUTED_VALUE"""),"AddUserAdjustedNAV")</f>
        <v>AddUserAdjustedNAV</v>
      </c>
      <c r="P4" s="26" t="str">
        <f>IFERROR(__xludf.DUMMYFUNCTION("""COMPUTED_VALUE"""),"RebalanceViaBloomberg")</f>
        <v>RebalanceViaBloomberg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42" t="s">
        <v>34</v>
      </c>
      <c r="C6" s="35"/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IFERROR(__xludf.DUMMYFUNCTION("""COMPUTED_VALUE"""),"ModifyRebalance")</f>
        <v>ModifyRebalance</v>
      </c>
      <c r="H4" s="25" t="str">
        <f>IFERROR(__xludf.DUMMYFUNCTION("""COMPUTED_VALUE"""),"ClearCalculations")</f>
        <v>ClearCalculations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IFERROR(__xludf.DUMMYFUNCTION("""COMPUTED_VALUE"""),"RebalanceAcrossSecuritiesViaBloomberg")</f>
        <v>RebalanceAcrossSecuritiesViaBloomberg</v>
      </c>
      <c r="N4" s="25" t="str">
        <f>IFERROR(__xludf.DUMMYFUNCTION("""COMPUTED_VALUE"""),"RebalanceAcrossSecuritiesViaBloomberg")</f>
        <v>RebalanceAcrossSecuritiesViaBloomberg</v>
      </c>
      <c r="O4" s="25" t="str">
        <f>IFERROR(__xludf.DUMMYFUNCTION("""COMPUTED_VALUE"""),"AddUserAdjustedNAV")</f>
        <v>AddUserAdjustedNAV</v>
      </c>
      <c r="P4" s="26" t="str">
        <f>IFERROR(__xludf.DUMMYFUNCTION("""COMPUTED_VALUE"""),"RebalanceViaBloomberg")</f>
        <v>RebalanceViaBloomberg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IFERROR(__xludf.DUMMYFUNCTION("""COMPUTED_VALUE"""),"Price")</f>
        <v>Price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43" t="s">
        <v>20</v>
      </c>
      <c r="D6" s="44" t="s">
        <v>31</v>
      </c>
      <c r="E6" s="45" t="s">
        <v>36</v>
      </c>
      <c r="F6" s="45" t="s">
        <v>37</v>
      </c>
      <c r="G6" s="45">
        <v>1.0</v>
      </c>
      <c r="H6" s="43">
        <v>1.0</v>
      </c>
      <c r="I6" s="35"/>
      <c r="J6" s="43"/>
      <c r="K6" s="43">
        <v>0.0</v>
      </c>
      <c r="L6" s="35"/>
      <c r="M6" s="43">
        <v>0.0</v>
      </c>
      <c r="N6" s="43"/>
      <c r="O6" s="43">
        <v>1000.0</v>
      </c>
      <c r="P6" s="35"/>
      <c r="Q6" s="43">
        <v>1000.0</v>
      </c>
      <c r="R6" s="43">
        <v>1000.0</v>
      </c>
      <c r="S6" s="43">
        <v>1000.0</v>
      </c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7"/>
      <c r="C7" s="46" t="s">
        <v>20</v>
      </c>
      <c r="D7" s="46" t="s">
        <v>38</v>
      </c>
      <c r="E7" s="46" t="s">
        <v>38</v>
      </c>
      <c r="F7" s="47" t="s">
        <v>37</v>
      </c>
      <c r="G7" s="47">
        <v>1.0</v>
      </c>
      <c r="H7" s="46">
        <v>1.0</v>
      </c>
      <c r="I7" s="37"/>
      <c r="J7" s="46"/>
      <c r="K7" s="46">
        <v>0.0</v>
      </c>
      <c r="L7" s="37"/>
      <c r="M7" s="46">
        <v>0.0</v>
      </c>
      <c r="N7" s="46"/>
      <c r="O7" s="46">
        <v>0.0</v>
      </c>
      <c r="P7" s="37"/>
      <c r="Q7" s="46">
        <v>0.0</v>
      </c>
      <c r="R7" s="46">
        <v>0.0</v>
      </c>
      <c r="S7" s="46">
        <v>0.0</v>
      </c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37"/>
      <c r="C8" s="46" t="s">
        <v>20</v>
      </c>
      <c r="D8" s="46" t="s">
        <v>39</v>
      </c>
      <c r="E8" s="46" t="s">
        <v>39</v>
      </c>
      <c r="F8" s="47" t="s">
        <v>37</v>
      </c>
      <c r="G8" s="47">
        <v>1.0</v>
      </c>
      <c r="H8" s="46">
        <v>1.0</v>
      </c>
      <c r="I8" s="37"/>
      <c r="J8" s="46"/>
      <c r="K8" s="48">
        <v>100000.0</v>
      </c>
      <c r="L8" s="49"/>
      <c r="M8" s="48">
        <v>100000.0</v>
      </c>
      <c r="N8" s="46"/>
      <c r="O8" s="48">
        <v>199000.0</v>
      </c>
      <c r="P8" s="37"/>
      <c r="Q8" s="48">
        <v>199000.0</v>
      </c>
      <c r="R8" s="48">
        <v>99000.0</v>
      </c>
      <c r="S8" s="48">
        <v>99000.0</v>
      </c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37"/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IFERROR(__xludf.DUMMYFUNCTION("""COMPUTED_VALUE"""),"ModifyRebalance")</f>
        <v>ModifyRebalance</v>
      </c>
      <c r="H4" s="25" t="str">
        <f>IFERROR(__xludf.DUMMYFUNCTION("""COMPUTED_VALUE"""),"ClearCalculations")</f>
        <v>ClearCalculations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IFERROR(__xludf.DUMMYFUNCTION("""COMPUTED_VALUE"""),"RebalanceAcrossSecuritiesViaBloomberg")</f>
        <v>RebalanceAcrossSecuritiesViaBloomberg</v>
      </c>
      <c r="N4" s="25" t="str">
        <f>IFERROR(__xludf.DUMMYFUNCTION("""COMPUTED_VALUE"""),"RebalanceAcrossSecuritiesViaBloomberg")</f>
        <v>RebalanceAcrossSecuritiesViaBloomberg</v>
      </c>
      <c r="O4" s="25" t="str">
        <f>IFERROR(__xludf.DUMMYFUNCTION("""COMPUTED_VALUE"""),"AddUserAdjustedNAV")</f>
        <v>AddUserAdjustedNAV</v>
      </c>
      <c r="P4" s="26" t="str">
        <f>IFERROR(__xludf.DUMMYFUNCTION("""COMPUTED_VALUE"""),"RebalanceViaBloomberg")</f>
        <v>RebalanceViaBloomberg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IFERROR(__xludf.DUMMYFUNCTION("""COMPUTED_VALUE"""),"Price")</f>
        <v>Price</v>
      </c>
      <c r="G5" s="28" t="str">
        <f>IFERROR(__xludf.DUMMYFUNCTION("""COMPUTED_VALUE"""),"Buy/Sell Value")</f>
        <v>Buy/Sell Value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20</v>
      </c>
      <c r="C6" s="35" t="s">
        <v>41</v>
      </c>
      <c r="D6" s="34" t="s">
        <v>31</v>
      </c>
      <c r="E6" s="41">
        <v>1000.0</v>
      </c>
      <c r="F6" s="41">
        <v>1.0</v>
      </c>
      <c r="G6" s="43">
        <v>1000.0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4"/>
      <c r="C6" s="35"/>
      <c r="D6" s="36">
        <v>1.0</v>
      </c>
      <c r="E6" s="35"/>
      <c r="F6" s="35"/>
      <c r="G6" s="35"/>
      <c r="H6" s="35"/>
      <c r="I6" s="35"/>
      <c r="J6" s="45" t="s">
        <v>31</v>
      </c>
      <c r="K6" s="35"/>
      <c r="L6" s="35"/>
      <c r="M6" s="35"/>
      <c r="N6" s="35"/>
      <c r="O6" s="35"/>
      <c r="P6" s="35"/>
      <c r="Q6" s="35"/>
      <c r="R6" s="35"/>
      <c r="S6" s="35"/>
      <c r="T6" s="37"/>
      <c r="U6" s="37"/>
      <c r="V6" s="37"/>
      <c r="W6" s="37"/>
      <c r="X6" s="37"/>
      <c r="Y6" s="37"/>
      <c r="Z6" s="37"/>
      <c r="AA6" s="37"/>
      <c r="AB6" s="37"/>
      <c r="AC6" s="37"/>
      <c r="AD6" s="47">
        <v>1.0</v>
      </c>
      <c r="AE6" s="37"/>
      <c r="AF6" s="37"/>
      <c r="AG6" s="37"/>
      <c r="AH6" s="37" t="s">
        <v>36</v>
      </c>
      <c r="AI6" s="37" t="s">
        <v>31</v>
      </c>
      <c r="AJ6" s="37" t="s">
        <v>41</v>
      </c>
      <c r="AK6" s="37" t="s">
        <v>44</v>
      </c>
      <c r="AL6" s="50">
        <v>1000.0</v>
      </c>
      <c r="AM6" s="37"/>
      <c r="AN6" s="37"/>
      <c r="AO6" s="37"/>
      <c r="AP6" s="37"/>
      <c r="AQ6" s="37"/>
      <c r="AR6" s="37"/>
      <c r="AS6" s="47" t="s">
        <v>45</v>
      </c>
      <c r="AT6" s="47" t="s">
        <v>20</v>
      </c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IFERROR(__xludf.DUMMYFUNCTION("""COMPUTED_VALUE"""),"Rate(%)")</f>
        <v>Rate(%)</v>
      </c>
      <c r="AS5" s="30" t="str">
        <f>IFERROR(__xludf.DUMMYFUNCTION("""COMPUTED_VALUE"""),"SharesOutstandingPopUpQty")</f>
        <v>SharesOutstandingPopUpQty</v>
      </c>
      <c r="AT5" s="30" t="str">
        <f>IFERROR(__xludf.DUMMYFUNCTION("""COMPUTED_VALUE"""),"SharesOutstandingPopUp")</f>
        <v>SharesOutstandingPopUp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45" t="s">
        <v>31</v>
      </c>
      <c r="C6" s="35"/>
      <c r="D6" s="36">
        <v>1000.0</v>
      </c>
      <c r="E6" s="45">
        <v>1000.0</v>
      </c>
      <c r="F6" s="35"/>
      <c r="G6" s="35"/>
      <c r="H6" s="35"/>
      <c r="I6" s="35"/>
      <c r="J6" s="41">
        <v>1.0</v>
      </c>
      <c r="K6" s="35"/>
      <c r="L6" s="35"/>
      <c r="M6" s="35"/>
      <c r="N6" s="35"/>
      <c r="O6" s="35"/>
      <c r="P6" s="35"/>
      <c r="Q6" s="35"/>
      <c r="R6" s="35"/>
      <c r="S6" s="35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47"/>
      <c r="AO6" s="47">
        <v>400.0</v>
      </c>
      <c r="AP6" s="37"/>
      <c r="AQ6" s="37" t="s">
        <v>47</v>
      </c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 t="str">
        <f>IFERROR(__xludf.DUMMYFUNCTION("""COMPUTED_VALUE"""),"CheckPreferences")</f>
        <v>CheckPreferences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50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 t="str">
        <f>IFERROR(__xludf.DUMMYFUNCTION("""COMPUTED_VALUE"""),"CheckPreferences")</f>
        <v>CheckPreferences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51" t="s">
        <v>20</v>
      </c>
      <c r="C6" s="35"/>
      <c r="D6" s="34"/>
      <c r="E6" s="52">
        <v>400.0</v>
      </c>
      <c r="F6" s="35"/>
      <c r="G6" s="35" t="s">
        <v>36</v>
      </c>
      <c r="H6" s="52">
        <v>4.0</v>
      </c>
      <c r="I6" s="52">
        <v>5.0</v>
      </c>
      <c r="J6" s="52"/>
      <c r="K6" s="52">
        <v>1.0</v>
      </c>
      <c r="L6" s="52">
        <v>1.0</v>
      </c>
      <c r="M6" s="35" t="s">
        <v>52</v>
      </c>
      <c r="N6" s="35"/>
      <c r="O6" s="35" t="s">
        <v>45</v>
      </c>
      <c r="P6" s="35"/>
      <c r="Q6" s="52"/>
      <c r="R6" s="52">
        <v>0.0</v>
      </c>
      <c r="S6" s="35" t="s">
        <v>53</v>
      </c>
      <c r="T6" s="50">
        <v>0.0</v>
      </c>
      <c r="U6" s="50">
        <v>0.0</v>
      </c>
      <c r="V6" s="37"/>
      <c r="W6" s="37"/>
      <c r="X6" s="37"/>
      <c r="Y6" s="37"/>
      <c r="Z6" s="37" t="s">
        <v>21</v>
      </c>
      <c r="AA6" s="37"/>
      <c r="AB6" s="50">
        <v>1.0</v>
      </c>
      <c r="AC6" s="37"/>
      <c r="AD6" s="37" t="s">
        <v>54</v>
      </c>
      <c r="AE6" s="50">
        <v>400.0</v>
      </c>
      <c r="AF6" s="53"/>
      <c r="AG6" s="53"/>
      <c r="AH6" s="37" t="s">
        <v>55</v>
      </c>
      <c r="AI6" s="50">
        <v>1.0</v>
      </c>
      <c r="AJ6" s="37"/>
      <c r="AK6" s="37"/>
      <c r="AL6" s="37"/>
      <c r="AM6" s="37"/>
      <c r="AN6" s="54" t="b">
        <v>0</v>
      </c>
      <c r="AO6" s="37"/>
      <c r="AP6" s="54" t="b">
        <v>1</v>
      </c>
      <c r="AQ6" s="54" t="b">
        <v>0</v>
      </c>
      <c r="AR6" s="54" t="b">
        <v>1</v>
      </c>
      <c r="AS6" s="37"/>
      <c r="AT6" s="50">
        <v>414.0002</v>
      </c>
      <c r="AU6" s="50">
        <v>414.0002</v>
      </c>
      <c r="AV6" s="55"/>
      <c r="AW6" s="37"/>
      <c r="AX6" s="37"/>
      <c r="AY6" s="37" t="s">
        <v>56</v>
      </c>
      <c r="AZ6" s="50">
        <v>0.0</v>
      </c>
      <c r="BA6" s="55"/>
      <c r="BB6" s="37"/>
      <c r="BC6" s="50">
        <v>0.0</v>
      </c>
      <c r="BD6" s="37"/>
      <c r="BE6" s="50">
        <v>400.0</v>
      </c>
      <c r="BF6" s="50">
        <v>400.0</v>
      </c>
      <c r="BG6" s="55"/>
      <c r="BH6" s="37"/>
      <c r="BI6" s="37"/>
      <c r="BJ6" s="56">
        <v>1000.0</v>
      </c>
      <c r="BK6" s="50">
        <v>0.0</v>
      </c>
      <c r="BL6" s="37"/>
      <c r="BM6" s="37" t="s">
        <v>21</v>
      </c>
      <c r="BN6" s="55"/>
      <c r="BO6" s="37" t="s">
        <v>41</v>
      </c>
      <c r="BP6" s="50">
        <v>0.0</v>
      </c>
      <c r="BQ6" s="50">
        <v>0.0</v>
      </c>
      <c r="BR6" s="37"/>
      <c r="BS6" s="37"/>
      <c r="BT6" s="37" t="s">
        <v>31</v>
      </c>
      <c r="BU6" s="50">
        <v>3.0</v>
      </c>
      <c r="BV6" s="50">
        <v>0.0</v>
      </c>
      <c r="BW6" s="50">
        <v>14.0002</v>
      </c>
      <c r="BX6" s="50">
        <v>0.0</v>
      </c>
      <c r="BY6" s="37"/>
      <c r="BZ6" s="37"/>
      <c r="CA6" s="37"/>
      <c r="CB6" s="37"/>
      <c r="CC6" s="37"/>
      <c r="CD6" s="37"/>
      <c r="CE6" s="37"/>
      <c r="CF6" s="37"/>
      <c r="CG6" s="50">
        <v>2.0</v>
      </c>
      <c r="CH6" s="57" t="s">
        <v>22</v>
      </c>
      <c r="CI6" s="37" t="s">
        <v>41</v>
      </c>
      <c r="CJ6" s="50">
        <v>0.0</v>
      </c>
      <c r="CK6" s="37" t="s">
        <v>57</v>
      </c>
      <c r="CL6" s="50">
        <v>1.0</v>
      </c>
      <c r="CM6" s="37" t="s">
        <v>31</v>
      </c>
      <c r="CN6" s="37" t="s">
        <v>58</v>
      </c>
      <c r="CO6" s="37" t="s">
        <v>54</v>
      </c>
      <c r="CP6" s="37" t="s">
        <v>59</v>
      </c>
      <c r="CQ6" s="37"/>
      <c r="CR6" s="37"/>
      <c r="CS6" s="37"/>
      <c r="CT6" s="37"/>
      <c r="CU6" s="37"/>
      <c r="CV6" s="55"/>
      <c r="CW6" s="53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4"/>
      <c r="C6" s="35"/>
      <c r="D6" s="36">
        <v>1.0</v>
      </c>
      <c r="E6" s="35"/>
      <c r="F6" s="41">
        <v>0.0</v>
      </c>
      <c r="G6" s="41">
        <v>600.0</v>
      </c>
      <c r="H6" s="35" t="s">
        <v>54</v>
      </c>
      <c r="I6" s="35" t="s">
        <v>58</v>
      </c>
      <c r="J6" s="35" t="s">
        <v>31</v>
      </c>
      <c r="K6" s="35" t="s">
        <v>57</v>
      </c>
      <c r="L6" s="35"/>
      <c r="M6" s="35"/>
      <c r="N6" s="35"/>
      <c r="O6" s="35"/>
      <c r="P6" s="35"/>
      <c r="Q6" s="35"/>
      <c r="R6" s="35"/>
      <c r="S6" s="52">
        <v>0.0</v>
      </c>
      <c r="T6" s="50">
        <v>0.0</v>
      </c>
      <c r="U6" s="37"/>
      <c r="V6" s="37"/>
      <c r="W6" s="37"/>
      <c r="X6" s="37"/>
      <c r="Y6" s="37"/>
      <c r="Z6" s="37"/>
      <c r="AA6" s="37"/>
      <c r="AB6" s="37"/>
      <c r="AC6" s="37"/>
      <c r="AD6" s="50">
        <v>1.0</v>
      </c>
      <c r="AE6" s="37"/>
      <c r="AF6" s="37" t="s">
        <v>55</v>
      </c>
      <c r="AG6" s="37"/>
      <c r="AH6" s="37" t="s">
        <v>36</v>
      </c>
      <c r="AI6" s="37" t="s">
        <v>31</v>
      </c>
      <c r="AJ6" s="37" t="s">
        <v>41</v>
      </c>
      <c r="AK6" s="37" t="s">
        <v>61</v>
      </c>
      <c r="AL6" s="50">
        <v>1000.0</v>
      </c>
      <c r="AM6" s="50">
        <v>400.0</v>
      </c>
      <c r="AN6" s="50">
        <v>40.0</v>
      </c>
      <c r="AO6" s="50">
        <v>400.0</v>
      </c>
      <c r="AP6" s="37"/>
      <c r="AQ6" s="37"/>
      <c r="AR6" s="50">
        <v>1.0</v>
      </c>
      <c r="AS6" s="37" t="s">
        <v>45</v>
      </c>
      <c r="AT6" s="37" t="s">
        <v>20</v>
      </c>
      <c r="AU6" s="37" t="s">
        <v>56</v>
      </c>
      <c r="AV6" s="50">
        <v>400.0</v>
      </c>
      <c r="AW6" s="50">
        <v>400.0</v>
      </c>
      <c r="AX6" s="37"/>
      <c r="AY6" s="50">
        <v>1000.0</v>
      </c>
      <c r="AZ6" s="37"/>
      <c r="BA6" s="37" t="s">
        <v>58</v>
      </c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62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ITM/OTM")</f>
        <v>% of ITM/OTM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</row>
    <row r="6" ht="15.75" customHeight="1">
      <c r="A6" s="34"/>
      <c r="B6" s="58"/>
      <c r="C6" s="59" t="s">
        <v>31</v>
      </c>
      <c r="D6" s="44">
        <v>400.0</v>
      </c>
      <c r="E6" s="59" t="s">
        <v>20</v>
      </c>
      <c r="F6" s="59" t="s">
        <v>64</v>
      </c>
      <c r="G6" s="43">
        <v>1.0</v>
      </c>
      <c r="H6" s="59" t="s">
        <v>37</v>
      </c>
      <c r="I6" s="43">
        <v>0.0</v>
      </c>
      <c r="J6" s="43">
        <v>0.0</v>
      </c>
      <c r="K6" s="43">
        <v>0.0</v>
      </c>
      <c r="L6" s="43">
        <v>0.0</v>
      </c>
      <c r="M6" s="43">
        <v>0.0</v>
      </c>
      <c r="N6" s="43">
        <v>-400.0</v>
      </c>
      <c r="O6" s="59"/>
      <c r="P6" s="59" t="s">
        <v>65</v>
      </c>
      <c r="Q6" s="43">
        <v>-400.0</v>
      </c>
      <c r="R6" s="59" t="s">
        <v>66</v>
      </c>
      <c r="S6" s="59" t="s">
        <v>67</v>
      </c>
      <c r="T6" s="60" t="s">
        <v>36</v>
      </c>
      <c r="U6" s="60" t="s">
        <v>57</v>
      </c>
      <c r="V6" s="60" t="s">
        <v>54</v>
      </c>
      <c r="W6" s="60" t="s">
        <v>21</v>
      </c>
      <c r="X6" s="46">
        <v>1.0</v>
      </c>
      <c r="Y6" s="46">
        <v>1.0</v>
      </c>
      <c r="Z6" s="37"/>
      <c r="AA6" s="37"/>
      <c r="AB6" s="46">
        <v>0.0</v>
      </c>
      <c r="AC6" s="46">
        <v>0.0</v>
      </c>
      <c r="AD6" s="46">
        <v>0.0</v>
      </c>
      <c r="AE6" s="46">
        <v>0.0</v>
      </c>
      <c r="AF6" s="46">
        <v>400.0</v>
      </c>
      <c r="AG6" s="46">
        <v>0.0</v>
      </c>
      <c r="AH6" s="46">
        <v>0.0</v>
      </c>
      <c r="AI6" s="46">
        <v>0.0</v>
      </c>
      <c r="AJ6" s="46">
        <v>0.0</v>
      </c>
      <c r="AK6" s="46">
        <v>-400.0</v>
      </c>
      <c r="AL6" s="46">
        <v>1.0</v>
      </c>
      <c r="AM6" s="46">
        <v>1.0</v>
      </c>
      <c r="AN6" s="60" t="s">
        <v>41</v>
      </c>
      <c r="AO6" s="37"/>
      <c r="AP6" s="60" t="s">
        <v>37</v>
      </c>
      <c r="AQ6" s="60" t="s">
        <v>31</v>
      </c>
      <c r="AR6" s="46">
        <v>0.0</v>
      </c>
      <c r="AS6" s="46">
        <v>1.0</v>
      </c>
      <c r="AT6" s="60"/>
      <c r="AU6" s="60"/>
      <c r="AV6" s="46">
        <v>1.0</v>
      </c>
      <c r="AW6" s="46">
        <v>-400.0</v>
      </c>
      <c r="AX6" s="46">
        <v>0.0</v>
      </c>
      <c r="AY6" s="46">
        <v>0.0</v>
      </c>
      <c r="AZ6" s="46">
        <v>0.0</v>
      </c>
      <c r="BA6" s="46">
        <v>-100.0</v>
      </c>
      <c r="BB6" s="53"/>
      <c r="BC6" s="46">
        <v>1.0</v>
      </c>
      <c r="BD6" s="46">
        <v>-400.0</v>
      </c>
      <c r="BE6" s="60" t="s">
        <v>36</v>
      </c>
      <c r="BF6" s="60" t="s">
        <v>68</v>
      </c>
      <c r="BG6" s="60" t="s">
        <v>69</v>
      </c>
      <c r="BH6" s="60" t="s">
        <v>65</v>
      </c>
      <c r="BI6" s="46">
        <v>5.0</v>
      </c>
      <c r="BJ6" s="46">
        <v>0.0</v>
      </c>
      <c r="BK6" s="46">
        <v>0.0</v>
      </c>
      <c r="BL6" s="46">
        <v>0.0</v>
      </c>
      <c r="BM6" s="46">
        <v>0.0</v>
      </c>
      <c r="BN6" s="53"/>
      <c r="BO6" s="46">
        <v>-400.0</v>
      </c>
      <c r="BP6" s="46">
        <v>0.0</v>
      </c>
      <c r="BQ6" s="60" t="s">
        <v>58</v>
      </c>
      <c r="BR6" s="60" t="s">
        <v>45</v>
      </c>
      <c r="BS6" s="46">
        <v>0.0</v>
      </c>
      <c r="BT6" s="46">
        <v>0.0</v>
      </c>
      <c r="BU6" s="60" t="s">
        <v>36</v>
      </c>
      <c r="BV6" s="46"/>
      <c r="BW6" s="46">
        <v>0.0</v>
      </c>
      <c r="BX6" s="46">
        <v>0.0</v>
      </c>
      <c r="BY6" s="46">
        <v>0.0</v>
      </c>
      <c r="BZ6" s="46">
        <v>0.0</v>
      </c>
      <c r="CA6" s="46">
        <v>0.0</v>
      </c>
      <c r="CB6" s="55"/>
      <c r="CC6" s="46">
        <v>0.0</v>
      </c>
      <c r="CD6" s="46">
        <v>-400.0</v>
      </c>
      <c r="CE6" s="46">
        <v>0.0</v>
      </c>
      <c r="CF6" s="46">
        <v>0.0</v>
      </c>
      <c r="CG6" s="46">
        <v>-400.0</v>
      </c>
      <c r="CH6" s="46">
        <v>-100.0</v>
      </c>
      <c r="CI6" s="46">
        <v>0.0</v>
      </c>
      <c r="CJ6" s="46">
        <v>0.0</v>
      </c>
      <c r="CK6" s="54" t="b">
        <v>0</v>
      </c>
      <c r="CL6" s="37"/>
      <c r="CM6" s="37"/>
      <c r="CN6" s="60" t="s">
        <v>31</v>
      </c>
      <c r="CO6" s="60" t="s">
        <v>31</v>
      </c>
      <c r="CP6" s="60" t="s">
        <v>52</v>
      </c>
      <c r="CQ6" s="37"/>
      <c r="CR6" s="55"/>
      <c r="CS6" s="46">
        <v>1.0</v>
      </c>
      <c r="CT6" s="37"/>
      <c r="CU6" s="37"/>
      <c r="CV6" s="37"/>
      <c r="CW6" s="37"/>
      <c r="CX6" s="37"/>
      <c r="CY6" s="60" t="s">
        <v>29</v>
      </c>
      <c r="CZ6" s="60" t="s">
        <v>70</v>
      </c>
      <c r="DA6" s="46">
        <v>0.0</v>
      </c>
      <c r="DB6" s="46">
        <v>0.0</v>
      </c>
      <c r="DC6" s="53"/>
      <c r="DD6" s="46">
        <v>400.0</v>
      </c>
      <c r="DE6" s="46">
        <v>0.0</v>
      </c>
      <c r="DF6" s="46">
        <v>0.0</v>
      </c>
      <c r="DG6" s="46">
        <v>0.0</v>
      </c>
      <c r="DH6" s="60" t="s">
        <v>65</v>
      </c>
      <c r="DI6" s="46">
        <v>0.0</v>
      </c>
      <c r="DJ6" s="60" t="s">
        <v>41</v>
      </c>
      <c r="DK6" s="46">
        <v>0.0</v>
      </c>
      <c r="DL6" s="46">
        <v>0.0</v>
      </c>
      <c r="DM6" s="46">
        <v>1.0</v>
      </c>
      <c r="DN6" s="46">
        <v>0.0</v>
      </c>
      <c r="DO6" s="37"/>
      <c r="DP6" s="60" t="s">
        <v>37</v>
      </c>
      <c r="DQ6" s="60" t="s">
        <v>71</v>
      </c>
      <c r="DR6" s="60" t="s">
        <v>72</v>
      </c>
      <c r="DS6" s="60" t="s">
        <v>71</v>
      </c>
      <c r="DT6" s="60" t="s">
        <v>71</v>
      </c>
      <c r="DU6" s="60" t="s">
        <v>73</v>
      </c>
      <c r="DV6" s="60" t="s">
        <v>71</v>
      </c>
      <c r="DW6" s="60" t="s">
        <v>71</v>
      </c>
      <c r="DX6" s="60" t="s">
        <v>71</v>
      </c>
      <c r="DY6" s="60" t="s">
        <v>71</v>
      </c>
      <c r="DZ6" s="60" t="s">
        <v>74</v>
      </c>
      <c r="EA6" s="60" t="s">
        <v>73</v>
      </c>
      <c r="EB6" s="60" t="s">
        <v>71</v>
      </c>
      <c r="EC6" s="60" t="s">
        <v>71</v>
      </c>
      <c r="ED6" s="60" t="s">
        <v>21</v>
      </c>
      <c r="EE6" s="60" t="s">
        <v>47</v>
      </c>
      <c r="EF6" s="46">
        <v>0.0</v>
      </c>
      <c r="EG6" s="46">
        <v>0.0</v>
      </c>
      <c r="EH6" s="46">
        <v>0.0</v>
      </c>
      <c r="EI6" s="46">
        <v>0.0</v>
      </c>
      <c r="EJ6" s="46">
        <v>0.0</v>
      </c>
      <c r="EK6" s="46">
        <v>0.0</v>
      </c>
      <c r="EL6" s="60" t="s">
        <v>37</v>
      </c>
      <c r="EM6" s="46">
        <v>0.0</v>
      </c>
      <c r="EN6" s="46">
        <v>0.0</v>
      </c>
      <c r="EO6" s="46"/>
      <c r="EP6" s="46"/>
      <c r="EQ6" s="46"/>
      <c r="ER6" s="46"/>
      <c r="ES6" s="46"/>
      <c r="ET6" s="46"/>
      <c r="EU6" s="46"/>
      <c r="EV6" s="60" t="s">
        <v>37</v>
      </c>
      <c r="EW6" s="46"/>
      <c r="EX6" s="54"/>
      <c r="EY6" s="60"/>
      <c r="EZ6" s="46"/>
      <c r="FA6" s="46"/>
      <c r="FB6" s="46"/>
      <c r="FC6" s="37"/>
      <c r="FD6" s="37"/>
      <c r="FE6" s="37"/>
      <c r="FF6" s="37"/>
      <c r="FG6" s="37"/>
      <c r="FH6" s="37"/>
      <c r="FI6" s="37"/>
      <c r="FJ6" s="37"/>
      <c r="FK6" s="37"/>
      <c r="FL6" s="37"/>
      <c r="FM6" s="37"/>
      <c r="FN6" s="37"/>
      <c r="FO6" s="37"/>
      <c r="FP6" s="37"/>
      <c r="FQ6" s="37"/>
      <c r="FR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75</v>
      </c>
      <c r="D3" s="5" t="s">
        <v>9</v>
      </c>
      <c r="E3" s="23" t="s">
        <v>76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34"/>
      <c r="E6" s="35"/>
      <c r="F6" s="35"/>
      <c r="G6" s="35"/>
      <c r="H6" s="35" t="s">
        <v>31</v>
      </c>
      <c r="I6" s="41">
        <v>0.0</v>
      </c>
      <c r="J6" s="41">
        <v>400.0</v>
      </c>
      <c r="K6" s="41">
        <v>400.0</v>
      </c>
      <c r="L6" s="41">
        <v>400.0</v>
      </c>
      <c r="M6" s="35" t="s">
        <v>77</v>
      </c>
      <c r="N6" s="35"/>
      <c r="O6" s="35" t="s">
        <v>41</v>
      </c>
      <c r="P6" s="35"/>
      <c r="Q6" s="35"/>
      <c r="R6" s="35"/>
      <c r="S6" s="35"/>
      <c r="T6" s="37" t="s">
        <v>20</v>
      </c>
      <c r="U6" s="37" t="s">
        <v>20</v>
      </c>
      <c r="V6" s="37"/>
      <c r="W6" s="37"/>
      <c r="X6" s="37"/>
      <c r="Y6" s="37"/>
      <c r="Z6" s="35"/>
      <c r="AA6" s="35"/>
      <c r="AB6" s="41">
        <v>400.0</v>
      </c>
      <c r="AC6" s="35"/>
      <c r="AD6" s="41">
        <v>400.0</v>
      </c>
      <c r="AE6" s="52">
        <v>0.0</v>
      </c>
      <c r="AF6" s="35"/>
      <c r="AG6" s="41">
        <v>400.0</v>
      </c>
      <c r="AH6" s="41">
        <v>400.0</v>
      </c>
      <c r="AI6" s="37"/>
      <c r="AJ6" s="37" t="s">
        <v>36</v>
      </c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50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50"/>
      <c r="BR6" s="50"/>
      <c r="BS6" s="37"/>
      <c r="BT6" s="50"/>
      <c r="BU6" s="37"/>
      <c r="BV6" s="50">
        <v>1.0</v>
      </c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5"/>
      <c r="B7" s="35"/>
      <c r="C7" s="35"/>
      <c r="D7" s="35"/>
      <c r="E7" s="35"/>
      <c r="F7" s="35"/>
      <c r="G7" s="35"/>
      <c r="H7" s="35" t="s">
        <v>31</v>
      </c>
      <c r="I7" s="41">
        <v>0.0</v>
      </c>
      <c r="J7" s="41">
        <v>600.0</v>
      </c>
      <c r="K7" s="41">
        <v>600.0</v>
      </c>
      <c r="L7" s="41">
        <v>600.0</v>
      </c>
      <c r="M7" s="40" t="s">
        <v>78</v>
      </c>
      <c r="N7" s="35"/>
      <c r="O7" s="35" t="s">
        <v>41</v>
      </c>
      <c r="P7" s="35"/>
      <c r="Q7" s="35"/>
      <c r="R7" s="35"/>
      <c r="S7" s="35"/>
      <c r="T7" s="37" t="s">
        <v>20</v>
      </c>
      <c r="U7" s="37" t="s">
        <v>20</v>
      </c>
      <c r="V7" s="37"/>
      <c r="W7" s="37"/>
      <c r="X7" s="37"/>
      <c r="Y7" s="37"/>
      <c r="Z7" s="35"/>
      <c r="AA7" s="35"/>
      <c r="AB7" s="41">
        <v>600.0</v>
      </c>
      <c r="AC7" s="35"/>
      <c r="AD7" s="41">
        <v>600.0</v>
      </c>
      <c r="AE7" s="52">
        <v>0.0</v>
      </c>
      <c r="AF7" s="35"/>
      <c r="AG7" s="41">
        <v>600.0</v>
      </c>
      <c r="AH7" s="41">
        <v>600.0</v>
      </c>
      <c r="AI7" s="37"/>
      <c r="AJ7" s="37" t="s">
        <v>36</v>
      </c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50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50"/>
      <c r="BR7" s="50"/>
      <c r="BS7" s="37"/>
      <c r="BT7" s="50"/>
      <c r="BU7" s="37"/>
      <c r="BV7" s="50">
        <v>1.0</v>
      </c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79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34" t="s">
        <v>31</v>
      </c>
      <c r="E6" s="35"/>
      <c r="F6" s="35" t="s">
        <v>41</v>
      </c>
      <c r="G6" s="35"/>
      <c r="H6" s="41">
        <v>1000.0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AddFillsSubOrder!$4:$4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80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6">
        <v>900.0</v>
      </c>
      <c r="C6" s="41">
        <v>1.0</v>
      </c>
      <c r="D6" s="61" t="b">
        <v>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EditAddFillsDetails!$4:$4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81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4"/>
      <c r="C6" s="34"/>
      <c r="D6" s="36">
        <v>1.0</v>
      </c>
      <c r="E6" s="62" t="s">
        <v>52</v>
      </c>
      <c r="F6" s="34"/>
      <c r="G6" s="63">
        <v>100.0</v>
      </c>
      <c r="H6" s="64" t="s">
        <v>54</v>
      </c>
      <c r="I6" s="64" t="s">
        <v>58</v>
      </c>
      <c r="J6" s="64" t="s">
        <v>31</v>
      </c>
      <c r="K6" s="64" t="s">
        <v>57</v>
      </c>
      <c r="L6" s="64"/>
      <c r="M6" s="35"/>
      <c r="N6" s="35"/>
      <c r="O6" s="35"/>
      <c r="P6" s="35"/>
      <c r="Q6" s="35"/>
      <c r="R6" s="35"/>
      <c r="S6" s="52">
        <v>0.0</v>
      </c>
      <c r="T6" s="65">
        <v>0.0</v>
      </c>
      <c r="U6" s="66" t="s">
        <v>21</v>
      </c>
      <c r="V6" s="67"/>
      <c r="W6" s="65"/>
      <c r="X6" s="65"/>
      <c r="Y6" s="65"/>
      <c r="Z6" s="65"/>
      <c r="AA6" s="65"/>
      <c r="AB6" s="65"/>
      <c r="AC6" s="65"/>
      <c r="AD6" s="65">
        <v>1.0</v>
      </c>
      <c r="AE6" s="68"/>
      <c r="AF6" s="65" t="s">
        <v>55</v>
      </c>
      <c r="AG6" s="65"/>
      <c r="AH6" s="65" t="s">
        <v>36</v>
      </c>
      <c r="AI6" s="65" t="s">
        <v>31</v>
      </c>
      <c r="AJ6" s="65" t="s">
        <v>41</v>
      </c>
      <c r="AK6" s="67" t="s">
        <v>61</v>
      </c>
      <c r="AL6" s="69">
        <v>1000.0</v>
      </c>
      <c r="AM6" s="69">
        <v>900.0</v>
      </c>
      <c r="AN6" s="37"/>
      <c r="AO6" s="37"/>
      <c r="AP6" s="50">
        <v>1.0</v>
      </c>
      <c r="AQ6" s="37"/>
      <c r="AR6" s="37" t="s">
        <v>20</v>
      </c>
      <c r="AS6" s="37"/>
      <c r="AT6" s="69">
        <v>900.0</v>
      </c>
      <c r="AU6" s="69">
        <v>900.0</v>
      </c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75</v>
      </c>
      <c r="D3" s="5" t="s">
        <v>9</v>
      </c>
      <c r="E3" s="23" t="s">
        <v>76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34"/>
      <c r="E6" s="35"/>
      <c r="F6" s="35"/>
      <c r="G6" s="35"/>
      <c r="H6" s="35" t="s">
        <v>31</v>
      </c>
      <c r="I6" s="41">
        <v>0.0</v>
      </c>
      <c r="J6" s="41">
        <v>900.0</v>
      </c>
      <c r="K6" s="41">
        <v>900.0</v>
      </c>
      <c r="L6" s="41">
        <v>900.0</v>
      </c>
      <c r="M6" s="35" t="s">
        <v>77</v>
      </c>
      <c r="N6" s="35"/>
      <c r="O6" s="35" t="s">
        <v>41</v>
      </c>
      <c r="P6" s="35"/>
      <c r="Q6" s="35"/>
      <c r="R6" s="35" t="s">
        <v>64</v>
      </c>
      <c r="S6" s="35"/>
      <c r="T6" s="37" t="s">
        <v>20</v>
      </c>
      <c r="U6" s="37" t="s">
        <v>20</v>
      </c>
      <c r="V6" s="37"/>
      <c r="W6" s="37"/>
      <c r="X6" s="37"/>
      <c r="Y6" s="37"/>
      <c r="Z6" s="35"/>
      <c r="AA6" s="35"/>
      <c r="AB6" s="41">
        <v>900.0</v>
      </c>
      <c r="AC6" s="35"/>
      <c r="AD6" s="41">
        <v>900.0</v>
      </c>
      <c r="AE6" s="52">
        <v>0.0</v>
      </c>
      <c r="AF6" s="35"/>
      <c r="AG6" s="41">
        <v>900.0</v>
      </c>
      <c r="AH6" s="41">
        <v>900.0</v>
      </c>
      <c r="AI6" s="37"/>
      <c r="AJ6" s="37" t="s">
        <v>36</v>
      </c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50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50"/>
      <c r="BR6" s="50"/>
      <c r="BS6" s="37"/>
      <c r="BT6" s="50"/>
      <c r="BU6" s="37"/>
      <c r="BV6" s="50">
        <v>1.0</v>
      </c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5"/>
      <c r="B7" s="35"/>
      <c r="C7" s="35"/>
      <c r="D7" s="35"/>
      <c r="E7" s="35"/>
      <c r="F7" s="35"/>
      <c r="G7" s="35"/>
      <c r="H7" s="35" t="s">
        <v>31</v>
      </c>
      <c r="I7" s="41">
        <v>0.0</v>
      </c>
      <c r="J7" s="41">
        <v>100.0</v>
      </c>
      <c r="K7" s="41">
        <v>100.0</v>
      </c>
      <c r="L7" s="41">
        <v>100.0</v>
      </c>
      <c r="M7" s="40" t="s">
        <v>78</v>
      </c>
      <c r="N7" s="35"/>
      <c r="O7" s="35" t="s">
        <v>41</v>
      </c>
      <c r="P7" s="35"/>
      <c r="Q7" s="35"/>
      <c r="R7" s="35" t="s">
        <v>64</v>
      </c>
      <c r="S7" s="35"/>
      <c r="T7" s="37" t="s">
        <v>20</v>
      </c>
      <c r="U7" s="37" t="s">
        <v>20</v>
      </c>
      <c r="V7" s="37"/>
      <c r="W7" s="37"/>
      <c r="X7" s="37"/>
      <c r="Y7" s="37"/>
      <c r="Z7" s="35"/>
      <c r="AA7" s="35"/>
      <c r="AB7" s="41">
        <v>100.0</v>
      </c>
      <c r="AC7" s="35"/>
      <c r="AD7" s="41">
        <v>100.0</v>
      </c>
      <c r="AE7" s="52">
        <v>0.0</v>
      </c>
      <c r="AF7" s="35"/>
      <c r="AG7" s="41">
        <v>100.0</v>
      </c>
      <c r="AH7" s="41">
        <v>100.0</v>
      </c>
      <c r="AI7" s="37"/>
      <c r="AJ7" s="37" t="s">
        <v>36</v>
      </c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50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50"/>
      <c r="BR7" s="50"/>
      <c r="BS7" s="37"/>
      <c r="BT7" s="50"/>
      <c r="BU7" s="37"/>
      <c r="BV7" s="50">
        <v>1.0</v>
      </c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VerifyRowCalculationBaseWindow1!$4:$4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 t="str">
        <f>IFERROR(__xludf.DUMMYFUNCTION("""COMPUTED_VALUE"""),"CheckPreferences")</f>
        <v>CheckPreferences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51" t="s">
        <v>20</v>
      </c>
      <c r="C6" s="35"/>
      <c r="D6" s="34"/>
      <c r="E6" s="52">
        <v>900.0</v>
      </c>
      <c r="F6" s="35"/>
      <c r="G6" s="35" t="s">
        <v>36</v>
      </c>
      <c r="H6" s="52">
        <v>4.0</v>
      </c>
      <c r="I6" s="52">
        <v>5.0</v>
      </c>
      <c r="J6" s="52"/>
      <c r="K6" s="52">
        <v>1.0</v>
      </c>
      <c r="L6" s="52">
        <v>1.0</v>
      </c>
      <c r="M6" s="35" t="s">
        <v>52</v>
      </c>
      <c r="N6" s="35"/>
      <c r="O6" s="35" t="s">
        <v>45</v>
      </c>
      <c r="P6" s="35"/>
      <c r="Q6" s="52"/>
      <c r="R6" s="52">
        <v>0.0</v>
      </c>
      <c r="S6" s="35" t="s">
        <v>53</v>
      </c>
      <c r="T6" s="50">
        <v>0.0</v>
      </c>
      <c r="U6" s="50">
        <v>0.0</v>
      </c>
      <c r="V6" s="37"/>
      <c r="W6" s="37"/>
      <c r="X6" s="37"/>
      <c r="Y6" s="37"/>
      <c r="Z6" s="37" t="s">
        <v>21</v>
      </c>
      <c r="AA6" s="37"/>
      <c r="AB6" s="50">
        <v>1.0</v>
      </c>
      <c r="AC6" s="37"/>
      <c r="AD6" s="37" t="s">
        <v>54</v>
      </c>
      <c r="AE6" s="50">
        <v>900.0</v>
      </c>
      <c r="AF6" s="53"/>
      <c r="AG6" s="53"/>
      <c r="AH6" s="37" t="s">
        <v>55</v>
      </c>
      <c r="AI6" s="50">
        <v>1.0</v>
      </c>
      <c r="AJ6" s="37" t="s">
        <v>29</v>
      </c>
      <c r="AK6" s="37"/>
      <c r="AL6" s="37"/>
      <c r="AM6" s="37"/>
      <c r="AN6" s="54" t="b">
        <v>0</v>
      </c>
      <c r="AO6" s="37"/>
      <c r="AP6" s="54" t="b">
        <v>1</v>
      </c>
      <c r="AQ6" s="54" t="b">
        <v>0</v>
      </c>
      <c r="AR6" s="54" t="b">
        <v>1</v>
      </c>
      <c r="AS6" s="37"/>
      <c r="AT6" s="50">
        <v>914.0005</v>
      </c>
      <c r="AU6" s="50">
        <v>914.0005</v>
      </c>
      <c r="AV6" s="55"/>
      <c r="AW6" s="37"/>
      <c r="AX6" s="37"/>
      <c r="AY6" s="37" t="s">
        <v>56</v>
      </c>
      <c r="AZ6" s="50">
        <v>0.0</v>
      </c>
      <c r="BA6" s="55"/>
      <c r="BB6" s="37"/>
      <c r="BC6" s="50">
        <v>0.0</v>
      </c>
      <c r="BD6" s="37"/>
      <c r="BE6" s="50">
        <v>900.0</v>
      </c>
      <c r="BF6" s="50">
        <v>900.0</v>
      </c>
      <c r="BG6" s="55"/>
      <c r="BH6" s="37"/>
      <c r="BI6" s="37"/>
      <c r="BJ6" s="56">
        <v>1000.0</v>
      </c>
      <c r="BK6" s="50">
        <v>0.0</v>
      </c>
      <c r="BL6" s="37"/>
      <c r="BM6" s="37" t="s">
        <v>21</v>
      </c>
      <c r="BN6" s="55"/>
      <c r="BO6" s="37" t="s">
        <v>41</v>
      </c>
      <c r="BP6" s="50">
        <v>0.0</v>
      </c>
      <c r="BQ6" s="50">
        <v>0.0</v>
      </c>
      <c r="BR6" s="37"/>
      <c r="BS6" s="37" t="s">
        <v>67</v>
      </c>
      <c r="BT6" s="37" t="s">
        <v>31</v>
      </c>
      <c r="BU6" s="50">
        <v>3.0</v>
      </c>
      <c r="BV6" s="50">
        <v>0.0</v>
      </c>
      <c r="BW6" s="70">
        <v>14.0005</v>
      </c>
      <c r="BX6" s="50">
        <v>0.0</v>
      </c>
      <c r="BY6" s="37"/>
      <c r="BZ6" s="37"/>
      <c r="CA6" s="37"/>
      <c r="CB6" s="37"/>
      <c r="CC6" s="37"/>
      <c r="CD6" s="37"/>
      <c r="CE6" s="37"/>
      <c r="CF6" s="37"/>
      <c r="CG6" s="50">
        <v>2.0</v>
      </c>
      <c r="CH6" s="57" t="s">
        <v>22</v>
      </c>
      <c r="CI6" s="37" t="s">
        <v>41</v>
      </c>
      <c r="CJ6" s="50">
        <v>0.0</v>
      </c>
      <c r="CK6" s="37" t="s">
        <v>57</v>
      </c>
      <c r="CL6" s="50">
        <v>1.0</v>
      </c>
      <c r="CM6" s="37" t="s">
        <v>31</v>
      </c>
      <c r="CN6" s="37" t="s">
        <v>58</v>
      </c>
      <c r="CO6" s="37" t="s">
        <v>54</v>
      </c>
      <c r="CP6" s="37" t="s">
        <v>59</v>
      </c>
      <c r="CQ6" s="37"/>
      <c r="CR6" s="37"/>
      <c r="CS6" s="37"/>
      <c r="CT6" s="37"/>
      <c r="CU6" s="37"/>
      <c r="CV6" s="55"/>
      <c r="CW6" s="53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62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ITM/OTM")</f>
        <v>% of ITM/OTM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/>
      <c r="FI5" s="30"/>
      <c r="FJ5" s="30"/>
      <c r="FK5" s="30"/>
      <c r="FL5" s="30"/>
      <c r="FM5" s="30"/>
      <c r="FN5" s="30"/>
      <c r="FO5" s="30"/>
      <c r="FP5" s="30"/>
      <c r="FQ5" s="30"/>
    </row>
    <row r="6" ht="15.75" customHeight="1">
      <c r="A6" s="34"/>
      <c r="B6" s="58"/>
      <c r="C6" s="59" t="s">
        <v>31</v>
      </c>
      <c r="D6" s="44">
        <v>900.0</v>
      </c>
      <c r="E6" s="59" t="s">
        <v>20</v>
      </c>
      <c r="F6" s="59" t="s">
        <v>64</v>
      </c>
      <c r="G6" s="43">
        <v>1.0</v>
      </c>
      <c r="H6" s="59" t="s">
        <v>37</v>
      </c>
      <c r="I6" s="43">
        <v>0.0</v>
      </c>
      <c r="J6" s="43">
        <v>0.0</v>
      </c>
      <c r="K6" s="43">
        <v>0.0</v>
      </c>
      <c r="L6" s="43">
        <v>0.0</v>
      </c>
      <c r="M6" s="43">
        <v>0.0</v>
      </c>
      <c r="N6" s="43">
        <v>-900.0</v>
      </c>
      <c r="O6" s="59"/>
      <c r="P6" s="59" t="s">
        <v>65</v>
      </c>
      <c r="Q6" s="43">
        <v>-900.0</v>
      </c>
      <c r="R6" s="59" t="s">
        <v>66</v>
      </c>
      <c r="S6" s="59" t="s">
        <v>67</v>
      </c>
      <c r="T6" s="60" t="s">
        <v>36</v>
      </c>
      <c r="U6" s="60" t="s">
        <v>57</v>
      </c>
      <c r="V6" s="60" t="s">
        <v>54</v>
      </c>
      <c r="W6" s="60" t="s">
        <v>21</v>
      </c>
      <c r="X6" s="46">
        <v>1.0</v>
      </c>
      <c r="Y6" s="46">
        <v>1.0</v>
      </c>
      <c r="Z6" s="37"/>
      <c r="AA6" s="37"/>
      <c r="AB6" s="46">
        <v>0.0</v>
      </c>
      <c r="AC6" s="46">
        <v>0.0</v>
      </c>
      <c r="AD6" s="46">
        <v>0.0</v>
      </c>
      <c r="AE6" s="46">
        <v>0.0</v>
      </c>
      <c r="AF6" s="46">
        <v>900.0</v>
      </c>
      <c r="AG6" s="46">
        <v>0.0</v>
      </c>
      <c r="AH6" s="46">
        <v>0.0</v>
      </c>
      <c r="AI6" s="46">
        <v>0.0</v>
      </c>
      <c r="AJ6" s="46">
        <v>0.0</v>
      </c>
      <c r="AK6" s="46">
        <v>-900.0</v>
      </c>
      <c r="AL6" s="46">
        <v>1.0</v>
      </c>
      <c r="AM6" s="46">
        <v>1.0</v>
      </c>
      <c r="AN6" s="60" t="s">
        <v>41</v>
      </c>
      <c r="AO6" s="37"/>
      <c r="AP6" s="60" t="s">
        <v>37</v>
      </c>
      <c r="AQ6" s="60" t="s">
        <v>31</v>
      </c>
      <c r="AR6" s="46">
        <v>0.0</v>
      </c>
      <c r="AS6" s="46">
        <v>1.0</v>
      </c>
      <c r="AT6" s="37"/>
      <c r="AU6" s="60"/>
      <c r="AV6" s="46">
        <v>1.0</v>
      </c>
      <c r="AW6" s="46">
        <v>-900.0</v>
      </c>
      <c r="AX6" s="46">
        <v>0.0</v>
      </c>
      <c r="AY6" s="46">
        <v>0.0</v>
      </c>
      <c r="AZ6" s="46">
        <v>0.0</v>
      </c>
      <c r="BA6" s="46">
        <v>-100.0</v>
      </c>
      <c r="BB6" s="53"/>
      <c r="BC6" s="46">
        <v>1.0</v>
      </c>
      <c r="BD6" s="46">
        <v>-900.0</v>
      </c>
      <c r="BE6" s="60" t="s">
        <v>36</v>
      </c>
      <c r="BF6" s="60" t="s">
        <v>68</v>
      </c>
      <c r="BG6" s="60" t="s">
        <v>69</v>
      </c>
      <c r="BH6" s="60" t="s">
        <v>65</v>
      </c>
      <c r="BI6" s="46">
        <v>5.0</v>
      </c>
      <c r="BJ6" s="46">
        <v>0.0</v>
      </c>
      <c r="BK6" s="46">
        <v>0.0</v>
      </c>
      <c r="BL6" s="46">
        <v>0.0</v>
      </c>
      <c r="BM6" s="46">
        <v>0.0</v>
      </c>
      <c r="BN6" s="53"/>
      <c r="BO6" s="46">
        <v>-900.0</v>
      </c>
      <c r="BP6" s="46">
        <v>0.0</v>
      </c>
      <c r="BQ6" s="60" t="s">
        <v>58</v>
      </c>
      <c r="BR6" s="60" t="s">
        <v>45</v>
      </c>
      <c r="BS6" s="46">
        <v>0.0</v>
      </c>
      <c r="BT6" s="46">
        <v>0.0</v>
      </c>
      <c r="BU6" s="60" t="s">
        <v>36</v>
      </c>
      <c r="BV6" s="46"/>
      <c r="BW6" s="46">
        <v>0.0</v>
      </c>
      <c r="BX6" s="46">
        <v>0.0</v>
      </c>
      <c r="BY6" s="46">
        <v>0.0</v>
      </c>
      <c r="BZ6" s="46">
        <v>0.0</v>
      </c>
      <c r="CA6" s="46">
        <v>0.0</v>
      </c>
      <c r="CB6" s="55"/>
      <c r="CC6" s="46">
        <v>0.0</v>
      </c>
      <c r="CD6" s="46">
        <v>-900.0</v>
      </c>
      <c r="CE6" s="46">
        <v>0.0</v>
      </c>
      <c r="CF6" s="46">
        <v>0.0</v>
      </c>
      <c r="CG6" s="46">
        <v>-900.0</v>
      </c>
      <c r="CH6" s="46">
        <v>-100.0</v>
      </c>
      <c r="CI6" s="46">
        <v>0.0</v>
      </c>
      <c r="CJ6" s="46">
        <v>0.0</v>
      </c>
      <c r="CK6" s="54" t="b">
        <v>0</v>
      </c>
      <c r="CL6" s="37"/>
      <c r="CM6" s="37"/>
      <c r="CN6" s="60" t="s">
        <v>31</v>
      </c>
      <c r="CO6" s="60" t="s">
        <v>31</v>
      </c>
      <c r="CP6" s="60" t="s">
        <v>52</v>
      </c>
      <c r="CQ6" s="37"/>
      <c r="CR6" s="55"/>
      <c r="CS6" s="46">
        <v>1.0</v>
      </c>
      <c r="CT6" s="37"/>
      <c r="CU6" s="37"/>
      <c r="CV6" s="37"/>
      <c r="CW6" s="37"/>
      <c r="CX6" s="37"/>
      <c r="CY6" s="60" t="s">
        <v>29</v>
      </c>
      <c r="CZ6" s="60" t="s">
        <v>70</v>
      </c>
      <c r="DA6" s="46">
        <v>0.0</v>
      </c>
      <c r="DB6" s="46">
        <v>0.0</v>
      </c>
      <c r="DC6" s="53"/>
      <c r="DD6" s="46">
        <v>900.0</v>
      </c>
      <c r="DE6" s="46">
        <v>0.0</v>
      </c>
      <c r="DF6" s="46">
        <v>0.0</v>
      </c>
      <c r="DG6" s="46">
        <v>0.0</v>
      </c>
      <c r="DH6" s="60" t="s">
        <v>65</v>
      </c>
      <c r="DI6" s="46">
        <v>0.0</v>
      </c>
      <c r="DJ6" s="60" t="s">
        <v>41</v>
      </c>
      <c r="DK6" s="46">
        <v>0.0</v>
      </c>
      <c r="DL6" s="46">
        <v>0.0</v>
      </c>
      <c r="DM6" s="46">
        <v>1.0</v>
      </c>
      <c r="DN6" s="46">
        <v>0.0</v>
      </c>
      <c r="DO6" s="37"/>
      <c r="DP6" s="60" t="s">
        <v>37</v>
      </c>
      <c r="DQ6" s="60" t="s">
        <v>71</v>
      </c>
      <c r="DR6" s="60" t="s">
        <v>72</v>
      </c>
      <c r="DS6" s="60" t="s">
        <v>71</v>
      </c>
      <c r="DT6" s="60" t="s">
        <v>71</v>
      </c>
      <c r="DU6" s="60" t="s">
        <v>73</v>
      </c>
      <c r="DV6" s="60" t="s">
        <v>71</v>
      </c>
      <c r="DW6" s="60" t="s">
        <v>71</v>
      </c>
      <c r="DX6" s="60" t="s">
        <v>71</v>
      </c>
      <c r="DY6" s="60" t="s">
        <v>71</v>
      </c>
      <c r="DZ6" s="60" t="s">
        <v>74</v>
      </c>
      <c r="EA6" s="60" t="s">
        <v>73</v>
      </c>
      <c r="EB6" s="60" t="s">
        <v>71</v>
      </c>
      <c r="EC6" s="60" t="s">
        <v>71</v>
      </c>
      <c r="ED6" s="60" t="s">
        <v>21</v>
      </c>
      <c r="EE6" s="60" t="s">
        <v>47</v>
      </c>
      <c r="EF6" s="46">
        <v>0.0</v>
      </c>
      <c r="EG6" s="46">
        <v>0.0</v>
      </c>
      <c r="EH6" s="46">
        <v>0.0</v>
      </c>
      <c r="EI6" s="46">
        <v>0.0</v>
      </c>
      <c r="EJ6" s="46">
        <v>0.0</v>
      </c>
      <c r="EK6" s="46">
        <v>0.0</v>
      </c>
      <c r="EL6" s="60" t="s">
        <v>37</v>
      </c>
      <c r="EM6" s="46">
        <v>0.0</v>
      </c>
      <c r="EN6" s="46">
        <v>0.0</v>
      </c>
      <c r="EO6" s="46"/>
      <c r="EP6" s="46"/>
      <c r="EQ6" s="46"/>
      <c r="ER6" s="46"/>
      <c r="ES6" s="46"/>
      <c r="ET6" s="46"/>
      <c r="EU6" s="46"/>
      <c r="EV6" s="60" t="s">
        <v>37</v>
      </c>
      <c r="EW6" s="46"/>
      <c r="EX6" s="54" t="b">
        <v>0</v>
      </c>
      <c r="EY6" s="60"/>
      <c r="EZ6" s="46"/>
      <c r="FA6" s="46"/>
      <c r="FB6" s="46"/>
      <c r="FC6" s="37"/>
      <c r="FD6" s="37"/>
      <c r="FE6" s="37"/>
      <c r="FF6" s="37"/>
      <c r="FG6" s="37"/>
      <c r="FH6" s="37"/>
      <c r="FI6" s="37"/>
      <c r="FJ6" s="37"/>
      <c r="FK6" s="37"/>
      <c r="FL6" s="37"/>
      <c r="FM6" s="37"/>
      <c r="FN6" s="37"/>
      <c r="FO6" s="37"/>
      <c r="FP6" s="37"/>
      <c r="FQ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CheckPortfolioManagement1!$4:$4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79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34" t="s">
        <v>31</v>
      </c>
      <c r="E6" s="35"/>
      <c r="F6" s="35" t="s">
        <v>41</v>
      </c>
      <c r="G6" s="35"/>
      <c r="H6" s="41">
        <v>1000.0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AddFillsSubOrder1!$4:$4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80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6">
        <v>100.0</v>
      </c>
      <c r="C6" s="41">
        <v>1.0</v>
      </c>
      <c r="D6" s="61" t="b">
        <v>1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EditAddFillsDetails1!$4:$4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81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4"/>
      <c r="C6" s="35"/>
      <c r="D6" s="36">
        <v>1.0</v>
      </c>
      <c r="E6" s="64" t="s">
        <v>52</v>
      </c>
      <c r="F6" s="35"/>
      <c r="G6" s="35"/>
      <c r="H6" s="64" t="s">
        <v>54</v>
      </c>
      <c r="I6" s="64" t="s">
        <v>58</v>
      </c>
      <c r="J6" s="64" t="s">
        <v>31</v>
      </c>
      <c r="K6" s="64" t="s">
        <v>57</v>
      </c>
      <c r="L6" s="64" t="s">
        <v>82</v>
      </c>
      <c r="M6" s="35"/>
      <c r="N6" s="35"/>
      <c r="O6" s="35"/>
      <c r="P6" s="35"/>
      <c r="Q6" s="35"/>
      <c r="R6" s="35"/>
      <c r="S6" s="52">
        <v>0.0</v>
      </c>
      <c r="T6" s="65">
        <v>0.0</v>
      </c>
      <c r="U6" s="66" t="s">
        <v>21</v>
      </c>
      <c r="V6" s="67"/>
      <c r="W6" s="65"/>
      <c r="X6" s="65"/>
      <c r="Y6" s="65"/>
      <c r="Z6" s="65"/>
      <c r="AA6" s="65"/>
      <c r="AB6" s="65"/>
      <c r="AC6" s="65"/>
      <c r="AD6" s="65">
        <v>1.0</v>
      </c>
      <c r="AE6" s="68"/>
      <c r="AF6" s="65" t="s">
        <v>55</v>
      </c>
      <c r="AG6" s="65"/>
      <c r="AH6" s="65" t="s">
        <v>36</v>
      </c>
      <c r="AI6" s="65" t="s">
        <v>31</v>
      </c>
      <c r="AJ6" s="65" t="s">
        <v>41</v>
      </c>
      <c r="AK6" s="65" t="s">
        <v>83</v>
      </c>
      <c r="AL6" s="69">
        <v>1000.0</v>
      </c>
      <c r="AM6" s="65">
        <v>1000.0</v>
      </c>
      <c r="AN6" s="37"/>
      <c r="AO6" s="37"/>
      <c r="AP6" s="50">
        <v>1.0</v>
      </c>
      <c r="AQ6" s="37" t="s">
        <v>45</v>
      </c>
      <c r="AR6" s="37" t="s">
        <v>20</v>
      </c>
      <c r="AS6" s="37"/>
      <c r="AT6" s="69">
        <v>1000.0</v>
      </c>
      <c r="AU6" s="69">
        <v>1000.0</v>
      </c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 t="str">
        <f>IFERROR(__xludf.DUMMYFUNCTION("""COMPUTED_VALUE"""),"CheckPreferences")</f>
        <v>CheckPreferences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51" t="s">
        <v>20</v>
      </c>
      <c r="C6" s="35"/>
      <c r="D6" s="34"/>
      <c r="E6" s="71">
        <v>1000.0</v>
      </c>
      <c r="F6" s="35"/>
      <c r="G6" s="35" t="s">
        <v>36</v>
      </c>
      <c r="H6" s="52">
        <v>4.0</v>
      </c>
      <c r="I6" s="52">
        <v>5.0</v>
      </c>
      <c r="J6" s="52">
        <v>1.0</v>
      </c>
      <c r="K6" s="52">
        <v>1.0</v>
      </c>
      <c r="L6" s="52">
        <v>1.0</v>
      </c>
      <c r="M6" s="35" t="s">
        <v>52</v>
      </c>
      <c r="N6" s="35"/>
      <c r="O6" s="35" t="s">
        <v>45</v>
      </c>
      <c r="P6" s="35"/>
      <c r="Q6" s="52"/>
      <c r="R6" s="52">
        <v>0.0</v>
      </c>
      <c r="S6" s="35" t="s">
        <v>53</v>
      </c>
      <c r="T6" s="50">
        <v>0.0</v>
      </c>
      <c r="U6" s="50">
        <v>0.0</v>
      </c>
      <c r="V6" s="37"/>
      <c r="W6" s="37"/>
      <c r="X6" s="37"/>
      <c r="Y6" s="37"/>
      <c r="Z6" s="37" t="s">
        <v>21</v>
      </c>
      <c r="AA6" s="37"/>
      <c r="AB6" s="50">
        <v>1.0</v>
      </c>
      <c r="AC6" s="37"/>
      <c r="AD6" s="37" t="s">
        <v>54</v>
      </c>
      <c r="AE6" s="56">
        <v>1000.0</v>
      </c>
      <c r="AF6" s="53"/>
      <c r="AG6" s="53"/>
      <c r="AH6" s="37" t="s">
        <v>55</v>
      </c>
      <c r="AI6" s="50">
        <v>1.0</v>
      </c>
      <c r="AJ6" s="37"/>
      <c r="AK6" s="37"/>
      <c r="AL6" s="37"/>
      <c r="AM6" s="37"/>
      <c r="AN6" s="54" t="b">
        <v>0</v>
      </c>
      <c r="AO6" s="37"/>
      <c r="AP6" s="54" t="b">
        <v>1</v>
      </c>
      <c r="AQ6" s="54" t="b">
        <v>0</v>
      </c>
      <c r="AR6" s="54" t="b">
        <v>1</v>
      </c>
      <c r="AS6" s="37"/>
      <c r="AT6" s="56">
        <v>1014.0006</v>
      </c>
      <c r="AU6" s="56">
        <v>1014.0006</v>
      </c>
      <c r="AV6" s="55"/>
      <c r="AW6" s="50">
        <v>0.0</v>
      </c>
      <c r="AX6" s="50">
        <v>0.0</v>
      </c>
      <c r="AY6" s="37" t="s">
        <v>56</v>
      </c>
      <c r="AZ6" s="50">
        <v>0.0</v>
      </c>
      <c r="BA6" s="55"/>
      <c r="BB6" s="37"/>
      <c r="BC6" s="50">
        <v>0.0</v>
      </c>
      <c r="BD6" s="37"/>
      <c r="BE6" s="56">
        <v>1000.0</v>
      </c>
      <c r="BF6" s="56">
        <v>1000.0</v>
      </c>
      <c r="BG6" s="55"/>
      <c r="BH6" s="37"/>
      <c r="BI6" s="37"/>
      <c r="BJ6" s="56">
        <v>1000.0</v>
      </c>
      <c r="BK6" s="50">
        <v>0.0</v>
      </c>
      <c r="BL6" s="37"/>
      <c r="BM6" s="37" t="s">
        <v>21</v>
      </c>
      <c r="BN6" s="55"/>
      <c r="BO6" s="37" t="s">
        <v>41</v>
      </c>
      <c r="BP6" s="50">
        <v>0.0</v>
      </c>
      <c r="BQ6" s="50">
        <v>0.0</v>
      </c>
      <c r="BR6" s="37"/>
      <c r="BS6" s="37" t="s">
        <v>67</v>
      </c>
      <c r="BT6" s="37" t="s">
        <v>31</v>
      </c>
      <c r="BU6" s="50">
        <v>3.0</v>
      </c>
      <c r="BV6" s="50">
        <v>0.0</v>
      </c>
      <c r="BW6" s="50">
        <v>14.0006</v>
      </c>
      <c r="BX6" s="50">
        <v>0.0</v>
      </c>
      <c r="BY6" s="37"/>
      <c r="BZ6" s="37"/>
      <c r="CA6" s="37"/>
      <c r="CB6" s="37"/>
      <c r="CC6" s="37"/>
      <c r="CD6" s="37"/>
      <c r="CE6" s="37"/>
      <c r="CF6" s="37"/>
      <c r="CG6" s="50">
        <v>2.0</v>
      </c>
      <c r="CH6" s="57" t="s">
        <v>22</v>
      </c>
      <c r="CI6" s="37" t="s">
        <v>41</v>
      </c>
      <c r="CJ6" s="50">
        <v>0.0</v>
      </c>
      <c r="CK6" s="37" t="s">
        <v>57</v>
      </c>
      <c r="CL6" s="50">
        <v>1.0</v>
      </c>
      <c r="CM6" s="37" t="s">
        <v>31</v>
      </c>
      <c r="CN6" s="37" t="s">
        <v>58</v>
      </c>
      <c r="CO6" s="37" t="s">
        <v>54</v>
      </c>
      <c r="CP6" s="37" t="s">
        <v>59</v>
      </c>
      <c r="CQ6" s="37"/>
      <c r="CR6" s="37"/>
      <c r="CS6" s="37"/>
      <c r="CT6" s="37"/>
      <c r="CU6" s="37"/>
      <c r="CV6" s="55"/>
      <c r="CW6" s="53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CheckAllocatedGroups2!$4:$4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62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ITM/OTM")</f>
        <v>% of ITM/OTM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/>
      <c r="FI5" s="30"/>
      <c r="FJ5" s="30"/>
      <c r="FK5" s="30"/>
      <c r="FL5" s="30"/>
      <c r="FM5" s="30"/>
      <c r="FN5" s="30"/>
      <c r="FO5" s="30"/>
      <c r="FP5" s="30"/>
      <c r="FQ5" s="30"/>
    </row>
    <row r="6" ht="15.75" customHeight="1">
      <c r="A6" s="34"/>
      <c r="B6" s="58"/>
      <c r="C6" s="59" t="s">
        <v>31</v>
      </c>
      <c r="D6" s="72">
        <v>1000.0</v>
      </c>
      <c r="E6" s="59" t="s">
        <v>20</v>
      </c>
      <c r="F6" s="59" t="s">
        <v>64</v>
      </c>
      <c r="G6" s="43">
        <v>1.0</v>
      </c>
      <c r="H6" s="59" t="s">
        <v>37</v>
      </c>
      <c r="I6" s="43">
        <v>0.0</v>
      </c>
      <c r="J6" s="43">
        <v>0.0</v>
      </c>
      <c r="K6" s="43">
        <v>0.0</v>
      </c>
      <c r="L6" s="43">
        <v>0.0</v>
      </c>
      <c r="M6" s="43">
        <v>0.0</v>
      </c>
      <c r="N6" s="72">
        <v>-1000.0</v>
      </c>
      <c r="O6" s="59"/>
      <c r="P6" s="59" t="s">
        <v>65</v>
      </c>
      <c r="Q6" s="72">
        <v>-1000.0</v>
      </c>
      <c r="R6" s="59" t="s">
        <v>66</v>
      </c>
      <c r="S6" s="59" t="s">
        <v>67</v>
      </c>
      <c r="T6" s="60" t="s">
        <v>36</v>
      </c>
      <c r="U6" s="60" t="s">
        <v>57</v>
      </c>
      <c r="V6" s="60" t="s">
        <v>54</v>
      </c>
      <c r="W6" s="60" t="s">
        <v>21</v>
      </c>
      <c r="X6" s="46">
        <v>1.0</v>
      </c>
      <c r="Y6" s="46">
        <v>1.0</v>
      </c>
      <c r="Z6" s="37"/>
      <c r="AA6" s="37"/>
      <c r="AB6" s="46">
        <v>0.0</v>
      </c>
      <c r="AC6" s="46">
        <v>0.0</v>
      </c>
      <c r="AD6" s="46">
        <v>0.0</v>
      </c>
      <c r="AE6" s="46">
        <v>0.0</v>
      </c>
      <c r="AF6" s="48">
        <v>1000.0</v>
      </c>
      <c r="AG6" s="46">
        <v>0.0</v>
      </c>
      <c r="AH6" s="46">
        <v>0.0</v>
      </c>
      <c r="AI6" s="46">
        <v>0.0</v>
      </c>
      <c r="AJ6" s="46">
        <v>0.0</v>
      </c>
      <c r="AK6" s="48">
        <v>-1000.0</v>
      </c>
      <c r="AL6" s="46">
        <v>1.0</v>
      </c>
      <c r="AM6" s="46">
        <v>1.0</v>
      </c>
      <c r="AN6" s="60" t="s">
        <v>41</v>
      </c>
      <c r="AO6" s="37"/>
      <c r="AP6" s="60" t="s">
        <v>37</v>
      </c>
      <c r="AQ6" s="60" t="s">
        <v>31</v>
      </c>
      <c r="AR6" s="46">
        <v>0.0</v>
      </c>
      <c r="AS6" s="46">
        <v>1.0</v>
      </c>
      <c r="AT6" s="37"/>
      <c r="AU6" s="60"/>
      <c r="AV6" s="46">
        <v>1.0</v>
      </c>
      <c r="AW6" s="48">
        <v>-1000.0</v>
      </c>
      <c r="AX6" s="46">
        <v>0.0</v>
      </c>
      <c r="AY6" s="46">
        <v>0.0</v>
      </c>
      <c r="AZ6" s="46">
        <v>0.0</v>
      </c>
      <c r="BA6" s="46">
        <v>-100.0</v>
      </c>
      <c r="BB6" s="53"/>
      <c r="BC6" s="46">
        <v>1.0</v>
      </c>
      <c r="BD6" s="48">
        <v>-1000.0</v>
      </c>
      <c r="BE6" s="60" t="s">
        <v>36</v>
      </c>
      <c r="BF6" s="60" t="s">
        <v>68</v>
      </c>
      <c r="BG6" s="60" t="s">
        <v>69</v>
      </c>
      <c r="BH6" s="60" t="s">
        <v>65</v>
      </c>
      <c r="BI6" s="46">
        <v>5.0</v>
      </c>
      <c r="BJ6" s="46">
        <v>0.0</v>
      </c>
      <c r="BK6" s="46">
        <v>0.0</v>
      </c>
      <c r="BL6" s="46">
        <v>0.0</v>
      </c>
      <c r="BM6" s="46">
        <v>0.0</v>
      </c>
      <c r="BN6" s="53"/>
      <c r="BO6" s="48">
        <v>-1000.0</v>
      </c>
      <c r="BP6" s="46">
        <v>0.0</v>
      </c>
      <c r="BQ6" s="60" t="s">
        <v>58</v>
      </c>
      <c r="BR6" s="60" t="s">
        <v>45</v>
      </c>
      <c r="BS6" s="46">
        <v>0.0</v>
      </c>
      <c r="BT6" s="46">
        <v>0.0</v>
      </c>
      <c r="BU6" s="60" t="s">
        <v>36</v>
      </c>
      <c r="BV6" s="46"/>
      <c r="BW6" s="46">
        <v>0.0</v>
      </c>
      <c r="BX6" s="46">
        <v>0.0</v>
      </c>
      <c r="BY6" s="46">
        <v>0.0</v>
      </c>
      <c r="BZ6" s="46">
        <v>0.0</v>
      </c>
      <c r="CA6" s="46">
        <v>0.0</v>
      </c>
      <c r="CB6" s="55"/>
      <c r="CC6" s="46">
        <v>0.0</v>
      </c>
      <c r="CD6" s="48">
        <v>-1000.0</v>
      </c>
      <c r="CE6" s="46">
        <v>0.0</v>
      </c>
      <c r="CF6" s="46">
        <v>0.0</v>
      </c>
      <c r="CG6" s="48">
        <v>-1000.0</v>
      </c>
      <c r="CH6" s="46">
        <v>-100.0</v>
      </c>
      <c r="CI6" s="46">
        <v>0.0</v>
      </c>
      <c r="CJ6" s="46">
        <v>0.0</v>
      </c>
      <c r="CK6" s="54" t="b">
        <v>0</v>
      </c>
      <c r="CL6" s="37"/>
      <c r="CM6" s="37"/>
      <c r="CN6" s="60" t="s">
        <v>31</v>
      </c>
      <c r="CO6" s="60" t="s">
        <v>31</v>
      </c>
      <c r="CP6" s="60" t="s">
        <v>52</v>
      </c>
      <c r="CQ6" s="37"/>
      <c r="CR6" s="55"/>
      <c r="CS6" s="46">
        <v>1.0</v>
      </c>
      <c r="CT6" s="37"/>
      <c r="CU6" s="37"/>
      <c r="CV6" s="37"/>
      <c r="CW6" s="37"/>
      <c r="CX6" s="37"/>
      <c r="CY6" s="60" t="s">
        <v>29</v>
      </c>
      <c r="CZ6" s="60" t="s">
        <v>70</v>
      </c>
      <c r="DA6" s="46">
        <v>0.0</v>
      </c>
      <c r="DB6" s="46">
        <v>0.0</v>
      </c>
      <c r="DC6" s="53"/>
      <c r="DD6" s="48">
        <v>1000.0</v>
      </c>
      <c r="DE6" s="46">
        <v>0.0</v>
      </c>
      <c r="DF6" s="46">
        <v>0.0</v>
      </c>
      <c r="DG6" s="46">
        <v>0.0</v>
      </c>
      <c r="DH6" s="60" t="s">
        <v>65</v>
      </c>
      <c r="DI6" s="46">
        <v>0.0</v>
      </c>
      <c r="DJ6" s="60" t="s">
        <v>41</v>
      </c>
      <c r="DK6" s="46">
        <v>0.0</v>
      </c>
      <c r="DL6" s="46">
        <v>0.0</v>
      </c>
      <c r="DM6" s="46">
        <v>1.0</v>
      </c>
      <c r="DN6" s="46">
        <v>0.0</v>
      </c>
      <c r="DO6" s="37"/>
      <c r="DP6" s="60" t="s">
        <v>37</v>
      </c>
      <c r="DQ6" s="60" t="s">
        <v>71</v>
      </c>
      <c r="DR6" s="60" t="s">
        <v>72</v>
      </c>
      <c r="DS6" s="60" t="s">
        <v>71</v>
      </c>
      <c r="DT6" s="60" t="s">
        <v>71</v>
      </c>
      <c r="DU6" s="60" t="s">
        <v>73</v>
      </c>
      <c r="DV6" s="60" t="s">
        <v>71</v>
      </c>
      <c r="DW6" s="60" t="s">
        <v>71</v>
      </c>
      <c r="DX6" s="60" t="s">
        <v>71</v>
      </c>
      <c r="DY6" s="60" t="s">
        <v>71</v>
      </c>
      <c r="DZ6" s="60" t="s">
        <v>74</v>
      </c>
      <c r="EA6" s="60" t="s">
        <v>73</v>
      </c>
      <c r="EB6" s="60" t="s">
        <v>71</v>
      </c>
      <c r="EC6" s="60" t="s">
        <v>71</v>
      </c>
      <c r="ED6" s="60" t="s">
        <v>21</v>
      </c>
      <c r="EE6" s="60" t="s">
        <v>47</v>
      </c>
      <c r="EF6" s="46">
        <v>0.0</v>
      </c>
      <c r="EG6" s="46">
        <v>0.0</v>
      </c>
      <c r="EH6" s="46">
        <v>0.0</v>
      </c>
      <c r="EI6" s="46">
        <v>0.0</v>
      </c>
      <c r="EJ6" s="46">
        <v>0.0</v>
      </c>
      <c r="EK6" s="46">
        <v>0.0</v>
      </c>
      <c r="EL6" s="60" t="s">
        <v>37</v>
      </c>
      <c r="EM6" s="46">
        <v>0.0</v>
      </c>
      <c r="EN6" s="46">
        <v>0.0</v>
      </c>
      <c r="EO6" s="46"/>
      <c r="EP6" s="46"/>
      <c r="EQ6" s="46"/>
      <c r="ER6" s="46"/>
      <c r="ES6" s="48"/>
      <c r="ET6" s="46"/>
      <c r="EU6" s="46"/>
      <c r="EV6" s="60" t="s">
        <v>37</v>
      </c>
      <c r="EW6" s="48"/>
      <c r="EX6" s="54"/>
      <c r="EY6" s="60"/>
      <c r="EZ6" s="46"/>
      <c r="FA6" s="46"/>
      <c r="FB6" s="46"/>
      <c r="FC6" s="37"/>
      <c r="FD6" s="37"/>
      <c r="FE6" s="37"/>
      <c r="FF6" s="37"/>
      <c r="FG6" s="37"/>
      <c r="FH6" s="37"/>
      <c r="FI6" s="37"/>
      <c r="FJ6" s="37"/>
      <c r="FK6" s="37"/>
      <c r="FL6" s="37"/>
      <c r="FM6" s="37"/>
      <c r="FN6" s="37"/>
      <c r="FO6" s="37"/>
      <c r="FP6" s="37"/>
      <c r="FQ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CheckPortfolioManagement2!$4:$4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84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IFERROR(__xludf.DUMMYFUNCTION("""COMPUTED_VALUE"""),"Rate(%)")</f>
        <v>Rate(%)</v>
      </c>
      <c r="AQ5" s="30" t="str">
        <f>IFERROR(__xludf.DUMMYFUNCTION("""COMPUTED_VALUE"""),"AllowTrade")</f>
        <v>AllowTrade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45" t="s">
        <v>31</v>
      </c>
      <c r="C6" s="35"/>
      <c r="D6" s="36">
        <v>1000.0</v>
      </c>
      <c r="E6" s="45">
        <v>1000.0</v>
      </c>
      <c r="F6" s="35"/>
      <c r="G6" s="35"/>
      <c r="H6" s="35"/>
      <c r="I6" s="35"/>
      <c r="J6" s="41">
        <v>1.0</v>
      </c>
      <c r="K6" s="35"/>
      <c r="L6" s="35"/>
      <c r="M6" s="35"/>
      <c r="N6" s="35"/>
      <c r="O6" s="35"/>
      <c r="P6" s="35"/>
      <c r="Q6" s="35"/>
      <c r="R6" s="35"/>
      <c r="S6" s="35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47">
        <v>400.0</v>
      </c>
      <c r="AO6" s="47"/>
      <c r="AP6" s="37"/>
      <c r="AQ6" s="37" t="s">
        <v>47</v>
      </c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