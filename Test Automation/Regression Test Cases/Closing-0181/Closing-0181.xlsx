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CheckAllocatedGroups" sheetId="13" r:id="rId15"/>
    <sheet state="visible" name="CheckPortfolioManagement" sheetId="14" r:id="rId16"/>
    <sheet state="visible" name="PricingInput" sheetId="15" r:id="rId17"/>
    <sheet state="visible" name="GetDataAllocation1" sheetId="16" r:id="rId18"/>
  </sheets>
  <definedNames/>
  <calcPr/>
</workbook>
</file>

<file path=xl/sharedStrings.xml><?xml version="1.0" encoding="utf-8"?>
<sst xmlns="http://schemas.openxmlformats.org/spreadsheetml/2006/main" count="312" uniqueCount="62">
  <si>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</si>
  <si>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</si>
  <si>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</si>
  <si>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</si>
  <si>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</si>
  <si>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</si>
  <si>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</si>
  <si>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</si>
  <si>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</si>
  <si>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</si>
  <si>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</si>
  <si>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</si>
  <si>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</si>
  <si>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</si>
  <si>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</si>
  <si>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</si>
  <si>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</si>
  <si>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</si>
  <si>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</si>
  <si>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</si>
  <si>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</si>
  <si>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</si>
  <si>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</si>
  <si>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</si>
  <si>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Sell</t>
  </si>
  <si>
    <t>O:AAPL 13N715.00</t>
  </si>
  <si>
    <t>Sell to Open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</si>
  <si>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</si>
  <si>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</si>
  <si>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</si>
  <si>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</si>
  <si>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</si>
  <si>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</si>
  <si>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MS</t>
  </si>
  <si>
    <t>Open</t>
  </si>
  <si>
    <t>ExerciseAssignment</t>
  </si>
  <si>
    <t>VerifyExpiredSettledGrid</t>
  </si>
  <si>
    <t>EquityOption</t>
  </si>
  <si>
    <t>Exercise</t>
  </si>
  <si>
    <t>Short</t>
  </si>
  <si>
    <t>Allocation</t>
  </si>
  <si>
    <t>CheckAllocatedGroups</t>
  </si>
  <si>
    <t/>
  </si>
  <si>
    <t>Equity</t>
  </si>
  <si>
    <t>AAPL US EQUITY</t>
  </si>
  <si>
    <t>APPLE</t>
  </si>
  <si>
    <t>USD</t>
  </si>
  <si>
    <t>NASDAQ</t>
  </si>
  <si>
    <t>Market</t>
  </si>
  <si>
    <t>jpearce</t>
  </si>
  <si>
    <t>Closed</t>
  </si>
  <si>
    <t>AAPL  FEB 2013 715 PUT</t>
  </si>
  <si>
    <t>OPTS</t>
  </si>
  <si>
    <t>Buy to Close</t>
  </si>
  <si>
    <t>PortfolioManagement</t>
  </si>
  <si>
    <t>CheckPortfolioManagement</t>
  </si>
  <si>
    <t>NewMF</t>
  </si>
  <si>
    <t>Long</t>
  </si>
  <si>
    <t>US</t>
  </si>
  <si>
    <t>PricingInput</t>
  </si>
  <si>
    <t>GetDataAllocation</t>
  </si>
  <si>
    <t>01/01/1800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</si>
</sst>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5" numFmtId="165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>today()</f>
        <v>44990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33" t="b">
        <v>1</v>
      </c>
      <c r="F6" s="8"/>
      <c r="G6" s="8"/>
      <c r="H6" s="8"/>
      <c r="I6" s="8"/>
      <c r="J6" s="3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4" t="s">
        <v>22</v>
      </c>
      <c r="D6" s="35">
        <v>100.0</v>
      </c>
      <c r="E6" s="35">
        <v>100.0</v>
      </c>
      <c r="F6" s="34" t="s">
        <v>23</v>
      </c>
      <c r="G6" s="34"/>
      <c r="H6" s="34"/>
      <c r="I6" s="34"/>
      <c r="J6" s="35">
        <v>10.0</v>
      </c>
      <c r="K6" s="34"/>
      <c r="L6" s="34"/>
      <c r="M6" s="34"/>
      <c r="N6" s="36">
        <f t="shared" ref="N6:N7" si="1">TODAY()</f>
        <v>44990</v>
      </c>
      <c r="O6" s="35">
        <v>1.0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21</v>
      </c>
      <c r="C7" s="37" t="s">
        <v>24</v>
      </c>
      <c r="D7" s="35">
        <v>50.0</v>
      </c>
      <c r="E7" s="35">
        <v>50.0</v>
      </c>
      <c r="F7" s="34" t="s">
        <v>23</v>
      </c>
      <c r="G7" s="34"/>
      <c r="H7" s="34"/>
      <c r="I7" s="34"/>
      <c r="J7" s="35">
        <v>10.0</v>
      </c>
      <c r="K7" s="34"/>
      <c r="L7" s="34"/>
      <c r="M7" s="34"/>
      <c r="N7" s="36">
        <f t="shared" si="1"/>
        <v>44990</v>
      </c>
      <c r="O7" s="35">
        <v>1.0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25</v>
      </c>
      <c r="C8" s="37" t="s">
        <v>26</v>
      </c>
      <c r="D8" s="35">
        <v>10.0</v>
      </c>
      <c r="E8" s="37">
        <v>10.0</v>
      </c>
      <c r="F8" s="34" t="s">
        <v>23</v>
      </c>
      <c r="G8" s="34"/>
      <c r="H8" s="34"/>
      <c r="I8" s="34"/>
      <c r="J8" s="35">
        <v>10.0</v>
      </c>
      <c r="K8" s="34"/>
      <c r="L8" s="34"/>
      <c r="M8" s="34"/>
      <c r="N8" s="36">
        <f>Today()-1</f>
        <v>44989</v>
      </c>
      <c r="O8" s="35">
        <v>1.0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>
        <f>today()-1</f>
        <v>44989</v>
      </c>
      <c r="C6" s="38">
        <f>today()</f>
        <v>44990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21</v>
      </c>
      <c r="C6" s="39">
        <v>120.0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31</v>
      </c>
      <c r="C6" s="36">
        <f>today()-1</f>
        <v>44989</v>
      </c>
      <c r="D6" s="36">
        <f>today()</f>
        <v>44990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4"/>
      <c r="D6" s="34"/>
      <c r="E6" s="34"/>
      <c r="F6" s="34"/>
      <c r="G6" s="34"/>
      <c r="H6" s="34"/>
      <c r="I6" s="34"/>
      <c r="J6" s="34"/>
      <c r="K6" s="34" t="s">
        <v>33</v>
      </c>
      <c r="L6" s="34"/>
      <c r="M6" s="34"/>
      <c r="N6" s="34"/>
      <c r="O6" s="34"/>
      <c r="P6" s="34"/>
      <c r="Q6" s="34"/>
      <c r="R6" s="34"/>
      <c r="S6" s="34"/>
      <c r="T6" s="34"/>
      <c r="U6" s="34" t="s">
        <v>34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7" t="s">
        <v>26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1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2" t="s">
        <v>25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4"/>
      <c r="D6" s="34"/>
      <c r="E6" s="34"/>
      <c r="F6" s="34"/>
      <c r="G6" s="34"/>
      <c r="H6" s="34"/>
      <c r="I6" s="34"/>
      <c r="J6" s="37">
        <v>100.0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41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7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7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41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7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7" t="s">
        <v>37</v>
      </c>
      <c r="D6" s="34"/>
      <c r="E6" s="34"/>
      <c r="F6" s="34"/>
      <c r="G6" s="34"/>
      <c r="H6" s="34"/>
      <c r="I6" s="34"/>
      <c r="J6" s="37" t="s">
        <v>38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7" t="s">
        <v>39</v>
      </c>
      <c r="W6" s="34"/>
      <c r="X6" s="34"/>
      <c r="Y6" s="34"/>
      <c r="Z6" s="37" t="s">
        <v>26</v>
      </c>
      <c r="AA6" s="34"/>
      <c r="AB6" s="43" t="s">
        <v>25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 t="s">
        <v>23</v>
      </c>
      <c r="C6" s="8" t="s">
        <v>42</v>
      </c>
      <c r="D6" s="44"/>
      <c r="E6" s="44">
        <v>100.0</v>
      </c>
      <c r="F6" s="44"/>
      <c r="G6" s="44" t="s">
        <v>43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44" t="s">
        <v>44</v>
      </c>
      <c r="N6" s="8" t="s">
        <v>42</v>
      </c>
      <c r="O6" s="44" t="s">
        <v>33</v>
      </c>
      <c r="Q6" s="45">
        <v>3.0</v>
      </c>
      <c r="S6" s="45" t="s">
        <v>34</v>
      </c>
      <c r="V6" t="s">
        <v>45</v>
      </c>
      <c r="X6" t="s">
        <v>42</v>
      </c>
      <c r="Y6" t="s">
        <v>42</v>
      </c>
      <c r="Z6" s="45" t="s">
        <v>46</v>
      </c>
      <c r="AA6" t="s">
        <v>21</v>
      </c>
      <c r="AB6">
        <v>1.0</v>
      </c>
      <c r="AD6" t="s">
        <v>47</v>
      </c>
      <c r="AE6" s="45">
        <v>100.0</v>
      </c>
      <c r="AF6" t="s">
        <v>42</v>
      </c>
      <c r="AI6" s="45">
        <v>1.0</v>
      </c>
      <c r="AT6">
        <v>1014.0006</v>
      </c>
      <c r="AU6">
        <v>1014.0006</v>
      </c>
      <c r="AY6" t="s">
        <v>48</v>
      </c>
      <c r="BJ6" s="45">
        <v>100.0</v>
      </c>
      <c r="BO6" s="45" t="s">
        <v>22</v>
      </c>
      <c r="BT6" s="45" t="s">
        <v>21</v>
      </c>
      <c r="CM6" t="s">
        <v>21</v>
      </c>
      <c r="CN6" t="s">
        <v>49</v>
      </c>
    </row>
    <row r="7" ht="15.75" customHeight="1">
      <c r="A7" s="8"/>
      <c r="B7" s="44" t="s">
        <v>23</v>
      </c>
      <c r="C7" s="8" t="s">
        <v>42</v>
      </c>
      <c r="D7" s="44"/>
      <c r="E7" s="44">
        <v>50.0</v>
      </c>
      <c r="F7" s="44"/>
      <c r="G7" s="44" t="s">
        <v>43</v>
      </c>
      <c r="H7" s="44">
        <v>4.0</v>
      </c>
      <c r="I7" s="44">
        <v>5.0</v>
      </c>
      <c r="J7" s="44">
        <v>1.0</v>
      </c>
      <c r="K7" s="44">
        <v>10.0</v>
      </c>
      <c r="L7" s="44">
        <v>10.0</v>
      </c>
      <c r="M7" s="44" t="s">
        <v>44</v>
      </c>
      <c r="N7" s="8" t="s">
        <v>42</v>
      </c>
      <c r="O7" s="44" t="s">
        <v>33</v>
      </c>
      <c r="Q7" s="45">
        <v>3.0</v>
      </c>
      <c r="S7" s="45" t="s">
        <v>34</v>
      </c>
      <c r="V7" t="s">
        <v>45</v>
      </c>
      <c r="X7" t="s">
        <v>42</v>
      </c>
      <c r="Y7" t="s">
        <v>42</v>
      </c>
      <c r="Z7" s="45" t="s">
        <v>46</v>
      </c>
      <c r="AA7" t="s">
        <v>21</v>
      </c>
      <c r="AB7">
        <v>1.0</v>
      </c>
      <c r="AD7" t="s">
        <v>47</v>
      </c>
      <c r="AE7" s="45">
        <v>50.0</v>
      </c>
      <c r="AF7" t="s">
        <v>42</v>
      </c>
      <c r="AI7" s="45">
        <v>1.0</v>
      </c>
      <c r="AT7">
        <v>485.9997</v>
      </c>
      <c r="AU7">
        <v>485.9997</v>
      </c>
      <c r="AY7" t="s">
        <v>48</v>
      </c>
      <c r="BJ7" s="45">
        <v>50.0</v>
      </c>
      <c r="BO7" s="45" t="s">
        <v>24</v>
      </c>
      <c r="BT7" s="45" t="s">
        <v>21</v>
      </c>
      <c r="CM7" t="s">
        <v>21</v>
      </c>
      <c r="CN7" t="s">
        <v>49</v>
      </c>
    </row>
    <row r="8" ht="15.75" customHeight="1">
      <c r="A8" s="8"/>
      <c r="B8" s="44" t="s">
        <v>23</v>
      </c>
      <c r="C8" s="8" t="s">
        <v>42</v>
      </c>
      <c r="D8" s="44"/>
      <c r="E8" s="44">
        <v>10.0</v>
      </c>
      <c r="F8" s="44"/>
      <c r="G8" s="44" t="s">
        <v>37</v>
      </c>
      <c r="H8" s="44"/>
      <c r="I8" s="44"/>
      <c r="J8" s="44">
        <v>12.0</v>
      </c>
      <c r="K8" s="44">
        <v>10.0</v>
      </c>
      <c r="L8" s="44">
        <v>10.0</v>
      </c>
      <c r="M8" s="8"/>
      <c r="N8" s="8" t="s">
        <v>42</v>
      </c>
      <c r="O8" s="44" t="s">
        <v>33</v>
      </c>
      <c r="Q8" s="45">
        <v>3.0</v>
      </c>
      <c r="S8" s="45" t="s">
        <v>50</v>
      </c>
      <c r="V8" t="s">
        <v>51</v>
      </c>
      <c r="X8" t="s">
        <v>42</v>
      </c>
      <c r="Y8" t="s">
        <v>42</v>
      </c>
      <c r="Z8" s="45" t="s">
        <v>46</v>
      </c>
      <c r="AB8">
        <v>1.0</v>
      </c>
      <c r="AD8" t="s">
        <v>52</v>
      </c>
      <c r="AE8" s="45">
        <v>10.0</v>
      </c>
      <c r="AF8" t="s">
        <v>42</v>
      </c>
      <c r="AI8" s="45">
        <v>1.0</v>
      </c>
      <c r="AT8">
        <v>10000.0</v>
      </c>
      <c r="AU8">
        <v>10000.0</v>
      </c>
      <c r="AY8" t="s">
        <v>48</v>
      </c>
      <c r="BJ8" s="45">
        <v>10.0</v>
      </c>
      <c r="BO8" s="45" t="s">
        <v>26</v>
      </c>
      <c r="BT8" s="45" t="s">
        <v>25</v>
      </c>
      <c r="CM8" t="s">
        <v>21</v>
      </c>
      <c r="CN8" t="s">
        <v>49</v>
      </c>
    </row>
    <row r="9" ht="15.75" customHeight="1">
      <c r="A9" s="8"/>
      <c r="B9" s="44" t="s">
        <v>23</v>
      </c>
      <c r="C9" s="8" t="s">
        <v>42</v>
      </c>
      <c r="D9" s="44"/>
      <c r="E9" s="44">
        <v>10.0</v>
      </c>
      <c r="F9" s="44"/>
      <c r="G9" s="44" t="s">
        <v>37</v>
      </c>
      <c r="H9" s="44"/>
      <c r="I9" s="44"/>
      <c r="J9" s="44">
        <v>12.0</v>
      </c>
      <c r="K9" s="44"/>
      <c r="L9" s="44"/>
      <c r="M9" s="44"/>
      <c r="N9" s="8" t="s">
        <v>42</v>
      </c>
      <c r="O9" s="44" t="s">
        <v>33</v>
      </c>
      <c r="Q9" s="45">
        <v>3.0</v>
      </c>
      <c r="S9" s="45" t="s">
        <v>50</v>
      </c>
      <c r="V9" t="s">
        <v>51</v>
      </c>
      <c r="X9" t="s">
        <v>42</v>
      </c>
      <c r="Y9" t="s">
        <v>42</v>
      </c>
      <c r="Z9" s="45" t="s">
        <v>46</v>
      </c>
      <c r="AB9">
        <v>1.0</v>
      </c>
      <c r="AD9" t="s">
        <v>52</v>
      </c>
      <c r="AE9" s="45">
        <v>10.0</v>
      </c>
      <c r="AF9" t="s">
        <v>42</v>
      </c>
      <c r="AI9" s="45">
        <v>1.0</v>
      </c>
      <c r="AT9">
        <v>10000.0</v>
      </c>
      <c r="AU9">
        <v>10000.0</v>
      </c>
      <c r="AY9" t="s">
        <v>48</v>
      </c>
      <c r="BJ9" s="45">
        <v>10.0</v>
      </c>
      <c r="BO9" s="45" t="s">
        <v>53</v>
      </c>
      <c r="BT9" s="45" t="s">
        <v>25</v>
      </c>
      <c r="CM9" t="s">
        <v>21</v>
      </c>
    </row>
    <row r="10" ht="15.75" customHeight="1">
      <c r="A10" s="8"/>
      <c r="B10" s="44" t="s">
        <v>23</v>
      </c>
      <c r="C10" s="8" t="s">
        <v>42</v>
      </c>
      <c r="D10" s="44"/>
      <c r="E10" s="44">
        <v>1000.0</v>
      </c>
      <c r="F10" s="44"/>
      <c r="G10" s="44" t="s">
        <v>43</v>
      </c>
      <c r="H10" s="44"/>
      <c r="I10" s="44"/>
      <c r="J10" s="44">
        <v>1.0</v>
      </c>
      <c r="K10" s="44">
        <v>100.0</v>
      </c>
      <c r="L10" s="44">
        <v>100.0</v>
      </c>
      <c r="M10" s="8" t="s">
        <v>44</v>
      </c>
      <c r="N10" s="8" t="s">
        <v>42</v>
      </c>
      <c r="O10" s="44" t="s">
        <v>33</v>
      </c>
      <c r="Q10" s="45">
        <v>3.0</v>
      </c>
      <c r="S10" s="45" t="s">
        <v>34</v>
      </c>
      <c r="V10" t="s">
        <v>45</v>
      </c>
      <c r="X10" t="s">
        <v>42</v>
      </c>
      <c r="Y10" t="s">
        <v>42</v>
      </c>
      <c r="Z10" s="45" t="s">
        <v>46</v>
      </c>
      <c r="AA10" t="s">
        <v>21</v>
      </c>
      <c r="AB10">
        <v>1.0</v>
      </c>
      <c r="AD10" t="s">
        <v>47</v>
      </c>
      <c r="AE10" s="45">
        <v>1000.0</v>
      </c>
      <c r="AF10" t="s">
        <v>42</v>
      </c>
      <c r="AI10" s="45">
        <v>1.0</v>
      </c>
      <c r="AT10">
        <v>90000.0</v>
      </c>
      <c r="AU10">
        <v>90000.0</v>
      </c>
      <c r="BJ10" s="45">
        <v>1000.0</v>
      </c>
      <c r="BO10" s="45" t="s">
        <v>22</v>
      </c>
      <c r="BT10" s="45" t="s">
        <v>21</v>
      </c>
      <c r="CM10" t="s">
        <v>21</v>
      </c>
      <c r="CN10" t="s">
        <v>49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21</v>
      </c>
      <c r="D6" s="8">
        <v>100.0</v>
      </c>
      <c r="E6" s="8" t="s">
        <v>23</v>
      </c>
      <c r="F6" s="8" t="s">
        <v>56</v>
      </c>
      <c r="G6" s="8"/>
      <c r="H6" s="8" t="s">
        <v>57</v>
      </c>
      <c r="I6" s="8"/>
      <c r="J6" s="8"/>
      <c r="K6" s="8"/>
      <c r="L6" s="8"/>
      <c r="M6" s="8"/>
      <c r="N6" s="8"/>
      <c r="O6" s="8" t="s">
        <v>45</v>
      </c>
      <c r="T6" t="s">
        <v>43</v>
      </c>
      <c r="U6" t="s">
        <v>58</v>
      </c>
      <c r="V6" t="s">
        <v>47</v>
      </c>
      <c r="W6" t="s">
        <v>46</v>
      </c>
      <c r="X6">
        <v>1.0</v>
      </c>
      <c r="Y6">
        <v>1.0</v>
      </c>
      <c r="AN6" t="s">
        <v>22</v>
      </c>
      <c r="AP6" t="s">
        <v>57</v>
      </c>
      <c r="AQ6" t="s">
        <v>21</v>
      </c>
      <c r="BQ6" t="s">
        <v>49</v>
      </c>
      <c r="BR6" t="s">
        <v>33</v>
      </c>
      <c r="FB6" t="s">
        <v>42</v>
      </c>
      <c r="FK6" t="s">
        <v>42</v>
      </c>
      <c r="FL6" t="s">
        <v>42</v>
      </c>
      <c r="FM6" t="s">
        <v>42</v>
      </c>
      <c r="FN6" t="s">
        <v>42</v>
      </c>
    </row>
    <row r="7" ht="15.75" customHeight="1">
      <c r="A7" s="8"/>
      <c r="B7" s="8"/>
      <c r="C7" s="8" t="s">
        <v>21</v>
      </c>
      <c r="D7" s="8">
        <v>-50.0</v>
      </c>
      <c r="E7" s="8" t="s">
        <v>23</v>
      </c>
      <c r="F7" s="8" t="s">
        <v>56</v>
      </c>
      <c r="G7" s="8"/>
      <c r="H7" s="8" t="s">
        <v>57</v>
      </c>
      <c r="I7" s="8"/>
      <c r="J7" s="8"/>
      <c r="K7" s="8"/>
      <c r="L7" s="8"/>
      <c r="M7" s="8"/>
      <c r="N7" s="8"/>
      <c r="O7" s="8" t="s">
        <v>45</v>
      </c>
      <c r="T7" t="s">
        <v>43</v>
      </c>
      <c r="U7" t="s">
        <v>58</v>
      </c>
      <c r="V7" t="s">
        <v>47</v>
      </c>
      <c r="W7" t="s">
        <v>46</v>
      </c>
      <c r="X7">
        <v>1.0</v>
      </c>
      <c r="Y7">
        <v>1.0</v>
      </c>
      <c r="AN7" t="s">
        <v>24</v>
      </c>
      <c r="AP7" t="s">
        <v>57</v>
      </c>
      <c r="AQ7" t="s">
        <v>21</v>
      </c>
      <c r="BQ7" t="s">
        <v>49</v>
      </c>
      <c r="BR7" t="s">
        <v>33</v>
      </c>
      <c r="FB7" t="s">
        <v>42</v>
      </c>
      <c r="FK7" t="s">
        <v>42</v>
      </c>
      <c r="FL7" t="s">
        <v>42</v>
      </c>
      <c r="FM7" t="s">
        <v>42</v>
      </c>
      <c r="FN7" t="s">
        <v>42</v>
      </c>
    </row>
    <row r="8" ht="15.75" customHeight="1">
      <c r="A8" s="8"/>
      <c r="B8" s="8"/>
      <c r="C8" s="8" t="s">
        <v>25</v>
      </c>
      <c r="D8" s="8">
        <v>-10.0</v>
      </c>
      <c r="E8" s="8" t="s">
        <v>23</v>
      </c>
      <c r="F8" s="8" t="s">
        <v>56</v>
      </c>
      <c r="G8" s="8"/>
      <c r="H8" s="8" t="s">
        <v>39</v>
      </c>
      <c r="I8" s="8"/>
      <c r="J8" s="8"/>
      <c r="K8" s="8"/>
      <c r="L8" s="8"/>
      <c r="M8" s="8"/>
      <c r="N8" s="8"/>
      <c r="O8" s="8" t="s">
        <v>51</v>
      </c>
      <c r="T8" t="s">
        <v>37</v>
      </c>
      <c r="U8" t="s">
        <v>58</v>
      </c>
      <c r="V8" t="s">
        <v>52</v>
      </c>
      <c r="W8" t="s">
        <v>46</v>
      </c>
      <c r="X8">
        <v>100.0</v>
      </c>
      <c r="Y8">
        <v>1.0</v>
      </c>
      <c r="AN8" t="s">
        <v>26</v>
      </c>
      <c r="AP8" t="s">
        <v>57</v>
      </c>
      <c r="AQ8" t="s">
        <v>21</v>
      </c>
      <c r="BQ8" t="s">
        <v>49</v>
      </c>
      <c r="BR8" t="s">
        <v>33</v>
      </c>
      <c r="FB8" t="s">
        <v>42</v>
      </c>
      <c r="FK8" t="s">
        <v>42</v>
      </c>
      <c r="FL8" t="s">
        <v>42</v>
      </c>
      <c r="FM8" t="s">
        <v>42</v>
      </c>
      <c r="FN8" t="s">
        <v>42</v>
      </c>
    </row>
    <row r="9" ht="15.75" customHeight="1">
      <c r="A9" s="8"/>
      <c r="B9" s="8"/>
      <c r="C9" s="8" t="s">
        <v>25</v>
      </c>
      <c r="D9" s="8">
        <v>10.0</v>
      </c>
      <c r="E9" s="8" t="s">
        <v>23</v>
      </c>
      <c r="F9" s="8" t="s">
        <v>56</v>
      </c>
      <c r="G9" s="8"/>
      <c r="H9" s="8" t="s">
        <v>39</v>
      </c>
      <c r="I9" s="8"/>
      <c r="J9" s="8"/>
      <c r="K9" s="8"/>
      <c r="L9" s="8"/>
      <c r="M9" s="8"/>
      <c r="N9" s="8"/>
      <c r="O9" s="8" t="s">
        <v>51</v>
      </c>
      <c r="T9" t="s">
        <v>37</v>
      </c>
      <c r="U9" t="s">
        <v>58</v>
      </c>
      <c r="V9" t="s">
        <v>52</v>
      </c>
      <c r="W9" t="s">
        <v>46</v>
      </c>
      <c r="X9">
        <v>100.0</v>
      </c>
      <c r="Y9">
        <v>1.0</v>
      </c>
      <c r="AN9" t="s">
        <v>53</v>
      </c>
      <c r="AP9" t="s">
        <v>57</v>
      </c>
      <c r="AQ9" t="s">
        <v>21</v>
      </c>
      <c r="BQ9" t="s">
        <v>49</v>
      </c>
      <c r="BR9" t="s">
        <v>33</v>
      </c>
      <c r="FB9" t="s">
        <v>42</v>
      </c>
      <c r="FK9" t="s">
        <v>42</v>
      </c>
      <c r="FL9" t="s">
        <v>42</v>
      </c>
      <c r="FM9" t="s">
        <v>42</v>
      </c>
      <c r="FN9" t="s">
        <v>42</v>
      </c>
    </row>
    <row r="10" ht="15.75" customHeight="1">
      <c r="A10" s="8"/>
      <c r="B10" s="8"/>
      <c r="C10" s="8" t="s">
        <v>21</v>
      </c>
      <c r="D10" s="8">
        <v>1000.0</v>
      </c>
      <c r="E10" s="8" t="s">
        <v>23</v>
      </c>
      <c r="F10" s="8" t="s">
        <v>56</v>
      </c>
      <c r="G10" s="8"/>
      <c r="H10" s="8" t="s">
        <v>57</v>
      </c>
      <c r="I10" s="8"/>
      <c r="J10" s="8"/>
      <c r="K10" s="8"/>
      <c r="L10" s="8"/>
      <c r="M10" s="8"/>
      <c r="N10" s="8"/>
      <c r="O10" s="8" t="s">
        <v>45</v>
      </c>
      <c r="T10" t="s">
        <v>43</v>
      </c>
      <c r="U10" t="s">
        <v>58</v>
      </c>
      <c r="V10" t="s">
        <v>47</v>
      </c>
      <c r="W10" t="s">
        <v>46</v>
      </c>
      <c r="X10">
        <v>1.0</v>
      </c>
      <c r="Y10">
        <v>1.0</v>
      </c>
      <c r="AN10" t="s">
        <v>22</v>
      </c>
      <c r="AP10" t="s">
        <v>57</v>
      </c>
      <c r="AQ10" t="s">
        <v>21</v>
      </c>
      <c r="BQ10" t="s">
        <v>49</v>
      </c>
      <c r="BR10" t="s">
        <v>33</v>
      </c>
      <c r="FB10" t="s">
        <v>42</v>
      </c>
      <c r="FK10" t="s">
        <v>42</v>
      </c>
      <c r="FL10" t="s">
        <v>42</v>
      </c>
      <c r="FM10" t="s">
        <v>42</v>
      </c>
      <c r="FN10" t="s">
        <v>42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>
        <v>80.0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31</v>
      </c>
      <c r="C6" s="46" t="s">
        <v>61</v>
      </c>
      <c r="D6" s="47">
        <f>today()</f>
        <v>44990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