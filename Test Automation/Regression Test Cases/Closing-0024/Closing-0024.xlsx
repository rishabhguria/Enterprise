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loseOrder" sheetId="5" r:id="rId7"/>
    <sheet state="visible" name="CloseOrderClosing" sheetId="6" r:id="rId8"/>
    <sheet state="visible" name="VerifyCloseOrder" sheetId="7" r:id="rId9"/>
    <sheet state="visible" name="GetDataAllocation" sheetId="8" r:id="rId10"/>
    <sheet state="visible" name="CheckAllocatedGroups" sheetId="9" r:id="rId11"/>
    <sheet state="visible" name="UnWindCloseOrder" sheetId="10" r:id="rId12"/>
    <sheet state="visible" name="CheckAllocatedGroups1" sheetId="11" r:id="rId13"/>
    <sheet state="visible" name="CloseOrder1" sheetId="12" r:id="rId14"/>
    <sheet state="visible" name="VerifyCloseOrder1" sheetId="13" r:id="rId15"/>
    <sheet state="visible" name="CheckAllocatedGroups2" sheetId="14" r:id="rId16"/>
    <sheet state="visible" name="Unallocate" sheetId="15" r:id="rId17"/>
    <sheet state="visible" name="UnWindCloseOrder1" sheetId="16" r:id="rId18"/>
    <sheet state="visible" name="CloseOrder2" sheetId="17" r:id="rId19"/>
  </sheets>
  <definedNames/>
  <calcPr/>
</workbook>
</file>

<file path=xl/sharedStrings.xml><?xml version="1.0" encoding="utf-8"?>
<sst xmlns="http://schemas.openxmlformats.org/spreadsheetml/2006/main" count="225" uniqueCount="39">
  <si>
    <t>Master Data Info</t>
  </si>
  <si>
    <t>Modules Info</t>
  </si>
  <si>
    <t>Settings</t>
  </si>
  <si>
    <t>Module Step Setting File</t>
  </si>
  <si>
    <t>Modules</t>
  </si>
  <si>
    <t>Module</t>
  </si>
  <si>
    <t>1bjzFzn7sq_aNk1B-5bCREqf7Fqdi4GeZC91op3sddBc</t>
  </si>
  <si>
    <t>Master Data Settings File</t>
  </si>
  <si>
    <t>Step</t>
  </si>
  <si>
    <t>Master Data Sheet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</si>
  <si>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</si>
  <si>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</si>
  <si>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</si>
  <si>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</si>
  <si>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</si>
  <si>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</si>
  <si>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</si>
  <si>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</si>
  <si>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</si>
  <si>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</t>
  </si>
  <si>
    <t>Allocation</t>
  </si>
  <si>
    <t>CloseOrder</t>
  </si>
  <si>
    <t>Closing</t>
  </si>
  <si>
    <t>Strategy Unallocated</t>
  </si>
  <si>
    <t>LIFO</t>
  </si>
  <si>
    <t>Default</t>
  </si>
  <si>
    <t>VerifyCloseOrder</t>
  </si>
  <si>
    <t>Equity</t>
  </si>
  <si>
    <t>GetDataAllocation</t>
  </si>
  <si>
    <t>Histrorical</t>
  </si>
  <si>
    <t>CheckAllocatedGroups</t>
  </si>
  <si>
    <t>PartiallyClosed</t>
  </si>
  <si>
    <t>Closed</t>
  </si>
  <si>
    <t>UnWindCloseOrder</t>
  </si>
  <si>
    <t>Open</t>
  </si>
  <si>
    <t>NONE</t>
  </si>
  <si>
    <t>FIFO</t>
  </si>
  <si>
    <t>Long</t>
  </si>
  <si>
    <t>Unallocate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</si>
</sst>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8" numFmtId="0" xfId="0" applyFont="1"/>
    <xf borderId="4" fillId="3" fontId="5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4" numFmtId="14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3"/>
      <c r="C3" s="15"/>
      <c r="D3" s="15"/>
      <c r="E3" s="15"/>
      <c r="F3" s="15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6</v>
      </c>
      <c r="C3" s="6"/>
    </row>
    <row r="4" ht="15.75" customHeight="1">
      <c r="A4" s="10" t="s">
        <v>7</v>
      </c>
      <c r="B4" s="9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0" t="s">
        <v>5</v>
      </c>
      <c r="B3" s="11" t="s">
        <v>8</v>
      </c>
      <c r="C3" s="11" t="s">
        <v>9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8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16</v>
      </c>
      <c r="C6" s="29" t="s">
        <v>17</v>
      </c>
      <c r="D6" s="30">
        <v>200.0</v>
      </c>
      <c r="E6" s="31"/>
      <c r="F6" s="29" t="s">
        <v>18</v>
      </c>
      <c r="G6" s="31"/>
      <c r="H6" s="31"/>
      <c r="I6" s="31"/>
      <c r="J6" s="30">
        <v>13.0</v>
      </c>
      <c r="K6" s="31"/>
      <c r="L6" s="31"/>
      <c r="M6" s="31"/>
      <c r="N6" s="32">
        <v>42768.0</v>
      </c>
      <c r="O6" s="6"/>
    </row>
    <row r="7" ht="15.75" customHeight="1">
      <c r="A7" s="6"/>
      <c r="B7" s="29" t="s">
        <v>16</v>
      </c>
      <c r="C7" s="29" t="s">
        <v>17</v>
      </c>
      <c r="D7" s="30">
        <v>300.0</v>
      </c>
      <c r="E7" s="31"/>
      <c r="F7" s="29" t="s">
        <v>18</v>
      </c>
      <c r="G7" s="31"/>
      <c r="H7" s="31"/>
      <c r="I7" s="31"/>
      <c r="J7" s="30">
        <v>14.0</v>
      </c>
      <c r="K7" s="31"/>
      <c r="L7" s="31"/>
      <c r="M7" s="31"/>
      <c r="N7" s="32">
        <v>42769.0</v>
      </c>
      <c r="O7" s="6"/>
    </row>
    <row r="8" ht="15.75" customHeight="1">
      <c r="A8" s="6"/>
      <c r="B8" s="9" t="s">
        <v>16</v>
      </c>
      <c r="C8" s="9" t="s">
        <v>19</v>
      </c>
      <c r="D8" s="9">
        <v>400.0</v>
      </c>
      <c r="E8" s="6"/>
      <c r="F8" s="9" t="s">
        <v>18</v>
      </c>
      <c r="G8" s="6"/>
      <c r="H8" s="6"/>
      <c r="I8" s="6"/>
      <c r="J8" s="9">
        <v>15.0</v>
      </c>
      <c r="K8" s="6"/>
      <c r="L8" s="6"/>
      <c r="M8" s="6"/>
      <c r="N8" s="33">
        <v>42771.0</v>
      </c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17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8</v>
      </c>
      <c r="E3" s="21" t="s">
        <v>21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 Base)")</f>
        <v>Avg Price( 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16</v>
      </c>
      <c r="C6" s="9">
        <v>400.0</v>
      </c>
      <c r="D6" s="33"/>
      <c r="E6" s="9" t="s">
        <v>18</v>
      </c>
      <c r="F6" s="9" t="s">
        <v>19</v>
      </c>
      <c r="G6" s="6"/>
      <c r="H6" s="6"/>
      <c r="I6" s="6"/>
      <c r="J6" s="6"/>
      <c r="K6" s="9"/>
      <c r="L6" s="6"/>
      <c r="M6" s="6"/>
      <c r="N6" s="6"/>
      <c r="O6" s="6"/>
    </row>
    <row r="7" ht="15.75" customHeight="1">
      <c r="A7" s="6"/>
      <c r="B7" s="3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22</v>
      </c>
      <c r="D3" s="8" t="s">
        <v>8</v>
      </c>
      <c r="E3" s="21" t="s">
        <v>21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IFERROR(__xludf.DUMMYFUNCTION("""COMPUTED_VALUE"""),"Strategy")</f>
        <v>Strategy</v>
      </c>
      <c r="D5" s="26" t="str">
        <f>IFERROR(__xludf.DUMMYFUNCTION("""COMPUTED_VALUE"""),"Closing Methodology")</f>
        <v>Closing Methodology</v>
      </c>
      <c r="E5" s="26" t="str">
        <f>IFERROR(__xludf.DUMMYFUNCTION("""COMPUTED_VALUE"""),"Closing Field")</f>
        <v>Closing Field</v>
      </c>
      <c r="F5" s="27" t="str">
        <f>IFERROR(__xludf.DUMMYFUNCTION("""COMPUTED_VALUE"""),"AutoCloseStrategy")</f>
        <v>AutoCloseStrategy</v>
      </c>
      <c r="G5" s="26" t="str">
        <f>IFERROR(__xludf.DUMMYFUNCTION("""COMPUTED_VALUE"""),"ClosingQuantity")</f>
        <v>ClosingQuantity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9" t="s">
        <v>23</v>
      </c>
      <c r="D6" s="9" t="s">
        <v>24</v>
      </c>
      <c r="E6" s="9" t="s">
        <v>25</v>
      </c>
      <c r="F6" s="9" t="b">
        <v>1</v>
      </c>
      <c r="G6" s="9">
        <v>100.0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22</v>
      </c>
      <c r="D3" s="8" t="s">
        <v>8</v>
      </c>
      <c r="E3" s="21" t="s">
        <v>26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IFERROR(__xludf.DUMMYFUNCTION("""COMPUTED_VALUE"""),"Closing Date")</f>
        <v>Closing Date</v>
      </c>
      <c r="E5" s="26" t="str">
        <f>IFERROR(__xludf.DUMMYFUNCTION("""COMPUTED_VALUE"""),"Closing Method")</f>
        <v>Closing Method</v>
      </c>
      <c r="F5" s="27" t="str">
        <f>IFERROR(__xludf.DUMMYFUNCTION("""COMPUTED_VALUE"""),"Closing Mode")</f>
        <v>Closing Mode</v>
      </c>
      <c r="G5" s="26" t="str">
        <f>IFERROR(__xludf.DUMMYFUNCTION("""COMPUTED_VALUE"""),"Closing Position Type")</f>
        <v>Closing Position Type</v>
      </c>
      <c r="H5" s="26" t="str">
        <f>IFERROR(__xludf.DUMMYFUNCTION("""COMPUTED_VALUE"""),"Closing Price")</f>
        <v>Closing Price</v>
      </c>
      <c r="I5" s="26" t="str">
        <f>IFERROR(__xludf.DUMMYFUNCTION("""COMPUTED_VALUE"""),"Closing Side")</f>
        <v>Closing Side</v>
      </c>
      <c r="J5" s="26" t="str">
        <f>IFERROR(__xludf.DUMMYFUNCTION("""COMPUTED_VALUE"""),"ClosingID")</f>
        <v>ClosingID</v>
      </c>
      <c r="K5" s="26" t="str">
        <f>IFERROR(__xludf.DUMMYFUNCTION("""COMPUTED_VALUE"""),"ClosingTotalCommissionFee")</f>
        <v>ClosingTotalCommissionFee</v>
      </c>
      <c r="L5" s="26" t="str">
        <f>IFERROR(__xludf.DUMMYFUNCTION("""COMPUTED_VALUE"""),"Currency")</f>
        <v>Currency</v>
      </c>
      <c r="M5" s="26" t="str">
        <f>IFERROR(__xludf.DUMMYFUNCTION("""COMPUTED_VALUE"""),"Exchange")</f>
        <v>Exchange</v>
      </c>
      <c r="N5" s="26" t="str">
        <f>IFERROR(__xludf.DUMMYFUNCTION("""COMPUTED_VALUE"""),"Opening Fee &amp; Commission")</f>
        <v>Opening Fee &amp; Commission</v>
      </c>
      <c r="O5" s="26" t="str">
        <f>IFERROR(__xludf.DUMMYFUNCTION("""COMPUTED_VALUE"""),"Opening Price")</f>
        <v>Opening Price</v>
      </c>
      <c r="P5" s="26" t="str">
        <f>IFERROR(__xludf.DUMMYFUNCTION("""COMPUTED_VALUE"""),"Opening Side")</f>
        <v>Opening Side</v>
      </c>
      <c r="Q5" s="26" t="str">
        <f>IFERROR(__xludf.DUMMYFUNCTION("""COMPUTED_VALUE"""),"Original Purchase Date")</f>
        <v>Original Purchase Date</v>
      </c>
      <c r="R5" s="26" t="str">
        <f>IFERROR(__xludf.DUMMYFUNCTION("""COMPUTED_VALUE"""),"Position Type")</f>
        <v>Position Type</v>
      </c>
      <c r="S5" s="26" t="str">
        <f>IFERROR(__xludf.DUMMYFUNCTION("""COMPUTED_VALUE"""),"Qty Closed")</f>
        <v>Qty Closed</v>
      </c>
      <c r="T5" s="28" t="str">
        <f>IFERROR(__xludf.DUMMYFUNCTION("""COMPUTED_VALUE"""),"Realized PNL(C.B.)")</f>
        <v>Realized PNL(C.B.)</v>
      </c>
      <c r="U5" s="28" t="str">
        <f>IFERROR(__xludf.DUMMYFUNCTION("""COMPUTED_VALUE"""),"Side")</f>
        <v>Side</v>
      </c>
      <c r="V5" s="28" t="str">
        <f>IFERROR(__xludf.DUMMYFUNCTION("""COMPUTED_VALUE"""),"Strategy")</f>
        <v>Strategy</v>
      </c>
      <c r="W5" s="28" t="str">
        <f>IFERROR(__xludf.DUMMYFUNCTION("""COMPUTED_VALUE"""),"Symbol")</f>
        <v>Symbol</v>
      </c>
      <c r="X5" s="28" t="str">
        <f>IFERROR(__xludf.DUMMYFUNCTION("""COMPUTED_VALUE"""),"Taxlot ID")</f>
        <v>Taxlot ID</v>
      </c>
      <c r="Y5" s="28" t="str">
        <f>IFERROR(__xludf.DUMMYFUNCTION("""COMPUTED_VALUE"""),"Underlying")</f>
        <v>Underlying</v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9" t="s">
        <v>27</v>
      </c>
      <c r="D6" s="9"/>
      <c r="E6" s="9"/>
      <c r="F6" s="6"/>
      <c r="G6" s="6"/>
      <c r="H6" s="9">
        <v>15.0</v>
      </c>
      <c r="I6" s="9"/>
      <c r="J6" s="6"/>
      <c r="K6" s="6"/>
      <c r="L6" s="6"/>
      <c r="M6" s="6"/>
      <c r="N6" s="6"/>
      <c r="O6" s="6"/>
      <c r="P6" s="34"/>
      <c r="S6" s="34">
        <v>300.0</v>
      </c>
      <c r="U6" s="34" t="s">
        <v>17</v>
      </c>
      <c r="V6" s="34" t="s">
        <v>23</v>
      </c>
      <c r="W6" s="34" t="s">
        <v>16</v>
      </c>
    </row>
    <row r="7" ht="15.75" customHeight="1">
      <c r="A7" s="6"/>
      <c r="B7" s="9" t="s">
        <v>18</v>
      </c>
      <c r="C7" s="9" t="s">
        <v>27</v>
      </c>
      <c r="D7" s="9"/>
      <c r="E7" s="9"/>
      <c r="F7" s="6"/>
      <c r="G7" s="6"/>
      <c r="H7" s="9">
        <v>15.0</v>
      </c>
      <c r="I7" s="9"/>
      <c r="J7" s="6"/>
      <c r="K7" s="6"/>
      <c r="L7" s="6"/>
      <c r="M7" s="6"/>
      <c r="N7" s="6"/>
      <c r="O7" s="6"/>
      <c r="S7" s="34">
        <v>100.0</v>
      </c>
      <c r="U7" s="34" t="s">
        <v>17</v>
      </c>
      <c r="V7" s="34" t="s">
        <v>23</v>
      </c>
      <c r="W7" s="34" t="s">
        <v>16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8</v>
      </c>
      <c r="E3" s="21" t="s">
        <v>28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29</v>
      </c>
      <c r="C6" s="33">
        <v>42767.0</v>
      </c>
      <c r="D6" s="36">
        <f>TODAY()</f>
        <v>43634</v>
      </c>
      <c r="E6" s="3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8</v>
      </c>
      <c r="E3" s="21" t="s">
        <v>30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6"/>
      <c r="D6" s="9"/>
      <c r="E6" s="37"/>
      <c r="F6" s="6"/>
      <c r="G6" s="6"/>
      <c r="H6" s="6"/>
      <c r="I6" s="6"/>
      <c r="J6" s="6"/>
      <c r="K6" s="6"/>
      <c r="L6" s="6"/>
      <c r="M6" s="6"/>
      <c r="N6" s="6"/>
      <c r="O6" s="6"/>
      <c r="S6" s="34" t="s">
        <v>31</v>
      </c>
      <c r="AE6" s="34">
        <v>200.0</v>
      </c>
      <c r="BJ6" s="34">
        <v>200.0</v>
      </c>
      <c r="BO6" s="34" t="s">
        <v>17</v>
      </c>
      <c r="BT6" s="34" t="s">
        <v>16</v>
      </c>
      <c r="CP6" s="34" t="s">
        <v>24</v>
      </c>
    </row>
    <row r="7" ht="15.75" customHeight="1">
      <c r="A7" s="6"/>
      <c r="B7" s="9" t="s">
        <v>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S7" s="34" t="s">
        <v>32</v>
      </c>
      <c r="AE7" s="34">
        <v>300.0</v>
      </c>
      <c r="BJ7" s="34">
        <v>300.0</v>
      </c>
      <c r="BO7" s="34" t="s">
        <v>17</v>
      </c>
      <c r="BT7" s="34" t="s">
        <v>16</v>
      </c>
      <c r="CP7" s="34" t="s">
        <v>24</v>
      </c>
    </row>
    <row r="8" ht="15.75" customHeight="1">
      <c r="A8" s="6"/>
      <c r="B8" s="9" t="s">
        <v>18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S8" s="34" t="s">
        <v>32</v>
      </c>
      <c r="AE8" s="34">
        <v>400.0</v>
      </c>
      <c r="BJ8" s="34">
        <v>400.0</v>
      </c>
      <c r="BO8" s="34" t="s">
        <v>19</v>
      </c>
      <c r="BT8" s="34" t="s">
        <v>16</v>
      </c>
      <c r="CP8" s="34" t="s">
        <v>24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22</v>
      </c>
      <c r="D3" s="8" t="s">
        <v>8</v>
      </c>
      <c r="E3" s="21" t="s">
        <v>33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IFERROR(__xludf.DUMMYFUNCTION("""COMPUTED_VALUE"""),"Closing Date")</f>
        <v>Closing Date</v>
      </c>
      <c r="E5" s="26" t="str">
        <f>IFERROR(__xludf.DUMMYFUNCTION("""COMPUTED_VALUE"""),"Closing Method")</f>
        <v>Closing Method</v>
      </c>
      <c r="F5" s="27" t="str">
        <f>IFERROR(__xludf.DUMMYFUNCTION("""COMPUTED_VALUE"""),"Closing Mode")</f>
        <v>Closing Mode</v>
      </c>
      <c r="G5" s="26" t="str">
        <f>IFERROR(__xludf.DUMMYFUNCTION("""COMPUTED_VALUE"""),"Closing Position Type")</f>
        <v>Closing Position Type</v>
      </c>
      <c r="H5" s="26" t="str">
        <f>IFERROR(__xludf.DUMMYFUNCTION("""COMPUTED_VALUE"""),"Closing Price")</f>
        <v>Closing Price</v>
      </c>
      <c r="I5" s="26" t="str">
        <f>IFERROR(__xludf.DUMMYFUNCTION("""COMPUTED_VALUE"""),"Closing Side")</f>
        <v>Closing Side</v>
      </c>
      <c r="J5" s="26" t="str">
        <f>IFERROR(__xludf.DUMMYFUNCTION("""COMPUTED_VALUE"""),"ClosingID")</f>
        <v>ClosingID</v>
      </c>
      <c r="K5" s="26" t="str">
        <f>IFERROR(__xludf.DUMMYFUNCTION("""COMPUTED_VALUE"""),"ClosingTotalCommissionFee")</f>
        <v>ClosingTotalCommissionFee</v>
      </c>
      <c r="L5" s="26" t="str">
        <f>IFERROR(__xludf.DUMMYFUNCTION("""COMPUTED_VALUE"""),"Currency")</f>
        <v>Currency</v>
      </c>
      <c r="M5" s="26" t="str">
        <f>IFERROR(__xludf.DUMMYFUNCTION("""COMPUTED_VALUE"""),"Exchange")</f>
        <v>Exchange</v>
      </c>
      <c r="N5" s="26" t="str">
        <f>IFERROR(__xludf.DUMMYFUNCTION("""COMPUTED_VALUE"""),"Opening Fee &amp; Commission")</f>
        <v>Opening Fee &amp; Commission</v>
      </c>
      <c r="O5" s="26" t="str">
        <f>IFERROR(__xludf.DUMMYFUNCTION("""COMPUTED_VALUE"""),"Opening Price")</f>
        <v>Opening Price</v>
      </c>
      <c r="P5" s="26" t="str">
        <f>IFERROR(__xludf.DUMMYFUNCTION("""COMPUTED_VALUE"""),"Opening Side")</f>
        <v>Opening Side</v>
      </c>
      <c r="Q5" s="26" t="str">
        <f>IFERROR(__xludf.DUMMYFUNCTION("""COMPUTED_VALUE"""),"Original Purchase Date")</f>
        <v>Original Purchase Date</v>
      </c>
      <c r="R5" s="26" t="str">
        <f>IFERROR(__xludf.DUMMYFUNCTION("""COMPUTED_VALUE"""),"Position Type")</f>
        <v>Position Type</v>
      </c>
      <c r="S5" s="26" t="str">
        <f>IFERROR(__xludf.DUMMYFUNCTION("""COMPUTED_VALUE"""),"Qty Closed")</f>
        <v>Qty Closed</v>
      </c>
      <c r="T5" s="28" t="str">
        <f>IFERROR(__xludf.DUMMYFUNCTION("""COMPUTED_VALUE"""),"Realized PNL(C.B.)")</f>
        <v>Realized PNL(C.B.)</v>
      </c>
      <c r="U5" s="28" t="str">
        <f>IFERROR(__xludf.DUMMYFUNCTION("""COMPUTED_VALUE"""),"Side")</f>
        <v>Side</v>
      </c>
      <c r="V5" s="28" t="str">
        <f>IFERROR(__xludf.DUMMYFUNCTION("""COMPUTED_VALUE"""),"Strategy")</f>
        <v>Strategy</v>
      </c>
      <c r="W5" s="28" t="str">
        <f>IFERROR(__xludf.DUMMYFUNCTION("""COMPUTED_VALUE"""),"Symbol")</f>
        <v>Symbol</v>
      </c>
      <c r="X5" s="28" t="str">
        <f>IFERROR(__xludf.DUMMYFUNCTION("""COMPUTED_VALUE"""),"Taxlot ID")</f>
        <v>Taxlot ID</v>
      </c>
      <c r="Y5" s="28" t="str">
        <f>IFERROR(__xludf.DUMMYFUNCTION("""COMPUTED_VALUE"""),"Underlying")</f>
        <v>Underlying</v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9" t="s">
        <v>27</v>
      </c>
      <c r="D6" s="9"/>
      <c r="E6" s="9"/>
      <c r="F6" s="6"/>
      <c r="G6" s="6"/>
      <c r="H6" s="6"/>
      <c r="I6" s="9"/>
      <c r="J6" s="6"/>
      <c r="K6" s="6"/>
      <c r="L6" s="6"/>
      <c r="M6" s="6"/>
      <c r="N6" s="6"/>
      <c r="O6" s="6"/>
      <c r="P6" s="34"/>
      <c r="S6" s="34">
        <v>300.0</v>
      </c>
      <c r="U6" s="34" t="s">
        <v>17</v>
      </c>
      <c r="V6" s="34" t="s">
        <v>23</v>
      </c>
      <c r="W6" s="34" t="s">
        <v>16</v>
      </c>
    </row>
    <row r="7" ht="15.75" customHeight="1">
      <c r="A7" s="6"/>
      <c r="B7" s="9" t="s">
        <v>18</v>
      </c>
      <c r="C7" s="9" t="s">
        <v>27</v>
      </c>
      <c r="D7" s="6"/>
      <c r="E7" s="6"/>
      <c r="F7" s="6"/>
      <c r="G7" s="6"/>
      <c r="H7" s="6"/>
      <c r="I7" s="9"/>
      <c r="J7" s="6"/>
      <c r="K7" s="6"/>
      <c r="L7" s="6"/>
      <c r="M7" s="6"/>
      <c r="N7" s="6"/>
      <c r="O7" s="6"/>
      <c r="S7" s="34">
        <v>100.0</v>
      </c>
      <c r="U7" s="34" t="s">
        <v>17</v>
      </c>
      <c r="V7" s="34" t="s">
        <v>23</v>
      </c>
      <c r="W7" s="34" t="s">
        <v>16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8</v>
      </c>
      <c r="E3" s="21" t="s">
        <v>30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6"/>
      <c r="D6" s="9"/>
      <c r="E6" s="37"/>
      <c r="F6" s="6"/>
      <c r="G6" s="6"/>
      <c r="H6" s="6"/>
      <c r="I6" s="6"/>
      <c r="J6" s="6"/>
      <c r="K6" s="6"/>
      <c r="L6" s="6"/>
      <c r="M6" s="6"/>
      <c r="N6" s="6"/>
      <c r="O6" s="6"/>
      <c r="S6" s="34" t="s">
        <v>34</v>
      </c>
      <c r="AE6" s="34">
        <v>200.0</v>
      </c>
      <c r="BJ6" s="34">
        <v>200.0</v>
      </c>
      <c r="BO6" s="34" t="s">
        <v>17</v>
      </c>
      <c r="BT6" s="34" t="s">
        <v>16</v>
      </c>
      <c r="CP6" s="34" t="s">
        <v>35</v>
      </c>
    </row>
    <row r="7" ht="15.75" customHeight="1">
      <c r="A7" s="6"/>
      <c r="B7" s="9" t="s">
        <v>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S7" s="34" t="s">
        <v>34</v>
      </c>
      <c r="AE7" s="34">
        <v>300.0</v>
      </c>
      <c r="BJ7" s="34">
        <v>300.0</v>
      </c>
      <c r="BO7" s="34" t="s">
        <v>17</v>
      </c>
      <c r="BT7" s="34" t="s">
        <v>16</v>
      </c>
      <c r="CP7" s="34" t="s">
        <v>35</v>
      </c>
    </row>
    <row r="8" ht="15.75" customHeight="1">
      <c r="A8" s="6"/>
      <c r="B8" s="9" t="s">
        <v>18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S8" s="34" t="s">
        <v>34</v>
      </c>
      <c r="AE8" s="34">
        <v>400.0</v>
      </c>
      <c r="BJ8" s="34">
        <v>400.0</v>
      </c>
      <c r="BO8" s="34" t="s">
        <v>19</v>
      </c>
      <c r="BT8" s="34" t="s">
        <v>16</v>
      </c>
      <c r="CP8" s="34" t="s">
        <v>35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22</v>
      </c>
      <c r="D3" s="8" t="s">
        <v>8</v>
      </c>
      <c r="E3" s="21" t="s">
        <v>21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IFERROR(__xludf.DUMMYFUNCTION("""COMPUTED_VALUE"""),"Strategy")</f>
        <v>Strategy</v>
      </c>
      <c r="D5" s="26" t="str">
        <f>IFERROR(__xludf.DUMMYFUNCTION("""COMPUTED_VALUE"""),"Closing Methodology")</f>
        <v>Closing Methodology</v>
      </c>
      <c r="E5" s="26" t="str">
        <f>IFERROR(__xludf.DUMMYFUNCTION("""COMPUTED_VALUE"""),"Closing Field")</f>
        <v>Closing Field</v>
      </c>
      <c r="F5" s="27" t="str">
        <f>IFERROR(__xludf.DUMMYFUNCTION("""COMPUTED_VALUE"""),"AutoCloseStrategy")</f>
        <v>AutoCloseStrategy</v>
      </c>
      <c r="G5" s="26" t="str">
        <f>IFERROR(__xludf.DUMMYFUNCTION("""COMPUTED_VALUE"""),"ClosingQuantity")</f>
        <v>ClosingQuantity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9" t="s">
        <v>23</v>
      </c>
      <c r="D6" s="9" t="s">
        <v>36</v>
      </c>
      <c r="E6" s="9" t="s">
        <v>25</v>
      </c>
      <c r="F6" s="9" t="b">
        <v>1</v>
      </c>
      <c r="G6" s="9">
        <v>100.0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22</v>
      </c>
      <c r="D3" s="8" t="s">
        <v>8</v>
      </c>
      <c r="E3" s="21" t="s">
        <v>26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IFERROR(__xludf.DUMMYFUNCTION("""COMPUTED_VALUE"""),"Closing Date")</f>
        <v>Closing Date</v>
      </c>
      <c r="E5" s="26" t="str">
        <f>IFERROR(__xludf.DUMMYFUNCTION("""COMPUTED_VALUE"""),"Closing Method")</f>
        <v>Closing Method</v>
      </c>
      <c r="F5" s="27" t="str">
        <f>IFERROR(__xludf.DUMMYFUNCTION("""COMPUTED_VALUE"""),"Closing Mode")</f>
        <v>Closing Mode</v>
      </c>
      <c r="G5" s="26" t="str">
        <f>IFERROR(__xludf.DUMMYFUNCTION("""COMPUTED_VALUE"""),"Closing Position Type")</f>
        <v>Closing Position Type</v>
      </c>
      <c r="H5" s="26" t="str">
        <f>IFERROR(__xludf.DUMMYFUNCTION("""COMPUTED_VALUE"""),"Closing Price")</f>
        <v>Closing Price</v>
      </c>
      <c r="I5" s="26" t="str">
        <f>IFERROR(__xludf.DUMMYFUNCTION("""COMPUTED_VALUE"""),"Closing Side")</f>
        <v>Closing Side</v>
      </c>
      <c r="J5" s="26" t="str">
        <f>IFERROR(__xludf.DUMMYFUNCTION("""COMPUTED_VALUE"""),"ClosingID")</f>
        <v>ClosingID</v>
      </c>
      <c r="K5" s="26" t="str">
        <f>IFERROR(__xludf.DUMMYFUNCTION("""COMPUTED_VALUE"""),"ClosingTotalCommissionFee")</f>
        <v>ClosingTotalCommissionFee</v>
      </c>
      <c r="L5" s="26" t="str">
        <f>IFERROR(__xludf.DUMMYFUNCTION("""COMPUTED_VALUE"""),"Currency")</f>
        <v>Currency</v>
      </c>
      <c r="M5" s="26" t="str">
        <f>IFERROR(__xludf.DUMMYFUNCTION("""COMPUTED_VALUE"""),"Exchange")</f>
        <v>Exchange</v>
      </c>
      <c r="N5" s="26" t="str">
        <f>IFERROR(__xludf.DUMMYFUNCTION("""COMPUTED_VALUE"""),"Opening Fee &amp; Commission")</f>
        <v>Opening Fee &amp; Commission</v>
      </c>
      <c r="O5" s="26" t="str">
        <f>IFERROR(__xludf.DUMMYFUNCTION("""COMPUTED_VALUE"""),"Opening Price")</f>
        <v>Opening Price</v>
      </c>
      <c r="P5" s="26" t="str">
        <f>IFERROR(__xludf.DUMMYFUNCTION("""COMPUTED_VALUE"""),"Opening Side")</f>
        <v>Opening Side</v>
      </c>
      <c r="Q5" s="26" t="str">
        <f>IFERROR(__xludf.DUMMYFUNCTION("""COMPUTED_VALUE"""),"Original Purchase Date")</f>
        <v>Original Purchase Date</v>
      </c>
      <c r="R5" s="26" t="str">
        <f>IFERROR(__xludf.DUMMYFUNCTION("""COMPUTED_VALUE"""),"Position Type")</f>
        <v>Position Type</v>
      </c>
      <c r="S5" s="26" t="str">
        <f>IFERROR(__xludf.DUMMYFUNCTION("""COMPUTED_VALUE"""),"Qty Closed")</f>
        <v>Qty Closed</v>
      </c>
      <c r="T5" s="28" t="str">
        <f>IFERROR(__xludf.DUMMYFUNCTION("""COMPUTED_VALUE"""),"Realized PNL(C.B.)")</f>
        <v>Realized PNL(C.B.)</v>
      </c>
      <c r="U5" s="28" t="str">
        <f>IFERROR(__xludf.DUMMYFUNCTION("""COMPUTED_VALUE"""),"Side")</f>
        <v>Side</v>
      </c>
      <c r="V5" s="28" t="str">
        <f>IFERROR(__xludf.DUMMYFUNCTION("""COMPUTED_VALUE"""),"Strategy")</f>
        <v>Strategy</v>
      </c>
      <c r="W5" s="28" t="str">
        <f>IFERROR(__xludf.DUMMYFUNCTION("""COMPUTED_VALUE"""),"Symbol")</f>
        <v>Symbol</v>
      </c>
      <c r="X5" s="28" t="str">
        <f>IFERROR(__xludf.DUMMYFUNCTION("""COMPUTED_VALUE"""),"Taxlot ID")</f>
        <v>Taxlot ID</v>
      </c>
      <c r="Y5" s="28" t="str">
        <f>IFERROR(__xludf.DUMMYFUNCTION("""COMPUTED_VALUE"""),"Underlying")</f>
        <v>Underlying</v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6"/>
      <c r="D6" s="9"/>
      <c r="E6" s="9"/>
      <c r="F6" s="6"/>
      <c r="G6" s="6"/>
      <c r="H6" s="6"/>
      <c r="I6" s="6"/>
      <c r="J6" s="6"/>
      <c r="K6" s="6"/>
      <c r="L6" s="6"/>
      <c r="M6" s="6"/>
      <c r="N6" s="6"/>
      <c r="O6" s="9">
        <v>13.0</v>
      </c>
      <c r="P6" s="34"/>
      <c r="R6" s="34" t="s">
        <v>37</v>
      </c>
      <c r="S6" s="34">
        <v>200.0</v>
      </c>
      <c r="U6" s="34" t="s">
        <v>17</v>
      </c>
      <c r="W6" s="34" t="s">
        <v>16</v>
      </c>
    </row>
    <row r="7" ht="15.75" customHeight="1">
      <c r="A7" s="6"/>
      <c r="B7" s="9" t="s">
        <v>18</v>
      </c>
      <c r="C7" s="6"/>
      <c r="D7" s="6"/>
      <c r="E7" s="9"/>
      <c r="F7" s="6"/>
      <c r="G7" s="6"/>
      <c r="H7" s="6"/>
      <c r="I7" s="6"/>
      <c r="J7" s="6"/>
      <c r="K7" s="6"/>
      <c r="L7" s="6"/>
      <c r="M7" s="6"/>
      <c r="N7" s="6"/>
      <c r="O7" s="9">
        <v>14.0</v>
      </c>
      <c r="P7" s="34"/>
      <c r="R7" s="34" t="s">
        <v>37</v>
      </c>
      <c r="S7" s="34">
        <v>200.0</v>
      </c>
      <c r="U7" s="34" t="s">
        <v>17</v>
      </c>
      <c r="W7" s="34" t="s">
        <v>16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8</v>
      </c>
      <c r="E3" s="21" t="s">
        <v>30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6"/>
      <c r="D6" s="9"/>
      <c r="E6" s="37"/>
      <c r="F6" s="6"/>
      <c r="G6" s="6"/>
      <c r="H6" s="6"/>
      <c r="I6" s="6"/>
      <c r="J6" s="6"/>
      <c r="K6" s="9">
        <v>13.0</v>
      </c>
      <c r="L6" s="9">
        <v>13.0</v>
      </c>
      <c r="M6" s="6"/>
      <c r="N6" s="6"/>
      <c r="O6" s="6"/>
      <c r="S6" s="34" t="s">
        <v>32</v>
      </c>
      <c r="AE6" s="34">
        <v>200.0</v>
      </c>
      <c r="BJ6" s="34">
        <v>200.0</v>
      </c>
      <c r="BO6" s="34" t="s">
        <v>17</v>
      </c>
      <c r="BT6" s="34" t="s">
        <v>16</v>
      </c>
      <c r="CP6" s="34" t="s">
        <v>36</v>
      </c>
    </row>
    <row r="7" ht="15.75" customHeight="1">
      <c r="A7" s="6"/>
      <c r="B7" s="9" t="s">
        <v>18</v>
      </c>
      <c r="C7" s="6"/>
      <c r="D7" s="6"/>
      <c r="E7" s="6"/>
      <c r="F7" s="6"/>
      <c r="G7" s="6"/>
      <c r="H7" s="6"/>
      <c r="I7" s="6"/>
      <c r="J7" s="6"/>
      <c r="K7" s="9">
        <v>14.0</v>
      </c>
      <c r="L7" s="9">
        <v>14.0</v>
      </c>
      <c r="M7" s="6"/>
      <c r="N7" s="6"/>
      <c r="O7" s="6"/>
      <c r="S7" s="34" t="s">
        <v>31</v>
      </c>
      <c r="AE7" s="34">
        <v>300.0</v>
      </c>
      <c r="BJ7" s="34">
        <v>300.0</v>
      </c>
      <c r="BO7" s="34" t="s">
        <v>17</v>
      </c>
      <c r="BT7" s="34" t="s">
        <v>16</v>
      </c>
      <c r="CP7" s="34" t="s">
        <v>36</v>
      </c>
    </row>
    <row r="8" ht="15.75" customHeight="1">
      <c r="A8" s="6"/>
      <c r="B8" s="9" t="s">
        <v>18</v>
      </c>
      <c r="C8" s="6"/>
      <c r="D8" s="6"/>
      <c r="E8" s="6"/>
      <c r="F8" s="6"/>
      <c r="G8" s="6"/>
      <c r="H8" s="6"/>
      <c r="I8" s="6"/>
      <c r="J8" s="6"/>
      <c r="K8" s="9">
        <v>15.0</v>
      </c>
      <c r="L8" s="9">
        <v>15.0</v>
      </c>
      <c r="M8" s="6"/>
      <c r="N8" s="6"/>
      <c r="O8" s="6"/>
      <c r="S8" s="34" t="s">
        <v>32</v>
      </c>
      <c r="AE8" s="34">
        <v>400.0</v>
      </c>
      <c r="BJ8" s="34">
        <v>400.0</v>
      </c>
      <c r="BO8" s="34" t="s">
        <v>19</v>
      </c>
      <c r="BT8" s="34" t="s">
        <v>16</v>
      </c>
      <c r="CP8" s="34" t="s">
        <v>36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8</v>
      </c>
      <c r="E3" s="21" t="s">
        <v>38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 Base)")</f>
        <v>Avg Price( 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16</v>
      </c>
      <c r="C6" s="9">
        <v>200.0</v>
      </c>
      <c r="D6" s="9"/>
      <c r="E6" s="9" t="s">
        <v>18</v>
      </c>
      <c r="F6" s="9" t="s">
        <v>17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">
        <v>16</v>
      </c>
      <c r="C7" s="9">
        <v>300.0</v>
      </c>
      <c r="D7" s="6"/>
      <c r="E7" s="9" t="s">
        <v>18</v>
      </c>
      <c r="F7" s="9" t="s">
        <v>17</v>
      </c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9" t="s">
        <v>16</v>
      </c>
      <c r="C8" s="9">
        <v>400.0</v>
      </c>
      <c r="D8" s="6"/>
      <c r="E8" s="9" t="s">
        <v>18</v>
      </c>
      <c r="F8" s="9" t="s">
        <v>19</v>
      </c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22</v>
      </c>
      <c r="D3" s="8" t="s">
        <v>8</v>
      </c>
      <c r="E3" s="21" t="s">
        <v>33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IFERROR(__xludf.DUMMYFUNCTION("""COMPUTED_VALUE"""),"Closing Date")</f>
        <v>Closing Date</v>
      </c>
      <c r="E5" s="26" t="str">
        <f>IFERROR(__xludf.DUMMYFUNCTION("""COMPUTED_VALUE"""),"Closing Method")</f>
        <v>Closing Method</v>
      </c>
      <c r="F5" s="27" t="str">
        <f>IFERROR(__xludf.DUMMYFUNCTION("""COMPUTED_VALUE"""),"Closing Mode")</f>
        <v>Closing Mode</v>
      </c>
      <c r="G5" s="26" t="str">
        <f>IFERROR(__xludf.DUMMYFUNCTION("""COMPUTED_VALUE"""),"Closing Position Type")</f>
        <v>Closing Position Type</v>
      </c>
      <c r="H5" s="26" t="str">
        <f>IFERROR(__xludf.DUMMYFUNCTION("""COMPUTED_VALUE"""),"Closing Price")</f>
        <v>Closing Price</v>
      </c>
      <c r="I5" s="26" t="str">
        <f>IFERROR(__xludf.DUMMYFUNCTION("""COMPUTED_VALUE"""),"Closing Side")</f>
        <v>Closing Side</v>
      </c>
      <c r="J5" s="26" t="str">
        <f>IFERROR(__xludf.DUMMYFUNCTION("""COMPUTED_VALUE"""),"ClosingID")</f>
        <v>ClosingID</v>
      </c>
      <c r="K5" s="26" t="str">
        <f>IFERROR(__xludf.DUMMYFUNCTION("""COMPUTED_VALUE"""),"ClosingTotalCommissionFee")</f>
        <v>ClosingTotalCommissionFee</v>
      </c>
      <c r="L5" s="26" t="str">
        <f>IFERROR(__xludf.DUMMYFUNCTION("""COMPUTED_VALUE"""),"Currency")</f>
        <v>Currency</v>
      </c>
      <c r="M5" s="26" t="str">
        <f>IFERROR(__xludf.DUMMYFUNCTION("""COMPUTED_VALUE"""),"Exchange")</f>
        <v>Exchange</v>
      </c>
      <c r="N5" s="26" t="str">
        <f>IFERROR(__xludf.DUMMYFUNCTION("""COMPUTED_VALUE"""),"Opening Fee &amp; Commission")</f>
        <v>Opening Fee &amp; Commission</v>
      </c>
      <c r="O5" s="26" t="str">
        <f>IFERROR(__xludf.DUMMYFUNCTION("""COMPUTED_VALUE"""),"Opening Price")</f>
        <v>Opening Price</v>
      </c>
      <c r="P5" s="26" t="str">
        <f>IFERROR(__xludf.DUMMYFUNCTION("""COMPUTED_VALUE"""),"Opening Side")</f>
        <v>Opening Side</v>
      </c>
      <c r="Q5" s="26" t="str">
        <f>IFERROR(__xludf.DUMMYFUNCTION("""COMPUTED_VALUE"""),"Original Purchase Date")</f>
        <v>Original Purchase Date</v>
      </c>
      <c r="R5" s="26" t="str">
        <f>IFERROR(__xludf.DUMMYFUNCTION("""COMPUTED_VALUE"""),"Position Type")</f>
        <v>Position Type</v>
      </c>
      <c r="S5" s="26" t="str">
        <f>IFERROR(__xludf.DUMMYFUNCTION("""COMPUTED_VALUE"""),"Qty Closed")</f>
        <v>Qty Closed</v>
      </c>
      <c r="T5" s="28" t="str">
        <f>IFERROR(__xludf.DUMMYFUNCTION("""COMPUTED_VALUE"""),"Realized PNL(C.B.)")</f>
        <v>Realized PNL(C.B.)</v>
      </c>
      <c r="U5" s="28" t="str">
        <f>IFERROR(__xludf.DUMMYFUNCTION("""COMPUTED_VALUE"""),"Side")</f>
        <v>Side</v>
      </c>
      <c r="V5" s="28" t="str">
        <f>IFERROR(__xludf.DUMMYFUNCTION("""COMPUTED_VALUE"""),"Strategy")</f>
        <v>Strategy</v>
      </c>
      <c r="W5" s="28" t="str">
        <f>IFERROR(__xludf.DUMMYFUNCTION("""COMPUTED_VALUE"""),"Symbol")</f>
        <v>Symbol</v>
      </c>
      <c r="X5" s="28" t="str">
        <f>IFERROR(__xludf.DUMMYFUNCTION("""COMPUTED_VALUE"""),"Taxlot ID")</f>
        <v>Taxlot ID</v>
      </c>
      <c r="Y5" s="28" t="str">
        <f>IFERROR(__xludf.DUMMYFUNCTION("""COMPUTED_VALUE"""),"Underlying")</f>
        <v>Underlying</v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9" t="s">
        <v>27</v>
      </c>
      <c r="D6" s="9"/>
      <c r="E6" s="9"/>
      <c r="F6" s="6"/>
      <c r="G6" s="9"/>
      <c r="H6" s="6"/>
      <c r="I6" s="9"/>
      <c r="J6" s="6"/>
      <c r="K6" s="6"/>
      <c r="L6" s="6"/>
      <c r="M6" s="6"/>
      <c r="N6" s="6"/>
      <c r="O6" s="9">
        <v>13.0</v>
      </c>
      <c r="P6" s="34"/>
      <c r="S6" s="34">
        <v>200.0</v>
      </c>
      <c r="U6" s="34" t="s">
        <v>17</v>
      </c>
      <c r="V6" s="34" t="s">
        <v>23</v>
      </c>
      <c r="W6" s="34" t="s">
        <v>16</v>
      </c>
    </row>
    <row r="7" ht="15.75" customHeight="1">
      <c r="A7" s="6"/>
      <c r="B7" s="9" t="s">
        <v>18</v>
      </c>
      <c r="C7" s="9" t="s">
        <v>27</v>
      </c>
      <c r="D7" s="6"/>
      <c r="E7" s="6"/>
      <c r="F7" s="6"/>
      <c r="G7" s="6"/>
      <c r="H7" s="6"/>
      <c r="I7" s="9"/>
      <c r="J7" s="6"/>
      <c r="K7" s="6"/>
      <c r="L7" s="6"/>
      <c r="M7" s="6"/>
      <c r="N7" s="6"/>
      <c r="O7" s="9">
        <v>14.0</v>
      </c>
      <c r="S7" s="34">
        <v>200.0</v>
      </c>
      <c r="U7" s="34" t="s">
        <v>17</v>
      </c>
      <c r="V7" s="34" t="s">
        <v>23</v>
      </c>
      <c r="W7" s="34" t="s">
        <v>16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UnWindCloseOrder1!$4:$4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8</v>
      </c>
      <c r="E3" s="21" t="s">
        <v>21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 Base)")</f>
        <v>Avg Price( 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16</v>
      </c>
      <c r="C6" s="9">
        <v>200.0</v>
      </c>
      <c r="D6" s="33"/>
      <c r="E6" s="9" t="s">
        <v>18</v>
      </c>
      <c r="F6" s="9" t="s">
        <v>17</v>
      </c>
      <c r="G6" s="6"/>
      <c r="H6" s="6"/>
      <c r="I6" s="6"/>
      <c r="J6" s="6"/>
      <c r="K6" s="9"/>
      <c r="L6" s="6"/>
      <c r="M6" s="6"/>
      <c r="N6" s="6"/>
      <c r="O6" s="6"/>
    </row>
    <row r="7" ht="15.75" customHeight="1">
      <c r="A7" s="6"/>
      <c r="B7" s="3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CloseOrder2!$4:$4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