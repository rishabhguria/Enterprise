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DoneAwayOrder" sheetId="4" r:id="rId6"/>
    <sheet name="PricingInput" sheetId="5" r:id="rId7"/>
    <sheet name="GetDailyCash" sheetId="6" r:id="rId8"/>
    <sheet name="UpdateMultipleDailyCash" sheetId="7" r:id="rId9"/>
    <sheet name="FetchAccountPositions" sheetId="8" r:id="rId10"/>
    <sheet name="RebalancePreference" sheetId="9" r:id="rId11"/>
    <sheet name="AddCash" sheetId="10" r:id="rId12"/>
    <sheet name="LockandUnlockGridData" sheetId="11" r:id="rId13"/>
    <sheet name="RunRebalance" sheetId="12" r:id="rId14"/>
    <sheet name="VerifyGridData" sheetId="13" r:id="rId15"/>
  </sheets>
  <calcPr fullCalcOnLoad="1"/>
</workbook>
</file>

<file path=xl/sharedStrings.xml><?xml version="1.0" encoding="utf-8"?>
<sst xmlns="http://schemas.openxmlformats.org/spreadsheetml/2006/main" count="36" uniqueCount="36">
  <si>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</si>
  <si>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</si>
  <si>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</si>
  <si>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</si>
  <si>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</si>
  <si>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</si>
  <si>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</si>
  <si>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</si>
  <si>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</si>
  <si>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</si>
  <si>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</si>
  <si>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</si>
  <si>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</si>
  <si>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</si>
  <si>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</si>
  <si>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</si>
  <si>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</t>
  </si>
  <si>
    <t>Buy</t>
  </si>
  <si>
    <t>PricingInput</t>
  </si>
  <si>
    <t>DailyValuation</t>
  </si>
  <si>
    <t>GetDailyCash</t>
  </si>
  <si>
    <t>UpdateMultipleDailyCash</t>
  </si>
  <si>
    <t>Allocation1</t>
  </si>
  <si>
    <t>USD</t>
  </si>
  <si>
    <t>Rebalancer</t>
  </si>
  <si>
    <t>FetchAccountPositions</t>
  </si>
  <si>
    <t>RebalancePreference</t>
  </si>
  <si>
    <t>AddCash</t>
  </si>
  <si>
    <t>LockandUnlockGridData</t>
  </si>
  <si>
    <t>Long</t>
  </si>
  <si>
    <t>RunRebalance</t>
  </si>
  <si>
    <t>Nearest Round Off</t>
  </si>
  <si>
    <t>VerifyGridData</t>
  </si>
  <si>
    <t>Equity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</si>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</sst>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"/>
      <color rgb="FF1155CC"/>
      <name val="&quot;Google Sans Mono&quot;"/>
    </font>
    <font>
      <sz val="11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38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5" applyFont="1" fillId="0" applyFill="1" borderId="0" applyBorder="1" xfId="0"/>
    <xf numFmtId="14" applyNumberFormat="1" fontId="5" applyFont="1" fillId="0" applyFill="1" borderId="0" applyBorder="1" xfId="0"/>
    <xf numFmtId="14" applyNumberFormat="1" fontId="14" applyFont="1" fillId="6" applyFill="1" borderId="0" applyBorder="1" xfId="0">
      <alignment horizontal="left"/>
    </xf>
    <xf fontId="15" applyFont="1" fillId="0" applyFill="1" borderId="0" applyBorder="1" xfId="0"/>
    <xf fontId="15" applyFont="1" fillId="0" applyFill="1" borderId="0" applyBorder="1" xfId="0">
      <alignment horizontal="right"/>
    </xf>
    <xf numFmtId="3" applyNumberFormat="1" fontId="15" applyFont="1" fillId="0" applyFill="1" borderId="0" applyBorder="1" xfId="0">
      <alignment horizontal="right"/>
    </xf>
    <xf fontId="1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6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52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IFERROR(__xludf.DUMMYFUNCTION("""COMPUTED_VALUE"""),"1pm8fmqh314rXSGDiLAdwO0bk-M2SwTJobffwoZFZfZw")</f>
        <v>1pm8fmqh314rXSGDiLAdwO0bk-M2SwTJobffwoZFZfZw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IFERROR(__xludf.DUMMYFUNCTION("""COMPUTED_VALUE"""),"1bZD_br9hnE6AoS35Ty0SStxuCVDXYGgzotj5gsTsrUg")</f>
        <v>1bZD_br9hnE6AoS35Ty0SStxuCVDXYGgzotj5gsTsrUg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IFERROR(__xludf.DUMMYFUNCTION("""COMPUTED_VALUE"""),"1TeGYQgGxypH87IAS1MA8NIqqh4_U0q0H_IsXTnmORFw")</f>
        <v>1TeGYQgGxypH87IAS1MA8NIqqh4_U0q0H_IsXTnmORFw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IFERROR(__xludf.DUMMYFUNCTION("""COMPUTED_VALUE"""),"SetMarketDataProvider")</f>
        <v>SetMarketDataProvider</v>
      </c>
      <c r="C650" s="0" t="str">
        <f>IFERROR(__xludf.DUMMYFUNCTION("""COMPUTED_VALUE"""),"11vW7fknzM8vTBH8SeRsGGkS29p8E1Xfx9205Qtc5hC4")</f>
        <v>11vW7fknzM8vTBH8SeRsGGkS29p8E1Xfx9205Qtc5hC4</v>
      </c>
    </row>
    <row r="651" ht="15.75" customHeight="1">
      <c r="A651" s="0" t="str">
        <f>IFERROR(__xludf.DUMMYFUNCTION("""COMPUTED_VALUE"""),"Admin")</f>
        <v>Admin</v>
      </c>
      <c r="B651" s="0" t="str">
        <f>IFERROR(__xludf.DUMMYFUNCTION("""COMPUTED_VALUE"""),"SetAllocationPreferences")</f>
        <v>SetAllocationPreferences</v>
      </c>
      <c r="C651" s="0" t="str">
        <f>IFERROR(__xludf.DUMMYFUNCTION("""COMPUTED_VALUE"""),"16PO4KGgITIDM3iQzFlyKHfXPBXba023pXOJQCBN_Elc")</f>
        <v>16PO4KGgITIDM3iQzFlyKHfXPBXba023pXOJQCBN_Elc</v>
      </c>
    </row>
    <row r="652" ht="15.75" customHeight="1">
      <c r="A652" s="0" t="str">
        <f>IFERROR(__xludf.DUMMYFUNCTION("""COMPUTED_VALUE"""),"TradingTicket")</f>
        <v>TradingTicket</v>
      </c>
      <c r="B652" s="0" t="str">
        <f>IFERROR(__xludf.DUMMYFUNCTION("""COMPUTED_VALUE"""),"CustomOrderTT")</f>
        <v>CustomOrderTT</v>
      </c>
      <c r="C652" s="0" t="str">
        <f>IFERROR(__xludf.DUMMYFUNCTION("""COMPUTED_VALUE"""),"1v9UMAQA-yD9UreUAgBLbyi4tqqYMESm4YnqZhD5jKvk")</f>
        <v>1v9UMAQA-yD9UreUAgBLbyi4tqqYMESm4YnqZhD5jKvk</v>
      </c>
    </row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</v>
      </c>
      <c r="E6" s="31"/>
      <c r="F6" s="8"/>
      <c r="G6" s="8"/>
      <c r="H6" s="8"/>
      <c r="I6" s="8"/>
      <c r="J6" s="13">
        <v>10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45148</v>
      </c>
      <c r="C6" s="33">
        <f>TODAY()</f>
        <v>45149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>
        <v>10000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 t="str">
        <f>IFERROR(__xludf.DUMMYFUNCTION("""COMPUTED_VALUE"""),"Rounding Type")</f>
        <v>Rounding Type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1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50000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22</v>
      </c>
      <c r="D6" s="13" t="s">
        <v>16</v>
      </c>
      <c r="E6" s="31"/>
      <c r="F6" s="13" t="s">
        <v>29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LockandUnlockGridData!$4:$4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4" t="s">
        <v>22</v>
      </c>
      <c r="D6" s="34" t="s">
        <v>16</v>
      </c>
      <c r="E6" s="34" t="s">
        <v>33</v>
      </c>
      <c r="F6" s="34" t="s">
        <v>29</v>
      </c>
      <c r="G6" s="8"/>
      <c r="H6" s="8"/>
      <c r="I6" s="8"/>
      <c r="J6" s="8"/>
      <c r="K6" s="35">
        <v>10</v>
      </c>
      <c r="L6" s="8"/>
      <c r="M6" s="8"/>
      <c r="N6" s="8"/>
      <c r="O6" s="8"/>
      <c r="R6" s="35">
        <v>0</v>
      </c>
      <c r="S6" s="35">
        <v>0</v>
      </c>
    </row>
    <row r="7" ht="15.75" customHeight="1">
      <c r="A7" s="8"/>
      <c r="B7" s="8"/>
      <c r="C7" s="34" t="s">
        <v>22</v>
      </c>
      <c r="D7" s="34" t="s">
        <v>34</v>
      </c>
      <c r="E7" s="34" t="s">
        <v>34</v>
      </c>
      <c r="F7" s="34" t="s">
        <v>29</v>
      </c>
      <c r="G7" s="8"/>
      <c r="H7" s="8"/>
      <c r="I7" s="8"/>
      <c r="J7" s="8"/>
      <c r="K7" s="35">
        <v>0</v>
      </c>
      <c r="L7" s="8"/>
      <c r="M7" s="8"/>
      <c r="N7" s="8"/>
      <c r="O7" s="8"/>
      <c r="R7" s="35">
        <v>0</v>
      </c>
      <c r="S7" s="35">
        <v>0</v>
      </c>
    </row>
    <row r="8" ht="15.75" customHeight="1">
      <c r="A8" s="8"/>
      <c r="B8" s="8"/>
      <c r="C8" s="34" t="s">
        <v>22</v>
      </c>
      <c r="D8" s="34" t="s">
        <v>35</v>
      </c>
      <c r="E8" s="34" t="s">
        <v>35</v>
      </c>
      <c r="F8" s="34" t="s">
        <v>29</v>
      </c>
      <c r="G8" s="8"/>
      <c r="H8" s="8"/>
      <c r="I8" s="8"/>
      <c r="J8" s="8"/>
      <c r="K8" s="35">
        <v>9900</v>
      </c>
      <c r="L8" s="8"/>
      <c r="M8" s="8"/>
      <c r="N8" s="8"/>
      <c r="O8" s="8"/>
      <c r="R8" s="35"/>
      <c r="S8" s="36"/>
    </row>
    <row r="9" ht="15.75" customHeight="1">
      <c r="A9" s="8"/>
      <c r="B9" s="8"/>
      <c r="C9" s="37"/>
      <c r="D9" s="37"/>
      <c r="E9" s="37"/>
      <c r="F9" s="37"/>
      <c r="G9" s="8"/>
      <c r="H9" s="8"/>
      <c r="I9" s="8"/>
      <c r="J9" s="8"/>
      <c r="K9" s="37"/>
      <c r="L9" s="8"/>
      <c r="M9" s="8"/>
      <c r="N9" s="8"/>
      <c r="O9" s="8"/>
    </row>
    <row r="10" ht="15.75" customHeight="1">
      <c r="A10" s="8"/>
      <c r="B10" s="8"/>
      <c r="C10" s="37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