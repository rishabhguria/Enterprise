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7" activeTab="10"/>
  </bookViews>
  <sheets>
    <sheet name="_Modules" sheetId="1" r:id="rId1"/>
    <sheet name="_Settings" sheetId="2" r:id="rId2"/>
    <sheet name="_MasterData" sheetId="3" r:id="rId3"/>
    <sheet name="CreateDoneAwayOrder" sheetId="4" r:id="rId4"/>
    <sheet name="IncreasePositionFromPM" sheetId="5" r:id="rId5"/>
    <sheet name="CreateDoneAwayOrder1" sheetId="6" r:id="rId6"/>
    <sheet name="IncreasePositionFromPM1" sheetId="7" r:id="rId7"/>
    <sheet name="CreateDoneAwayOrder2" sheetId="8" r:id="rId8"/>
    <sheet name="VerifyOrder" sheetId="9" r:id="rId9"/>
    <sheet name="CheckAllocatedGroups" sheetId="10" r:id="rId10"/>
    <sheet name="CheckPortfolioManagement" sheetId="11" r:id="rId11"/>
  </sheets>
  <calcPr calcId="145621"/>
</workbook>
</file>

<file path=xl/calcChain.xml><?xml version="1.0" encoding="utf-8"?>
<calcChain xmlns="http://schemas.openxmlformats.org/spreadsheetml/2006/main">
  <c r="J2" i="11" l="1"/>
  <c r="J2" i="10"/>
  <c r="J2" i="9"/>
  <c r="J2" i="8"/>
  <c r="J2" i="7"/>
  <c r="J2" i="6"/>
  <c r="J2" i="5"/>
  <c r="N7" i="4"/>
  <c r="N6" i="4"/>
  <c r="J2" i="4"/>
  <c r="BK5" i="11"/>
  <c r="FB5" i="11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Y4" i="11"/>
  <c r="Q4" i="11"/>
  <c r="I4" i="11"/>
  <c r="CL5" i="10"/>
  <c r="CD5" i="10"/>
  <c r="BV5" i="10"/>
  <c r="BN5" i="10"/>
  <c r="BF5" i="10"/>
  <c r="AX5" i="10"/>
  <c r="AP5" i="10"/>
  <c r="AH5" i="10"/>
  <c r="Z5" i="10"/>
  <c r="R5" i="10"/>
  <c r="J5" i="10"/>
  <c r="FA5" i="11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X4" i="11"/>
  <c r="P4" i="11"/>
  <c r="H4" i="11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AU5" i="9"/>
  <c r="AM5" i="9"/>
  <c r="AE5" i="9"/>
  <c r="W5" i="9"/>
  <c r="O5" i="9"/>
  <c r="G5" i="9"/>
  <c r="BC4" i="9"/>
  <c r="AU4" i="9"/>
  <c r="AM4" i="9"/>
  <c r="AE4" i="9"/>
  <c r="W4" i="9"/>
  <c r="O4" i="9"/>
  <c r="G4" i="9"/>
  <c r="AP5" i="8"/>
  <c r="AH5" i="8"/>
  <c r="Z5" i="8"/>
  <c r="R5" i="8"/>
  <c r="J5" i="8"/>
  <c r="B5" i="8"/>
  <c r="W4" i="8"/>
  <c r="O4" i="8"/>
  <c r="G4" i="8"/>
  <c r="B5" i="7"/>
  <c r="U4" i="7"/>
  <c r="M4" i="7"/>
  <c r="E4" i="7"/>
  <c r="AN5" i="6"/>
  <c r="AF5" i="6"/>
  <c r="X5" i="6"/>
  <c r="P5" i="6"/>
  <c r="H5" i="6"/>
  <c r="AC4" i="6"/>
  <c r="U4" i="6"/>
  <c r="M4" i="6"/>
  <c r="E4" i="6"/>
  <c r="AA4" i="5"/>
  <c r="S4" i="5"/>
  <c r="K4" i="5"/>
  <c r="C4" i="5"/>
  <c r="AN5" i="4"/>
  <c r="AF5" i="4"/>
  <c r="X5" i="4"/>
  <c r="P5" i="4"/>
  <c r="H5" i="4"/>
  <c r="AC4" i="4"/>
  <c r="U4" i="4"/>
  <c r="M4" i="4"/>
  <c r="E4" i="4"/>
  <c r="A514" i="1"/>
  <c r="B511" i="1"/>
  <c r="C508" i="1"/>
  <c r="A506" i="1"/>
  <c r="B503" i="1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EZ5" i="11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W4" i="11"/>
  <c r="O4" i="11"/>
  <c r="G4" i="11"/>
  <c r="CR5" i="10"/>
  <c r="CJ5" i="10"/>
  <c r="CB5" i="10"/>
  <c r="BT5" i="10"/>
  <c r="BL5" i="10"/>
  <c r="BD5" i="10"/>
  <c r="AV5" i="10"/>
  <c r="AN5" i="10"/>
  <c r="AF5" i="10"/>
  <c r="X5" i="10"/>
  <c r="P5" i="10"/>
  <c r="H5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Y5" i="11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V4" i="11"/>
  <c r="N4" i="11"/>
  <c r="F4" i="11"/>
  <c r="CQ5" i="10"/>
  <c r="CI5" i="10"/>
  <c r="CA5" i="10"/>
  <c r="BS5" i="10"/>
  <c r="BK5" i="10"/>
  <c r="BC5" i="10"/>
  <c r="AU5" i="10"/>
  <c r="AM5" i="10"/>
  <c r="AE5" i="10"/>
  <c r="W5" i="10"/>
  <c r="O5" i="10"/>
  <c r="G5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BA5" i="9"/>
  <c r="AS5" i="9"/>
  <c r="AK5" i="9"/>
  <c r="AC5" i="9"/>
  <c r="U5" i="9"/>
  <c r="M5" i="9"/>
  <c r="E5" i="9"/>
  <c r="BA4" i="9"/>
  <c r="AS4" i="9"/>
  <c r="AK4" i="9"/>
  <c r="AC4" i="9"/>
  <c r="U4" i="9"/>
  <c r="M4" i="9"/>
  <c r="E4" i="9"/>
  <c r="AN5" i="8"/>
  <c r="AF5" i="8"/>
  <c r="X5" i="8"/>
  <c r="P5" i="8"/>
  <c r="H5" i="8"/>
  <c r="AC4" i="8"/>
  <c r="U4" i="8"/>
  <c r="M4" i="8"/>
  <c r="E4" i="8"/>
  <c r="AA4" i="7"/>
  <c r="S4" i="7"/>
  <c r="K4" i="7"/>
  <c r="C4" i="7"/>
  <c r="AL5" i="6"/>
  <c r="AD5" i="6"/>
  <c r="V5" i="6"/>
  <c r="N5" i="6"/>
  <c r="F5" i="6"/>
  <c r="AA4" i="6"/>
  <c r="S4" i="6"/>
  <c r="K4" i="6"/>
  <c r="C4" i="6"/>
  <c r="Y4" i="5"/>
  <c r="Q4" i="5"/>
  <c r="I4" i="5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U4" i="11"/>
  <c r="M4" i="11"/>
  <c r="E4" i="11"/>
  <c r="CP5" i="10"/>
  <c r="CH5" i="10"/>
  <c r="BZ5" i="10"/>
  <c r="BR5" i="10"/>
  <c r="BJ5" i="10"/>
  <c r="BB5" i="10"/>
  <c r="AT5" i="10"/>
  <c r="AL5" i="10"/>
  <c r="AD5" i="10"/>
  <c r="V5" i="10"/>
  <c r="N5" i="10"/>
  <c r="F5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AZ5" i="9"/>
  <c r="AR5" i="9"/>
  <c r="AJ5" i="9"/>
  <c r="AB5" i="9"/>
  <c r="T5" i="9"/>
  <c r="L5" i="9"/>
  <c r="D5" i="9"/>
  <c r="AZ4" i="9"/>
  <c r="AR4" i="9"/>
  <c r="AJ4" i="9"/>
  <c r="AB4" i="9"/>
  <c r="T4" i="9"/>
  <c r="L4" i="9"/>
  <c r="D4" i="9"/>
  <c r="AM5" i="8"/>
  <c r="AE5" i="8"/>
  <c r="W5" i="8"/>
  <c r="O5" i="8"/>
  <c r="G5" i="8"/>
  <c r="AB4" i="8"/>
  <c r="T4" i="8"/>
  <c r="L4" i="8"/>
  <c r="D4" i="8"/>
  <c r="Z4" i="7"/>
  <c r="R4" i="7"/>
  <c r="J4" i="7"/>
  <c r="B4" i="7"/>
  <c r="AK5" i="6"/>
  <c r="AC5" i="6"/>
  <c r="U5" i="6"/>
  <c r="M5" i="6"/>
  <c r="E5" i="6"/>
  <c r="Z4" i="6"/>
  <c r="R4" i="6"/>
  <c r="J4" i="6"/>
  <c r="B4" i="6"/>
  <c r="X4" i="5"/>
  <c r="P4" i="5"/>
  <c r="H4" i="5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T4" i="11"/>
  <c r="L4" i="11"/>
  <c r="D4" i="11"/>
  <c r="CO5" i="10"/>
  <c r="CG5" i="10"/>
  <c r="BY5" i="10"/>
  <c r="BQ5" i="10"/>
  <c r="BI5" i="10"/>
  <c r="BA5" i="10"/>
  <c r="AS5" i="10"/>
  <c r="AK5" i="10"/>
  <c r="AC5" i="10"/>
  <c r="U5" i="10"/>
  <c r="M5" i="10"/>
  <c r="E5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AY5" i="9"/>
  <c r="AQ5" i="9"/>
  <c r="AI5" i="9"/>
  <c r="AA5" i="9"/>
  <c r="S5" i="9"/>
  <c r="K5" i="9"/>
  <c r="C5" i="9"/>
  <c r="AY4" i="9"/>
  <c r="AQ4" i="9"/>
  <c r="AI4" i="9"/>
  <c r="AA4" i="9"/>
  <c r="S4" i="9"/>
  <c r="K4" i="9"/>
  <c r="C4" i="9"/>
  <c r="AL5" i="8"/>
  <c r="AD5" i="8"/>
  <c r="V5" i="8"/>
  <c r="N5" i="8"/>
  <c r="F5" i="8"/>
  <c r="AA4" i="8"/>
  <c r="S4" i="8"/>
  <c r="K4" i="8"/>
  <c r="C4" i="8"/>
  <c r="Y4" i="7"/>
  <c r="Q4" i="7"/>
  <c r="I4" i="7"/>
  <c r="EV5" i="11"/>
  <c r="EU5" i="11"/>
  <c r="EN5" i="11"/>
  <c r="DH5" i="11"/>
  <c r="CB5" i="11"/>
  <c r="AV5" i="11"/>
  <c r="P5" i="11"/>
  <c r="K4" i="11"/>
  <c r="CE5" i="10"/>
  <c r="AY5" i="10"/>
  <c r="S5" i="10"/>
  <c r="DK4" i="10"/>
  <c r="CN4" i="10"/>
  <c r="BQ4" i="10"/>
  <c r="AY4" i="10"/>
  <c r="AB4" i="10"/>
  <c r="E4" i="10"/>
  <c r="AP5" i="9"/>
  <c r="Z5" i="9"/>
  <c r="J5" i="9"/>
  <c r="AX4" i="9"/>
  <c r="AH4" i="9"/>
  <c r="R4" i="9"/>
  <c r="B4" i="9"/>
  <c r="AC5" i="8"/>
  <c r="M5" i="8"/>
  <c r="Z4" i="8"/>
  <c r="J4" i="8"/>
  <c r="X4" i="7"/>
  <c r="H4" i="7"/>
  <c r="AM5" i="6"/>
  <c r="Z5" i="6"/>
  <c r="L5" i="6"/>
  <c r="A5" i="6"/>
  <c r="P4" i="6"/>
  <c r="D4" i="6"/>
  <c r="U4" i="5"/>
  <c r="G4" i="5"/>
  <c r="AQ5" i="4"/>
  <c r="AH5" i="4"/>
  <c r="Y5" i="4"/>
  <c r="O5" i="4"/>
  <c r="F5" i="4"/>
  <c r="Z4" i="4"/>
  <c r="Q4" i="4"/>
  <c r="H4" i="4"/>
  <c r="C514" i="1"/>
  <c r="C511" i="1"/>
  <c r="B508" i="1"/>
  <c r="B505" i="1"/>
  <c r="B502" i="1"/>
  <c r="B499" i="1"/>
  <c r="B496" i="1"/>
  <c r="B493" i="1"/>
  <c r="B490" i="1"/>
  <c r="A487" i="1"/>
  <c r="A484" i="1"/>
  <c r="A481" i="1"/>
  <c r="A478" i="1"/>
  <c r="A475" i="1"/>
  <c r="A472" i="1"/>
  <c r="A469" i="1"/>
  <c r="C465" i="1"/>
  <c r="C462" i="1"/>
  <c r="C459" i="1"/>
  <c r="C456" i="1"/>
  <c r="C453" i="1"/>
  <c r="C450" i="1"/>
  <c r="C447" i="1"/>
  <c r="B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EM5" i="11"/>
  <c r="DG5" i="11"/>
  <c r="CA5" i="11"/>
  <c r="AU5" i="11"/>
  <c r="O5" i="11"/>
  <c r="J4" i="11"/>
  <c r="BX5" i="10"/>
  <c r="AR5" i="10"/>
  <c r="L5" i="10"/>
  <c r="DE4" i="10"/>
  <c r="CM4" i="10"/>
  <c r="BP4" i="10"/>
  <c r="AS4" i="10"/>
  <c r="AA4" i="10"/>
  <c r="D4" i="10"/>
  <c r="AO5" i="9"/>
  <c r="Y5" i="9"/>
  <c r="I5" i="9"/>
  <c r="AW4" i="9"/>
  <c r="AG4" i="9"/>
  <c r="Q4" i="9"/>
  <c r="AB5" i="8"/>
  <c r="L5" i="8"/>
  <c r="Y4" i="8"/>
  <c r="I4" i="8"/>
  <c r="W4" i="7"/>
  <c r="G4" i="7"/>
  <c r="AJ5" i="6"/>
  <c r="Y5" i="6"/>
  <c r="K5" i="6"/>
  <c r="AB4" i="6"/>
  <c r="O4" i="6"/>
  <c r="T4" i="5"/>
  <c r="F4" i="5"/>
  <c r="AP5" i="4"/>
  <c r="AG5" i="4"/>
  <c r="W5" i="4"/>
  <c r="N5" i="4"/>
  <c r="E5" i="4"/>
  <c r="Y4" i="4"/>
  <c r="P4" i="4"/>
  <c r="G4" i="4"/>
  <c r="B514" i="1"/>
  <c r="A511" i="1"/>
  <c r="A508" i="1"/>
  <c r="A505" i="1"/>
  <c r="A502" i="1"/>
  <c r="A499" i="1"/>
  <c r="A496" i="1"/>
  <c r="A493" i="1"/>
  <c r="C489" i="1"/>
  <c r="C486" i="1"/>
  <c r="C483" i="1"/>
  <c r="C480" i="1"/>
  <c r="C477" i="1"/>
  <c r="C474" i="1"/>
  <c r="C471" i="1"/>
  <c r="B468" i="1"/>
  <c r="B465" i="1"/>
  <c r="B462" i="1"/>
  <c r="B459" i="1"/>
  <c r="B456" i="1"/>
  <c r="B453" i="1"/>
  <c r="B450" i="1"/>
  <c r="A447" i="1"/>
  <c r="A444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EF5" i="11"/>
  <c r="CZ5" i="11"/>
  <c r="BT5" i="11"/>
  <c r="AN5" i="11"/>
  <c r="H5" i="11"/>
  <c r="C4" i="11"/>
  <c r="BW5" i="10"/>
  <c r="AQ5" i="10"/>
  <c r="K5" i="10"/>
  <c r="DD4" i="10"/>
  <c r="CG4" i="10"/>
  <c r="BO4" i="10"/>
  <c r="AR4" i="10"/>
  <c r="U4" i="10"/>
  <c r="C4" i="10"/>
  <c r="AN5" i="9"/>
  <c r="X5" i="9"/>
  <c r="H5" i="9"/>
  <c r="AV4" i="9"/>
  <c r="AF4" i="9"/>
  <c r="P4" i="9"/>
  <c r="AQ5" i="8"/>
  <c r="AA5" i="8"/>
  <c r="K5" i="8"/>
  <c r="X4" i="8"/>
  <c r="H4" i="8"/>
  <c r="V4" i="7"/>
  <c r="F4" i="7"/>
  <c r="AI5" i="6"/>
  <c r="W5" i="6"/>
  <c r="J5" i="6"/>
  <c r="Y4" i="6"/>
  <c r="N4" i="6"/>
  <c r="C5" i="5"/>
  <c r="R4" i="5"/>
  <c r="E4" i="5"/>
  <c r="AO5" i="4"/>
  <c r="AE5" i="4"/>
  <c r="V5" i="4"/>
  <c r="M5" i="4"/>
  <c r="D5" i="4"/>
  <c r="X4" i="4"/>
  <c r="O4" i="4"/>
  <c r="F4" i="4"/>
  <c r="C513" i="1"/>
  <c r="C510" i="1"/>
  <c r="C507" i="1"/>
  <c r="C504" i="1"/>
  <c r="C501" i="1"/>
  <c r="C498" i="1"/>
  <c r="C495" i="1"/>
  <c r="B492" i="1"/>
  <c r="B489" i="1"/>
  <c r="B486" i="1"/>
  <c r="B483" i="1"/>
  <c r="B480" i="1"/>
  <c r="B477" i="1"/>
  <c r="B474" i="1"/>
  <c r="A471" i="1"/>
  <c r="A468" i="1"/>
  <c r="A465" i="1"/>
  <c r="A462" i="1"/>
  <c r="A459" i="1"/>
  <c r="A456" i="1"/>
  <c r="A453" i="1"/>
  <c r="C449" i="1"/>
  <c r="C446" i="1"/>
  <c r="C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EE5" i="11"/>
  <c r="CY5" i="11"/>
  <c r="BS5" i="11"/>
  <c r="AM5" i="11"/>
  <c r="G5" i="11"/>
  <c r="B4" i="11"/>
  <c r="BP5" i="10"/>
  <c r="AJ5" i="10"/>
  <c r="D5" i="10"/>
  <c r="DC4" i="10"/>
  <c r="CF4" i="10"/>
  <c r="BI4" i="10"/>
  <c r="AQ4" i="10"/>
  <c r="T4" i="10"/>
  <c r="AL5" i="9"/>
  <c r="V5" i="9"/>
  <c r="F5" i="9"/>
  <c r="AT4" i="9"/>
  <c r="AD4" i="9"/>
  <c r="N4" i="9"/>
  <c r="AO5" i="8"/>
  <c r="Y5" i="8"/>
  <c r="I5" i="8"/>
  <c r="V4" i="8"/>
  <c r="F4" i="8"/>
  <c r="T4" i="7"/>
  <c r="D4" i="7"/>
  <c r="AH5" i="6"/>
  <c r="T5" i="6"/>
  <c r="I5" i="6"/>
  <c r="X4" i="6"/>
  <c r="L4" i="6"/>
  <c r="B5" i="5"/>
  <c r="O4" i="5"/>
  <c r="D4" i="5"/>
  <c r="AM5" i="4"/>
  <c r="AD5" i="4"/>
  <c r="U5" i="4"/>
  <c r="L5" i="4"/>
  <c r="C5" i="4"/>
  <c r="W4" i="4"/>
  <c r="N4" i="4"/>
  <c r="D4" i="4"/>
  <c r="B513" i="1"/>
  <c r="B510" i="1"/>
  <c r="B507" i="1"/>
  <c r="B504" i="1"/>
  <c r="B501" i="1"/>
  <c r="B498" i="1"/>
  <c r="A495" i="1"/>
  <c r="A492" i="1"/>
  <c r="A489" i="1"/>
  <c r="A486" i="1"/>
  <c r="A483" i="1"/>
  <c r="A480" i="1"/>
  <c r="A477" i="1"/>
  <c r="C473" i="1"/>
  <c r="C470" i="1"/>
  <c r="C467" i="1"/>
  <c r="C464" i="1"/>
  <c r="C461" i="1"/>
  <c r="C458" i="1"/>
  <c r="C455" i="1"/>
  <c r="B452" i="1"/>
  <c r="B449" i="1"/>
  <c r="B446" i="1"/>
  <c r="B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DX5" i="11"/>
  <c r="CR5" i="11"/>
  <c r="BL5" i="11"/>
  <c r="AF5" i="11"/>
  <c r="AA4" i="11"/>
  <c r="BO5" i="10"/>
  <c r="AI5" i="10"/>
  <c r="C5" i="10"/>
  <c r="CW4" i="10"/>
  <c r="CE4" i="10"/>
  <c r="BH4" i="10"/>
  <c r="AK4" i="10"/>
  <c r="S4" i="10"/>
  <c r="AX5" i="9"/>
  <c r="AH5" i="9"/>
  <c r="R5" i="9"/>
  <c r="B5" i="9"/>
  <c r="AP4" i="9"/>
  <c r="Z4" i="9"/>
  <c r="J4" i="9"/>
  <c r="AK5" i="8"/>
  <c r="U5" i="8"/>
  <c r="E5" i="8"/>
  <c r="R4" i="8"/>
  <c r="B4" i="8"/>
  <c r="P4" i="7"/>
  <c r="AG5" i="6"/>
  <c r="S5" i="6"/>
  <c r="G5" i="6"/>
  <c r="W4" i="6"/>
  <c r="I4" i="6"/>
  <c r="A5" i="5"/>
  <c r="N4" i="5"/>
  <c r="B4" i="5"/>
  <c r="AL5" i="4"/>
  <c r="AC5" i="4"/>
  <c r="T5" i="4"/>
  <c r="K5" i="4"/>
  <c r="B5" i="4"/>
  <c r="V4" i="4"/>
  <c r="L4" i="4"/>
  <c r="C4" i="4"/>
  <c r="A513" i="1"/>
  <c r="A510" i="1"/>
  <c r="A507" i="1"/>
  <c r="A504" i="1"/>
  <c r="A501" i="1"/>
  <c r="C497" i="1"/>
  <c r="C494" i="1"/>
  <c r="C491" i="1"/>
  <c r="C488" i="1"/>
  <c r="C485" i="1"/>
  <c r="C482" i="1"/>
  <c r="C479" i="1"/>
  <c r="B476" i="1"/>
  <c r="B473" i="1"/>
  <c r="B470" i="1"/>
  <c r="B467" i="1"/>
  <c r="B464" i="1"/>
  <c r="B461" i="1"/>
  <c r="B458" i="1"/>
  <c r="A455" i="1"/>
  <c r="A452" i="1"/>
  <c r="A449" i="1"/>
  <c r="A446" i="1"/>
  <c r="A443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DW5" i="11"/>
  <c r="CQ5" i="11"/>
  <c r="AE5" i="11"/>
  <c r="Z4" i="11"/>
  <c r="CN5" i="10"/>
  <c r="BH5" i="10"/>
  <c r="AB5" i="10"/>
  <c r="B5" i="10"/>
  <c r="CV4" i="10"/>
  <c r="BY4" i="10"/>
  <c r="BG4" i="10"/>
  <c r="AJ4" i="10"/>
  <c r="M4" i="10"/>
  <c r="AW5" i="9"/>
  <c r="AG5" i="9"/>
  <c r="Q5" i="9"/>
  <c r="A5" i="9"/>
  <c r="AO4" i="9"/>
  <c r="Y4" i="9"/>
  <c r="I4" i="9"/>
  <c r="AJ5" i="8"/>
  <c r="T5" i="8"/>
  <c r="D5" i="8"/>
  <c r="Q4" i="8"/>
  <c r="O4" i="7"/>
  <c r="AQ5" i="6"/>
  <c r="AE5" i="6"/>
  <c r="R5" i="6"/>
  <c r="D5" i="6"/>
  <c r="V4" i="6"/>
  <c r="H4" i="6"/>
  <c r="Z4" i="5"/>
  <c r="M4" i="5"/>
  <c r="AK5" i="4"/>
  <c r="AB5" i="4"/>
  <c r="S5" i="4"/>
  <c r="J5" i="4"/>
  <c r="A5" i="4"/>
  <c r="T4" i="4"/>
  <c r="K4" i="4"/>
  <c r="B4" i="4"/>
  <c r="C512" i="1"/>
  <c r="C509" i="1"/>
  <c r="C506" i="1"/>
  <c r="C503" i="1"/>
  <c r="B500" i="1"/>
  <c r="B497" i="1"/>
  <c r="B494" i="1"/>
  <c r="B491" i="1"/>
  <c r="B488" i="1"/>
  <c r="B485" i="1"/>
  <c r="B482" i="1"/>
  <c r="A479" i="1"/>
  <c r="A476" i="1"/>
  <c r="A473" i="1"/>
  <c r="A470" i="1"/>
  <c r="A467" i="1"/>
  <c r="A464" i="1"/>
  <c r="A461" i="1"/>
  <c r="C457" i="1"/>
  <c r="C454" i="1"/>
  <c r="C451" i="1"/>
  <c r="C448" i="1"/>
  <c r="C445" i="1"/>
  <c r="C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DP5" i="11"/>
  <c r="CJ5" i="11"/>
  <c r="BD5" i="11"/>
  <c r="X5" i="11"/>
  <c r="S4" i="11"/>
  <c r="CM5" i="10"/>
  <c r="BG5" i="10"/>
  <c r="AA5" i="10"/>
  <c r="DM4" i="10"/>
  <c r="CU4" i="10"/>
  <c r="BX4" i="10"/>
  <c r="BA4" i="10"/>
  <c r="AI4" i="10"/>
  <c r="L4" i="10"/>
  <c r="AV5" i="9"/>
  <c r="AF5" i="9"/>
  <c r="P5" i="9"/>
  <c r="BD4" i="9"/>
  <c r="AN4" i="9"/>
  <c r="X4" i="9"/>
  <c r="H4" i="9"/>
  <c r="AI5" i="8"/>
  <c r="S5" i="8"/>
  <c r="C5" i="8"/>
  <c r="P4" i="8"/>
  <c r="C5" i="7"/>
  <c r="N4" i="7"/>
  <c r="AP5" i="6"/>
  <c r="AB5" i="6"/>
  <c r="Q5" i="6"/>
  <c r="C5" i="6"/>
  <c r="T4" i="6"/>
  <c r="G4" i="6"/>
  <c r="W4" i="5"/>
  <c r="L4" i="5"/>
  <c r="AJ5" i="4"/>
  <c r="AA5" i="4"/>
  <c r="R5" i="4"/>
  <c r="I5" i="4"/>
  <c r="AB4" i="4"/>
  <c r="S4" i="4"/>
  <c r="J4" i="4"/>
  <c r="B512" i="1"/>
  <c r="B509" i="1"/>
  <c r="B506" i="1"/>
  <c r="A503" i="1"/>
  <c r="A500" i="1"/>
  <c r="A497" i="1"/>
  <c r="A494" i="1"/>
  <c r="A491" i="1"/>
  <c r="A488" i="1"/>
  <c r="A485" i="1"/>
  <c r="C481" i="1"/>
  <c r="C478" i="1"/>
  <c r="C475" i="1"/>
  <c r="C472" i="1"/>
  <c r="C469" i="1"/>
  <c r="C466" i="1"/>
  <c r="C463" i="1"/>
  <c r="B460" i="1"/>
  <c r="B457" i="1"/>
  <c r="B454" i="1"/>
  <c r="B451" i="1"/>
  <c r="B448" i="1"/>
  <c r="B445" i="1"/>
  <c r="B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DO5" i="11"/>
  <c r="CI5" i="11"/>
  <c r="BC5" i="11"/>
  <c r="W5" i="11"/>
  <c r="R4" i="11"/>
  <c r="CF5" i="10"/>
  <c r="AZ5" i="10"/>
  <c r="T5" i="10"/>
  <c r="DL4" i="10"/>
  <c r="CO4" i="10"/>
  <c r="BW4" i="10"/>
  <c r="AZ4" i="10"/>
  <c r="AC4" i="10"/>
  <c r="K4" i="10"/>
  <c r="AT5" i="9"/>
  <c r="AD5" i="9"/>
  <c r="N5" i="9"/>
  <c r="BB4" i="9"/>
  <c r="AL4" i="9"/>
  <c r="V4" i="9"/>
  <c r="F4" i="9"/>
  <c r="AG5" i="8"/>
  <c r="Q5" i="8"/>
  <c r="A5" i="8"/>
  <c r="N4" i="8"/>
  <c r="A5" i="7"/>
  <c r="L4" i="7"/>
  <c r="AO5" i="6"/>
  <c r="AA5" i="6"/>
  <c r="O5" i="6"/>
  <c r="B5" i="6"/>
  <c r="Q4" i="6"/>
  <c r="F4" i="6"/>
  <c r="V4" i="5"/>
  <c r="J4" i="5"/>
  <c r="AI5" i="4"/>
  <c r="Z5" i="4"/>
  <c r="Q5" i="4"/>
  <c r="G5" i="4"/>
  <c r="AA4" i="4"/>
  <c r="R4" i="4"/>
  <c r="I4" i="4"/>
  <c r="A4" i="3"/>
  <c r="A512" i="1"/>
  <c r="A509" i="1"/>
  <c r="C505" i="1"/>
  <c r="C502" i="1"/>
  <c r="C499" i="1"/>
  <c r="C496" i="1"/>
  <c r="C493" i="1"/>
  <c r="C490" i="1"/>
  <c r="C487" i="1"/>
  <c r="B484" i="1"/>
  <c r="B481" i="1"/>
  <c r="B478" i="1"/>
  <c r="B475" i="1"/>
  <c r="B472" i="1"/>
  <c r="B469" i="1"/>
  <c r="B466" i="1"/>
  <c r="A463" i="1"/>
  <c r="A460" i="1"/>
  <c r="A457" i="1"/>
  <c r="A454" i="1"/>
  <c r="A451" i="1"/>
  <c r="A448" i="1"/>
  <c r="A445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4" i="1"/>
  <c r="C313" i="1"/>
  <c r="A307" i="1"/>
  <c r="A303" i="1"/>
  <c r="C299" i="1"/>
  <c r="C296" i="1"/>
  <c r="C293" i="1"/>
  <c r="C290" i="1"/>
  <c r="C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4" i="1"/>
  <c r="A322" i="1"/>
  <c r="A313" i="1"/>
  <c r="C306" i="1"/>
  <c r="B302" i="1"/>
  <c r="B299" i="1"/>
  <c r="B296" i="1"/>
  <c r="B293" i="1"/>
  <c r="B290" i="1"/>
  <c r="B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A4" i="1"/>
  <c r="C321" i="1"/>
  <c r="B311" i="1"/>
  <c r="A306" i="1"/>
  <c r="A302" i="1"/>
  <c r="A299" i="1"/>
  <c r="A296" i="1"/>
  <c r="A293" i="1"/>
  <c r="A290" i="1"/>
  <c r="A287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B319" i="1"/>
  <c r="A311" i="1"/>
  <c r="C305" i="1"/>
  <c r="C301" i="1"/>
  <c r="C298" i="1"/>
  <c r="C295" i="1"/>
  <c r="C292" i="1"/>
  <c r="C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319" i="1"/>
  <c r="B310" i="1"/>
  <c r="A305" i="1"/>
  <c r="B301" i="1"/>
  <c r="B298" i="1"/>
  <c r="B295" i="1"/>
  <c r="B292" i="1"/>
  <c r="A289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316" i="1"/>
  <c r="C308" i="1"/>
  <c r="B304" i="1"/>
  <c r="A301" i="1"/>
  <c r="A298" i="1"/>
  <c r="A295" i="1"/>
  <c r="C291" i="1"/>
  <c r="C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316" i="1"/>
  <c r="B308" i="1"/>
  <c r="A304" i="1"/>
  <c r="C300" i="1"/>
  <c r="C297" i="1"/>
  <c r="B294" i="1"/>
  <c r="B291" i="1"/>
  <c r="B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314" i="1"/>
  <c r="C307" i="1"/>
  <c r="B303" i="1"/>
  <c r="B300" i="1"/>
  <c r="A297" i="1"/>
  <c r="A294" i="1"/>
  <c r="A291" i="1"/>
  <c r="A288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</calcChain>
</file>

<file path=xl/sharedStrings.xml><?xml version="1.0" encoding="utf-8"?>
<sst xmlns="http://schemas.openxmlformats.org/spreadsheetml/2006/main" count="389" uniqueCount="64">
  <si>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</si>
  <si>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</si>
  <si>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</si>
  <si>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</si>
  <si>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</si>
  <si>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</si>
  <si>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</si>
  <si>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</si>
  <si>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</si>
  <si>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</si>
  <si>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</si>
  <si>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</si>
  <si>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</si>
  <si>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</si>
  <si>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</si>
  <si>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</si>
  <si>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</si>
  <si>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</si>
  <si>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</si>
  <si>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AAPL</t>
  </si>
  <si>
    <t>Sell short</t>
  </si>
  <si>
    <t>PortfolioManagement</t>
  </si>
  <si>
    <t>IncreasePositionFromPM</t>
  </si>
  <si>
    <t>Blotter</t>
  </si>
  <si>
    <t>VerifyOrder</t>
  </si>
  <si>
    <t>MSFT US EQUITY</t>
  </si>
  <si>
    <t>jpearce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</si>
  <si>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</si>
  <si>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</si>
  <si>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</si>
  <si>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</si>
  <si>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</si>
  <si>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</si>
  <si>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</si>
  <si>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</si>
  <si>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</si>
  <si>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Market</t>
  </si>
  <si>
    <t>AAPL US EQUITY</t>
  </si>
  <si>
    <t>Allocation</t>
  </si>
  <si>
    <t>CheckAllocatedGroups</t>
  </si>
  <si>
    <t>Open</t>
  </si>
  <si>
    <t>MICROSOFT INC</t>
  </si>
  <si>
    <t>NASDAQ</t>
  </si>
  <si>
    <t>APPLE</t>
  </si>
  <si>
    <t>SellShort</t>
  </si>
  <si>
    <t>CheckPortfolioManagement</t>
  </si>
  <si>
    <t>Long</t>
  </si>
  <si>
    <t>Undefined</t>
  </si>
  <si>
    <t>FIMAT</t>
  </si>
  <si>
    <t>Strategy Unallocated</t>
  </si>
  <si>
    <t>Equity General</t>
  </si>
  <si>
    <t>Information Technology</t>
  </si>
  <si>
    <t>Copper</t>
  </si>
  <si>
    <t>None</t>
  </si>
  <si>
    <t>Default</t>
  </si>
  <si>
    <t>UNITED STATES</t>
  </si>
  <si>
    <t>MSFT UDA1</t>
  </si>
  <si>
    <t>Yes</t>
  </si>
  <si>
    <t>Short</t>
  </si>
  <si>
    <t>New Hedge</t>
  </si>
  <si>
    <t>Small Cap</t>
  </si>
  <si>
    <t>test1</t>
  </si>
  <si>
    <t>india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</si>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</sst>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0" fontId="5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13" fillId="0" borderId="5" xfId="0" applyFont="1" applyBorder="1" applyAlignment="1"/>
    <xf numFmtId="0" fontId="13" fillId="0" borderId="5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3" fillId="0" borderId="5" xfId="0" applyFont="1" applyBorder="1" applyAlignment="1"/>
    <xf numFmtId="0" fontId="13" fillId="0" borderId="5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 applyAlignme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left"/>
    </xf>
    <xf numFmtId="0" fontId="14" fillId="0" borderId="5" xfId="0" applyFont="1" applyBorder="1" applyAlignme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5" xfId="0" applyFont="1" applyBorder="1" applyAlignment="1">
      <alignment horizontal="right"/>
    </xf>
    <xf numFmtId="3" fontId="14" fillId="0" borderId="0" xfId="0" applyNumberFormat="1" applyFont="1" applyAlignment="1">
      <alignment horizontal="right"/>
    </xf>
    <xf numFmtId="0" fontId="14" fillId="0" borderId="0" xfId="0" applyFont="1" applyAlignme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G24" sqref="G24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57" t="s">
        <v>0</v>
      </c>
      <c r="B1" s="58"/>
      <c r="C1" s="58"/>
      <c r="D1" s="58"/>
      <c r="E1" s="58"/>
      <c r="F1" s="59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 x14ac:dyDescent="0.2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 x14ac:dyDescent="0.2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 x14ac:dyDescent="0.2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 x14ac:dyDescent="0.2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 x14ac:dyDescent="0.2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 x14ac:dyDescent="0.2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 x14ac:dyDescent="0.2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 x14ac:dyDescent="0.2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 x14ac:dyDescent="0.2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 x14ac:dyDescent="0.2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 x14ac:dyDescent="0.2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 x14ac:dyDescent="0.2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 x14ac:dyDescent="0.2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 x14ac:dyDescent="0.2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 x14ac:dyDescent="0.2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 x14ac:dyDescent="0.2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 x14ac:dyDescent="0.2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 x14ac:dyDescent="0.2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 x14ac:dyDescent="0.2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 x14ac:dyDescent="0.2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 x14ac:dyDescent="0.2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 x14ac:dyDescent="0.2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 x14ac:dyDescent="0.2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 x14ac:dyDescent="0.2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 x14ac:dyDescent="0.2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 x14ac:dyDescent="0.2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 x14ac:dyDescent="0.2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 x14ac:dyDescent="0.2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 x14ac:dyDescent="0.2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 x14ac:dyDescent="0.2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 x14ac:dyDescent="0.2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 x14ac:dyDescent="0.2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 x14ac:dyDescent="0.2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 x14ac:dyDescent="0.2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 x14ac:dyDescent="0.2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 x14ac:dyDescent="0.2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 x14ac:dyDescent="0.2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 x14ac:dyDescent="0.2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 x14ac:dyDescent="0.2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 x14ac:dyDescent="0.2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 x14ac:dyDescent="0.2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 x14ac:dyDescent="0.2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 x14ac:dyDescent="0.2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 x14ac:dyDescent="0.2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 x14ac:dyDescent="0.2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 x14ac:dyDescent="0.2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 x14ac:dyDescent="0.2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 x14ac:dyDescent="0.2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 x14ac:dyDescent="0.2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 x14ac:dyDescent="0.2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 x14ac:dyDescent="0.2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 x14ac:dyDescent="0.2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 x14ac:dyDescent="0.2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 x14ac:dyDescent="0.2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 x14ac:dyDescent="0.2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 x14ac:dyDescent="0.2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 x14ac:dyDescent="0.2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 x14ac:dyDescent="0.2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 x14ac:dyDescent="0.2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 x14ac:dyDescent="0.2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 x14ac:dyDescent="0.2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 x14ac:dyDescent="0.2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 x14ac:dyDescent="0.2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 x14ac:dyDescent="0.2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 x14ac:dyDescent="0.2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 x14ac:dyDescent="0.2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 x14ac:dyDescent="0.2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 x14ac:dyDescent="0.2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 x14ac:dyDescent="0.2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 x14ac:dyDescent="0.2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 x14ac:dyDescent="0.2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 x14ac:dyDescent="0.2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 x14ac:dyDescent="0.2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 x14ac:dyDescent="0.2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 x14ac:dyDescent="0.2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 x14ac:dyDescent="0.2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 x14ac:dyDescent="0.2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 x14ac:dyDescent="0.2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 x14ac:dyDescent="0.2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 x14ac:dyDescent="0.2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 x14ac:dyDescent="0.2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 x14ac:dyDescent="0.2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 x14ac:dyDescent="0.2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 x14ac:dyDescent="0.2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 x14ac:dyDescent="0.2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 x14ac:dyDescent="0.2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 x14ac:dyDescent="0.2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 x14ac:dyDescent="0.2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 x14ac:dyDescent="0.2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 x14ac:dyDescent="0.2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 x14ac:dyDescent="0.2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 x14ac:dyDescent="0.2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 x14ac:dyDescent="0.2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 x14ac:dyDescent="0.2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 x14ac:dyDescent="0.2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 x14ac:dyDescent="0.2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 x14ac:dyDescent="0.2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 x14ac:dyDescent="0.2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 x14ac:dyDescent="0.2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 x14ac:dyDescent="0.2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 x14ac:dyDescent="0.2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 x14ac:dyDescent="0.2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 x14ac:dyDescent="0.2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 x14ac:dyDescent="0.2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 x14ac:dyDescent="0.2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 x14ac:dyDescent="0.2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 x14ac:dyDescent="0.2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 x14ac:dyDescent="0.2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 x14ac:dyDescent="0.2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 x14ac:dyDescent="0.2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 x14ac:dyDescent="0.2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 x14ac:dyDescent="0.2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 x14ac:dyDescent="0.2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 x14ac:dyDescent="0.2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 x14ac:dyDescent="0.2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 x14ac:dyDescent="0.2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 x14ac:dyDescent="0.2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 x14ac:dyDescent="0.2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 x14ac:dyDescent="0.2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 x14ac:dyDescent="0.2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 x14ac:dyDescent="0.2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 x14ac:dyDescent="0.2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 x14ac:dyDescent="0.2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 x14ac:dyDescent="0.2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 x14ac:dyDescent="0.2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 x14ac:dyDescent="0.2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 x14ac:dyDescent="0.2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 x14ac:dyDescent="0.2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 x14ac:dyDescent="0.2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 x14ac:dyDescent="0.2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 x14ac:dyDescent="0.2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 x14ac:dyDescent="0.2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 x14ac:dyDescent="0.2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 x14ac:dyDescent="0.2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 x14ac:dyDescent="0.2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 x14ac:dyDescent="0.2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 x14ac:dyDescent="0.2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 x14ac:dyDescent="0.2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 x14ac:dyDescent="0.2">
      <c r="A510" t="str">
        <f ca="1">IFERROR(__xludf.DUMMYFUNCTION("""COMPUTED_VALUE"""),"Compliance")</f>
        <v>Compliance</v>
      </c>
      <c r="B510" t="str">
        <f ca="1">IFERROR(__xludf.DUMMYFUNCTION("""COMPUTED_VALUE"""),"RestartRuleMediator")</f>
        <v>RestartRuleMediator</v>
      </c>
      <c r="C510" t="str">
        <f ca="1">IFERROR(__xludf.DUMMYFUNCTION("""COMPUTED_VALUE"""),"18SVZSt8o151Ibqp7S3Ge-27pHb5fW7wNT71WgA_kP_8")</f>
        <v>18SVZSt8o151Ibqp7S3Ge-27pHb5fW7wNT71WgA_kP_8</v>
      </c>
    </row>
    <row r="511" spans="1:3" ht="15.75" customHeight="1" x14ac:dyDescent="0.2">
      <c r="A511" t="str">
        <f ca="1">IFERROR(__xludf.DUMMYFUNCTION("""COMPUTED_VALUE"""),"Compliance")</f>
        <v>Compliance</v>
      </c>
      <c r="B511" t="str">
        <f ca="1">IFERROR(__xludf.DUMMYFUNCTION("""COMPUTED_VALUE"""),"VerifyAggAccountSymbolWithNav")</f>
        <v>VerifyAggAccountSymbolWithNav</v>
      </c>
      <c r="C511" t="str">
        <f ca="1">IFERROR(__xludf.DUMMYFUNCTION("""COMPUTED_VALUE"""),"1yORtQDYWOiS9sGzwmSy3jeH1KeWbwIscJSVtvVljcqk")</f>
        <v>1yORtQDYWOiS9sGzwmSy3jeH1KeWbwIscJSVtvVljcqk</v>
      </c>
    </row>
    <row r="512" spans="1:3" ht="15.75" customHeight="1" x14ac:dyDescent="0.2">
      <c r="A512" t="str">
        <f ca="1">IFERROR(__xludf.DUMMYFUNCTION("""COMPUTED_VALUE"""),"Admin")</f>
        <v>Admin</v>
      </c>
      <c r="B512" t="str">
        <f ca="1">IFERROR(__xludf.DUMMYFUNCTION("""COMPUTED_VALUE"""),"SetComplianceAlert")</f>
        <v>SetComplianceAlert</v>
      </c>
      <c r="C512" t="str">
        <f ca="1">IFERROR(__xludf.DUMMYFUNCTION("""COMPUTED_VALUE"""),"1tHcWqzzT9x7_tjIYlb_jsMu7VunfhVIyqGIWGIXOrQE")</f>
        <v>1tHcWqzzT9x7_tjIYlb_jsMu7VunfhVIyqGIWGIXOrQE</v>
      </c>
    </row>
    <row r="513" spans="1:3" ht="15.75" customHeight="1" x14ac:dyDescent="0.2">
      <c r="A513" t="str">
        <f ca="1">IFERROR(__xludf.DUMMYFUNCTION("""COMPUTED_VALUE"""),"PortfolioManagement")</f>
        <v>PortfolioManagement</v>
      </c>
      <c r="B513" t="str">
        <f ca="1">IFERROR(__xludf.DUMMYFUNCTION("""COMPUTED_VALUE"""),"IncreasePositionFromPM")</f>
        <v>IncreasePositionFromPM</v>
      </c>
      <c r="C513" t="str">
        <f ca="1">IFERROR(__xludf.DUMMYFUNCTION("""COMPUTED_VALUE"""),"1eE569Brgsjqyathy0MKO50Wmj5QCDLuax0S-29Hix4A")</f>
        <v>1eE569Brgsjqyathy0MKO50Wmj5QCDLuax0S-29Hix4A</v>
      </c>
    </row>
    <row r="514" spans="1:3" ht="15.75" customHeight="1" x14ac:dyDescent="0.2">
      <c r="A514" t="str">
        <f ca="1">IFERROR(__xludf.DUMMYFUNCTION("""COMPUTED_VALUE"""),"TradingTicket")</f>
        <v>TradingTicket</v>
      </c>
      <c r="B514" t="str">
        <f ca="1">IFERROR(__xludf.DUMMYFUNCTION("""COMPUTED_VALUE"""),"SendLiveBloomberg")</f>
        <v>SendLiveBloomberg</v>
      </c>
      <c r="C514" t="str">
        <f ca="1">IFERROR(__xludf.DUMMYFUNCTION("""COMPUTED_VALUE"""),"1jm-Rrun0S1nkf5N9L0XR0cK07laQ4i2IyhTZ_88GUUQ")</f>
        <v>1jm-Rrun0S1nkf5N9L0XR0cK07laQ4i2IyhTZ_88GUUQ</v>
      </c>
    </row>
    <row r="515" spans="1:3" ht="15.75" customHeight="1" x14ac:dyDescent="0.2"/>
    <row r="516" spans="1:3" ht="15.75" customHeight="1" x14ac:dyDescent="0.2"/>
    <row r="517" spans="1:3" ht="15.75" customHeight="1" x14ac:dyDescent="0.2"/>
    <row r="518" spans="1:3" ht="15.75" customHeight="1" x14ac:dyDescent="0.2"/>
    <row r="519" spans="1:3" ht="15.75" customHeight="1" x14ac:dyDescent="0.2"/>
    <row r="520" spans="1:3" ht="15.75" customHeight="1" x14ac:dyDescent="0.2"/>
    <row r="521" spans="1:3" ht="15.75" customHeight="1" x14ac:dyDescent="0.2"/>
    <row r="522" spans="1:3" ht="15.75" customHeight="1" x14ac:dyDescent="0.2"/>
    <row r="523" spans="1:3" ht="15.75" customHeight="1" x14ac:dyDescent="0.2"/>
    <row r="524" spans="1:3" ht="15.75" customHeight="1" x14ac:dyDescent="0.2"/>
    <row r="525" spans="1:3" ht="15.75" customHeight="1" x14ac:dyDescent="0.2"/>
    <row r="526" spans="1:3" ht="15.75" customHeight="1" x14ac:dyDescent="0.2"/>
    <row r="527" spans="1:3" ht="15.75" customHeight="1" x14ac:dyDescent="0.2"/>
    <row r="528" spans="1:3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60" t="s">
        <v>2</v>
      </c>
      <c r="B1" s="58"/>
      <c r="C1" s="59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57" t="s">
        <v>7</v>
      </c>
      <c r="B1" s="58"/>
      <c r="C1" s="58"/>
      <c r="D1" s="58"/>
      <c r="E1" s="58"/>
      <c r="F1" s="59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100</v>
      </c>
      <c r="E6" s="7">
        <v>100</v>
      </c>
      <c r="F6" s="7" t="s">
        <v>18</v>
      </c>
      <c r="G6" s="5"/>
      <c r="H6" s="5"/>
      <c r="I6" s="5"/>
      <c r="J6" s="7">
        <v>10</v>
      </c>
      <c r="K6" s="5"/>
      <c r="L6" s="5"/>
      <c r="M6" s="5"/>
      <c r="N6" s="25">
        <f t="shared" ref="N6:N7" ca="1" si="0">TODAY()</f>
        <v>44412</v>
      </c>
      <c r="O6" s="5"/>
    </row>
    <row r="7" spans="1:154" ht="15.75" customHeight="1" x14ac:dyDescent="0.2">
      <c r="A7" s="5"/>
      <c r="B7" s="7" t="s">
        <v>19</v>
      </c>
      <c r="C7" s="7" t="s">
        <v>20</v>
      </c>
      <c r="D7" s="7">
        <v>200</v>
      </c>
      <c r="E7" s="7">
        <v>200</v>
      </c>
      <c r="F7" s="7" t="s">
        <v>18</v>
      </c>
      <c r="G7" s="5"/>
      <c r="H7" s="5"/>
      <c r="I7" s="5"/>
      <c r="J7" s="7">
        <v>20</v>
      </c>
      <c r="K7" s="5"/>
      <c r="L7" s="5"/>
      <c r="M7" s="5"/>
      <c r="N7" s="25">
        <f t="shared" ca="1" si="0"/>
        <v>44412</v>
      </c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16</v>
      </c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20</v>
      </c>
      <c r="E6" s="7">
        <v>20</v>
      </c>
      <c r="F6" s="5"/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19</v>
      </c>
      <c r="D6" s="7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19</v>
      </c>
      <c r="C6" s="7" t="s">
        <v>20</v>
      </c>
      <c r="D6" s="7">
        <v>20</v>
      </c>
      <c r="E6" s="7">
        <v>20</v>
      </c>
      <c r="F6" s="5"/>
      <c r="G6" s="5"/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7"/>
      <c r="B6" s="27"/>
      <c r="C6" s="28"/>
      <c r="D6" s="29">
        <v>10</v>
      </c>
      <c r="E6" s="28" t="s">
        <v>25</v>
      </c>
      <c r="F6" s="30">
        <v>0</v>
      </c>
      <c r="G6" s="28"/>
      <c r="H6" s="28"/>
      <c r="I6" s="28" t="s">
        <v>26</v>
      </c>
      <c r="J6" s="28" t="s">
        <v>16</v>
      </c>
      <c r="K6" s="28" t="s">
        <v>27</v>
      </c>
      <c r="L6" s="28" t="s">
        <v>28</v>
      </c>
      <c r="M6" s="28"/>
      <c r="N6" s="28"/>
      <c r="O6" s="28"/>
      <c r="P6" s="28"/>
      <c r="Q6" s="28"/>
      <c r="R6" s="28"/>
      <c r="S6" s="31">
        <v>0</v>
      </c>
      <c r="T6" s="32">
        <v>0</v>
      </c>
      <c r="U6" s="33" t="s">
        <v>29</v>
      </c>
      <c r="V6" s="33" t="s">
        <v>30</v>
      </c>
      <c r="W6" s="33"/>
      <c r="X6" s="33"/>
      <c r="Y6" s="33"/>
      <c r="Z6" s="33"/>
      <c r="AA6" s="33" t="s">
        <v>31</v>
      </c>
      <c r="AB6" s="34">
        <v>20</v>
      </c>
      <c r="AC6" s="33"/>
      <c r="AD6" s="32">
        <v>1</v>
      </c>
      <c r="AE6" s="33"/>
      <c r="AF6" s="33" t="s">
        <v>32</v>
      </c>
      <c r="AG6" s="33"/>
      <c r="AH6" s="33" t="s">
        <v>33</v>
      </c>
      <c r="AI6" s="33" t="s">
        <v>16</v>
      </c>
      <c r="AJ6" s="33" t="s">
        <v>17</v>
      </c>
      <c r="AK6" s="33" t="s">
        <v>34</v>
      </c>
      <c r="AL6" s="34">
        <v>20</v>
      </c>
      <c r="AM6" s="34">
        <v>20</v>
      </c>
      <c r="AN6" s="32">
        <v>100</v>
      </c>
      <c r="AO6" s="34">
        <v>20</v>
      </c>
      <c r="AP6" s="33"/>
      <c r="AQ6" s="32">
        <v>10</v>
      </c>
      <c r="AR6" s="32">
        <v>10</v>
      </c>
      <c r="AS6" s="33" t="s">
        <v>35</v>
      </c>
      <c r="AT6" s="33" t="s">
        <v>18</v>
      </c>
      <c r="AU6" s="33" t="s">
        <v>36</v>
      </c>
      <c r="AV6" s="34">
        <v>200</v>
      </c>
      <c r="AW6" s="34">
        <v>200</v>
      </c>
      <c r="AX6" s="33"/>
      <c r="AY6" s="34">
        <v>20</v>
      </c>
      <c r="AZ6" s="32">
        <v>0</v>
      </c>
      <c r="BA6" s="33" t="s">
        <v>26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 x14ac:dyDescent="0.2">
      <c r="A7" s="33"/>
      <c r="B7" s="28"/>
      <c r="C7" s="28"/>
      <c r="D7" s="35">
        <v>20</v>
      </c>
      <c r="E7" s="28" t="s">
        <v>37</v>
      </c>
      <c r="F7" s="30">
        <v>0</v>
      </c>
      <c r="G7" s="28"/>
      <c r="H7" s="28"/>
      <c r="I7" s="28" t="s">
        <v>26</v>
      </c>
      <c r="J7" s="28" t="s">
        <v>19</v>
      </c>
      <c r="K7" s="28" t="s">
        <v>27</v>
      </c>
      <c r="L7" s="28" t="s">
        <v>28</v>
      </c>
      <c r="M7" s="28"/>
      <c r="N7" s="28"/>
      <c r="O7" s="28"/>
      <c r="P7" s="28"/>
      <c r="Q7" s="28"/>
      <c r="R7" s="28"/>
      <c r="S7" s="31">
        <v>0</v>
      </c>
      <c r="T7" s="32">
        <v>0</v>
      </c>
      <c r="U7" s="33" t="s">
        <v>29</v>
      </c>
      <c r="V7" s="33" t="s">
        <v>30</v>
      </c>
      <c r="W7" s="33"/>
      <c r="X7" s="33"/>
      <c r="Y7" s="33"/>
      <c r="Z7" s="33"/>
      <c r="AA7" s="33" t="s">
        <v>31</v>
      </c>
      <c r="AB7" s="34">
        <v>20</v>
      </c>
      <c r="AC7" s="33"/>
      <c r="AD7" s="32">
        <v>1</v>
      </c>
      <c r="AE7" s="33"/>
      <c r="AF7" s="33" t="s">
        <v>32</v>
      </c>
      <c r="AG7" s="33"/>
      <c r="AH7" s="33" t="s">
        <v>33</v>
      </c>
      <c r="AI7" s="33" t="s">
        <v>19</v>
      </c>
      <c r="AJ7" s="36" t="s">
        <v>20</v>
      </c>
      <c r="AK7" s="33" t="s">
        <v>34</v>
      </c>
      <c r="AL7" s="34">
        <v>20</v>
      </c>
      <c r="AM7" s="34">
        <v>20</v>
      </c>
      <c r="AN7" s="32">
        <v>100</v>
      </c>
      <c r="AO7" s="34">
        <v>20</v>
      </c>
      <c r="AP7" s="33"/>
      <c r="AQ7" s="34">
        <v>20</v>
      </c>
      <c r="AR7" s="34">
        <v>20</v>
      </c>
      <c r="AS7" s="33" t="s">
        <v>35</v>
      </c>
      <c r="AT7" s="33" t="s">
        <v>18</v>
      </c>
      <c r="AU7" s="33" t="s">
        <v>36</v>
      </c>
      <c r="AV7" s="34">
        <v>-400</v>
      </c>
      <c r="AW7" s="34">
        <v>-400</v>
      </c>
      <c r="AX7" s="33"/>
      <c r="AY7" s="34">
        <v>20</v>
      </c>
      <c r="AZ7" s="32">
        <v>0</v>
      </c>
      <c r="BA7" s="33" t="s">
        <v>26</v>
      </c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 x14ac:dyDescent="0.2">
      <c r="A8" s="28"/>
      <c r="B8" s="28"/>
      <c r="C8" s="28"/>
      <c r="D8" s="30">
        <v>10</v>
      </c>
      <c r="E8" s="28" t="s">
        <v>25</v>
      </c>
      <c r="F8" s="30">
        <v>0</v>
      </c>
      <c r="G8" s="28"/>
      <c r="H8" s="28"/>
      <c r="I8" s="28" t="s">
        <v>26</v>
      </c>
      <c r="J8" s="28" t="s">
        <v>16</v>
      </c>
      <c r="K8" s="28" t="s">
        <v>27</v>
      </c>
      <c r="L8" s="28" t="s">
        <v>28</v>
      </c>
      <c r="M8" s="28"/>
      <c r="N8" s="28"/>
      <c r="O8" s="28"/>
      <c r="P8" s="28"/>
      <c r="Q8" s="28"/>
      <c r="R8" s="28"/>
      <c r="S8" s="31">
        <v>0</v>
      </c>
      <c r="T8" s="32">
        <v>0</v>
      </c>
      <c r="U8" s="33" t="s">
        <v>29</v>
      </c>
      <c r="V8" s="33" t="s">
        <v>30</v>
      </c>
      <c r="W8" s="33"/>
      <c r="X8" s="33"/>
      <c r="Y8" s="33"/>
      <c r="Z8" s="33"/>
      <c r="AA8" s="33" t="s">
        <v>31</v>
      </c>
      <c r="AB8" s="32">
        <v>100</v>
      </c>
      <c r="AC8" s="33"/>
      <c r="AD8" s="32">
        <v>1</v>
      </c>
      <c r="AE8" s="33"/>
      <c r="AF8" s="33" t="s">
        <v>32</v>
      </c>
      <c r="AG8" s="33"/>
      <c r="AH8" s="33" t="s">
        <v>33</v>
      </c>
      <c r="AI8" s="33" t="s">
        <v>16</v>
      </c>
      <c r="AJ8" s="33" t="s">
        <v>17</v>
      </c>
      <c r="AK8" s="33" t="s">
        <v>34</v>
      </c>
      <c r="AL8" s="32">
        <v>100</v>
      </c>
      <c r="AM8" s="32">
        <v>100</v>
      </c>
      <c r="AN8" s="32">
        <v>100</v>
      </c>
      <c r="AO8" s="32">
        <v>100</v>
      </c>
      <c r="AP8" s="33"/>
      <c r="AQ8" s="32">
        <v>10</v>
      </c>
      <c r="AR8" s="32">
        <v>10</v>
      </c>
      <c r="AS8" s="33" t="s">
        <v>35</v>
      </c>
      <c r="AT8" s="33" t="s">
        <v>18</v>
      </c>
      <c r="AU8" s="33" t="s">
        <v>36</v>
      </c>
      <c r="AV8" s="32">
        <v>1000</v>
      </c>
      <c r="AW8" s="32">
        <v>1000</v>
      </c>
      <c r="AX8" s="33"/>
      <c r="AY8" s="32">
        <v>100</v>
      </c>
      <c r="AZ8" s="32">
        <v>0</v>
      </c>
      <c r="BA8" s="33" t="s">
        <v>26</v>
      </c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spans="1:154" ht="15.75" customHeight="1" x14ac:dyDescent="0.2">
      <c r="A9" s="33"/>
      <c r="B9" s="28"/>
      <c r="C9" s="28"/>
      <c r="D9" s="35">
        <v>20</v>
      </c>
      <c r="E9" s="28" t="s">
        <v>37</v>
      </c>
      <c r="F9" s="30">
        <v>0</v>
      </c>
      <c r="G9" s="28"/>
      <c r="H9" s="28"/>
      <c r="I9" s="28" t="s">
        <v>26</v>
      </c>
      <c r="J9" s="28" t="s">
        <v>19</v>
      </c>
      <c r="K9" s="28" t="s">
        <v>27</v>
      </c>
      <c r="L9" s="28" t="s">
        <v>28</v>
      </c>
      <c r="M9" s="28"/>
      <c r="N9" s="28"/>
      <c r="O9" s="28"/>
      <c r="P9" s="28"/>
      <c r="Q9" s="28"/>
      <c r="R9" s="28"/>
      <c r="S9" s="31">
        <v>0</v>
      </c>
      <c r="T9" s="32">
        <v>0</v>
      </c>
      <c r="U9" s="33" t="s">
        <v>29</v>
      </c>
      <c r="V9" s="33" t="s">
        <v>30</v>
      </c>
      <c r="W9" s="33"/>
      <c r="X9" s="33"/>
      <c r="Y9" s="33"/>
      <c r="Z9" s="33"/>
      <c r="AA9" s="33" t="s">
        <v>31</v>
      </c>
      <c r="AB9" s="34">
        <v>200</v>
      </c>
      <c r="AC9" s="33"/>
      <c r="AD9" s="32">
        <v>1</v>
      </c>
      <c r="AE9" s="33"/>
      <c r="AF9" s="33" t="s">
        <v>32</v>
      </c>
      <c r="AG9" s="33"/>
      <c r="AH9" s="33" t="s">
        <v>33</v>
      </c>
      <c r="AI9" s="33" t="s">
        <v>19</v>
      </c>
      <c r="AJ9" s="36" t="s">
        <v>20</v>
      </c>
      <c r="AK9" s="33" t="s">
        <v>34</v>
      </c>
      <c r="AL9" s="34">
        <v>200</v>
      </c>
      <c r="AM9" s="34">
        <v>200</v>
      </c>
      <c r="AN9" s="32">
        <v>100</v>
      </c>
      <c r="AO9" s="34">
        <v>200</v>
      </c>
      <c r="AP9" s="33"/>
      <c r="AQ9" s="34">
        <v>20</v>
      </c>
      <c r="AR9" s="34">
        <v>20</v>
      </c>
      <c r="AS9" s="33" t="s">
        <v>35</v>
      </c>
      <c r="AT9" s="33" t="s">
        <v>18</v>
      </c>
      <c r="AU9" s="33" t="s">
        <v>36</v>
      </c>
      <c r="AV9" s="34">
        <v>-4000</v>
      </c>
      <c r="AW9" s="34">
        <v>-4000</v>
      </c>
      <c r="AX9" s="33"/>
      <c r="AY9" s="34">
        <v>200</v>
      </c>
      <c r="AZ9" s="32">
        <v>0</v>
      </c>
      <c r="BA9" s="33" t="s">
        <v>26</v>
      </c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37"/>
      <c r="B6" s="38" t="s">
        <v>18</v>
      </c>
      <c r="C6" s="28"/>
      <c r="D6" s="39">
        <v>0</v>
      </c>
      <c r="E6" s="40">
        <v>100</v>
      </c>
      <c r="F6" s="28"/>
      <c r="G6" s="41" t="s">
        <v>33</v>
      </c>
      <c r="H6" s="42">
        <v>4</v>
      </c>
      <c r="I6" s="42">
        <v>5</v>
      </c>
      <c r="J6" s="42">
        <v>1</v>
      </c>
      <c r="K6" s="40">
        <v>10</v>
      </c>
      <c r="L6" s="40">
        <v>10</v>
      </c>
      <c r="M6" s="41" t="s">
        <v>25</v>
      </c>
      <c r="N6" s="28"/>
      <c r="O6" s="41" t="s">
        <v>35</v>
      </c>
      <c r="P6" s="28"/>
      <c r="Q6" s="42">
        <v>3</v>
      </c>
      <c r="R6" s="42">
        <v>0</v>
      </c>
      <c r="S6" s="41" t="s">
        <v>40</v>
      </c>
      <c r="T6" s="43">
        <v>0</v>
      </c>
      <c r="U6" s="43">
        <v>0</v>
      </c>
      <c r="V6" s="44" t="s">
        <v>41</v>
      </c>
      <c r="W6" s="43">
        <v>1</v>
      </c>
      <c r="X6" s="33"/>
      <c r="Y6" s="33"/>
      <c r="Z6" s="33" t="s">
        <v>29</v>
      </c>
      <c r="AA6" s="33"/>
      <c r="AB6" s="43">
        <v>1</v>
      </c>
      <c r="AC6" s="33"/>
      <c r="AD6" s="44" t="s">
        <v>42</v>
      </c>
      <c r="AE6" s="40">
        <v>100</v>
      </c>
      <c r="AF6" s="33"/>
      <c r="AG6" s="33"/>
      <c r="AH6" s="33" t="s">
        <v>32</v>
      </c>
      <c r="AI6" s="43">
        <v>1</v>
      </c>
      <c r="AJ6" s="33"/>
      <c r="AK6" s="33"/>
      <c r="AL6" s="33"/>
      <c r="AM6" s="33"/>
      <c r="AN6" s="45" t="b">
        <v>0</v>
      </c>
      <c r="AO6" s="44"/>
      <c r="AP6" s="45" t="b">
        <v>1</v>
      </c>
      <c r="AQ6" s="45" t="b">
        <v>0</v>
      </c>
      <c r="AR6" s="45" t="b">
        <v>1</v>
      </c>
      <c r="AS6" s="43">
        <v>0</v>
      </c>
      <c r="AT6" s="46">
        <v>1014.0006</v>
      </c>
      <c r="AU6" s="46">
        <v>1014.0006</v>
      </c>
      <c r="AV6" s="33"/>
      <c r="AW6" s="33"/>
      <c r="AX6" s="43">
        <v>0</v>
      </c>
      <c r="AY6" s="44" t="s">
        <v>36</v>
      </c>
      <c r="AZ6" s="43">
        <v>0</v>
      </c>
      <c r="BA6" s="33"/>
      <c r="BB6" s="33"/>
      <c r="BC6" s="33"/>
      <c r="BD6" s="33"/>
      <c r="BE6" s="47">
        <v>1000</v>
      </c>
      <c r="BF6" s="47">
        <v>1000</v>
      </c>
      <c r="BG6" s="33"/>
      <c r="BH6" s="33"/>
      <c r="BI6" s="33"/>
      <c r="BJ6" s="40">
        <v>100</v>
      </c>
      <c r="BK6" s="43">
        <v>0</v>
      </c>
      <c r="BL6" s="33"/>
      <c r="BM6" s="44" t="s">
        <v>29</v>
      </c>
      <c r="BN6" s="33"/>
      <c r="BO6" s="48" t="s">
        <v>17</v>
      </c>
      <c r="BP6" s="43">
        <v>0</v>
      </c>
      <c r="BQ6" s="43">
        <v>0</v>
      </c>
      <c r="BR6" s="33"/>
      <c r="BS6" s="33"/>
      <c r="BT6" s="44" t="s">
        <v>16</v>
      </c>
      <c r="BU6" s="43">
        <v>3</v>
      </c>
      <c r="BV6" s="43">
        <v>0</v>
      </c>
      <c r="BW6" s="40">
        <v>14.0006</v>
      </c>
      <c r="BX6" s="43">
        <v>0</v>
      </c>
      <c r="BY6" s="33"/>
      <c r="BZ6" s="33"/>
      <c r="CA6" s="33"/>
      <c r="CB6" s="33"/>
      <c r="CC6" s="33"/>
      <c r="CD6" s="33"/>
      <c r="CE6" s="33"/>
      <c r="CF6" s="44" t="s">
        <v>28</v>
      </c>
      <c r="CG6" s="43">
        <v>2</v>
      </c>
      <c r="CH6" s="44" t="s">
        <v>12</v>
      </c>
      <c r="CI6" s="48" t="s">
        <v>17</v>
      </c>
      <c r="CJ6" s="43">
        <v>0</v>
      </c>
      <c r="CK6" s="44" t="s">
        <v>27</v>
      </c>
      <c r="CL6" s="33"/>
      <c r="CM6" s="44" t="s">
        <v>16</v>
      </c>
      <c r="CN6" s="44" t="s">
        <v>26</v>
      </c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 x14ac:dyDescent="0.2">
      <c r="A7" s="33"/>
      <c r="B7" s="41" t="s">
        <v>18</v>
      </c>
      <c r="C7" s="28"/>
      <c r="D7" s="42">
        <v>0</v>
      </c>
      <c r="E7" s="40">
        <v>200</v>
      </c>
      <c r="F7" s="28"/>
      <c r="G7" s="41" t="s">
        <v>33</v>
      </c>
      <c r="H7" s="42">
        <v>4</v>
      </c>
      <c r="I7" s="42">
        <v>5</v>
      </c>
      <c r="J7" s="42">
        <v>1</v>
      </c>
      <c r="K7" s="40">
        <v>20</v>
      </c>
      <c r="L7" s="40">
        <v>20</v>
      </c>
      <c r="M7" s="41" t="s">
        <v>37</v>
      </c>
      <c r="N7" s="28"/>
      <c r="O7" s="41" t="s">
        <v>35</v>
      </c>
      <c r="P7" s="28"/>
      <c r="Q7" s="42">
        <v>3</v>
      </c>
      <c r="R7" s="42">
        <v>0</v>
      </c>
      <c r="S7" s="41" t="s">
        <v>40</v>
      </c>
      <c r="T7" s="43">
        <v>0</v>
      </c>
      <c r="U7" s="43">
        <v>0</v>
      </c>
      <c r="V7" s="44" t="s">
        <v>43</v>
      </c>
      <c r="W7" s="43">
        <v>1</v>
      </c>
      <c r="X7" s="33"/>
      <c r="Y7" s="33"/>
      <c r="Z7" s="33" t="s">
        <v>29</v>
      </c>
      <c r="AA7" s="33"/>
      <c r="AB7" s="43">
        <v>1</v>
      </c>
      <c r="AC7" s="33"/>
      <c r="AD7" s="44" t="s">
        <v>42</v>
      </c>
      <c r="AE7" s="40">
        <v>200</v>
      </c>
      <c r="AF7" s="33"/>
      <c r="AG7" s="33"/>
      <c r="AH7" s="33" t="s">
        <v>32</v>
      </c>
      <c r="AI7" s="43">
        <v>1</v>
      </c>
      <c r="AJ7" s="33"/>
      <c r="AK7" s="33"/>
      <c r="AL7" s="33"/>
      <c r="AM7" s="33"/>
      <c r="AN7" s="45" t="b">
        <v>0</v>
      </c>
      <c r="AO7" s="44"/>
      <c r="AP7" s="45" t="b">
        <v>1</v>
      </c>
      <c r="AQ7" s="45" t="b">
        <v>0</v>
      </c>
      <c r="AR7" s="45" t="b">
        <v>1</v>
      </c>
      <c r="AS7" s="43">
        <v>0</v>
      </c>
      <c r="AT7" s="46">
        <v>3985.9978000000001</v>
      </c>
      <c r="AU7" s="46">
        <v>3985.9978000000001</v>
      </c>
      <c r="AV7" s="33"/>
      <c r="AW7" s="33"/>
      <c r="AX7" s="43">
        <v>0</v>
      </c>
      <c r="AY7" s="44" t="s">
        <v>36</v>
      </c>
      <c r="AZ7" s="43">
        <v>0</v>
      </c>
      <c r="BA7" s="33"/>
      <c r="BB7" s="33"/>
      <c r="BC7" s="33"/>
      <c r="BD7" s="33"/>
      <c r="BE7" s="47">
        <v>4000</v>
      </c>
      <c r="BF7" s="47">
        <v>4000</v>
      </c>
      <c r="BG7" s="33"/>
      <c r="BH7" s="33"/>
      <c r="BI7" s="33"/>
      <c r="BJ7" s="40">
        <v>200</v>
      </c>
      <c r="BK7" s="43">
        <v>0</v>
      </c>
      <c r="BL7" s="33"/>
      <c r="BM7" s="44" t="s">
        <v>29</v>
      </c>
      <c r="BN7" s="33"/>
      <c r="BO7" s="48" t="s">
        <v>20</v>
      </c>
      <c r="BP7" s="43">
        <v>0</v>
      </c>
      <c r="BQ7" s="43">
        <v>0</v>
      </c>
      <c r="BR7" s="33"/>
      <c r="BS7" s="33"/>
      <c r="BT7" s="44" t="s">
        <v>19</v>
      </c>
      <c r="BU7" s="43">
        <v>3</v>
      </c>
      <c r="BV7" s="43">
        <v>0</v>
      </c>
      <c r="BW7" s="40">
        <v>14.0022</v>
      </c>
      <c r="BX7" s="43">
        <v>0</v>
      </c>
      <c r="BY7" s="33"/>
      <c r="BZ7" s="33"/>
      <c r="CA7" s="33"/>
      <c r="CB7" s="33"/>
      <c r="CC7" s="33"/>
      <c r="CD7" s="33"/>
      <c r="CE7" s="33"/>
      <c r="CF7" s="44" t="s">
        <v>28</v>
      </c>
      <c r="CG7" s="43">
        <v>2</v>
      </c>
      <c r="CH7" s="44" t="s">
        <v>12</v>
      </c>
      <c r="CI7" s="48" t="s">
        <v>44</v>
      </c>
      <c r="CJ7" s="43">
        <v>0</v>
      </c>
      <c r="CK7" s="44" t="s">
        <v>27</v>
      </c>
      <c r="CL7" s="33"/>
      <c r="CM7" s="44" t="s">
        <v>19</v>
      </c>
      <c r="CN7" s="44" t="s">
        <v>26</v>
      </c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 x14ac:dyDescent="0.2">
      <c r="A8" s="33"/>
      <c r="B8" s="41" t="s">
        <v>18</v>
      </c>
      <c r="C8" s="28"/>
      <c r="D8" s="42">
        <v>0</v>
      </c>
      <c r="E8" s="40">
        <v>20</v>
      </c>
      <c r="F8" s="28"/>
      <c r="G8" s="41" t="s">
        <v>33</v>
      </c>
      <c r="H8" s="42">
        <v>4</v>
      </c>
      <c r="I8" s="42">
        <v>5</v>
      </c>
      <c r="J8" s="42">
        <v>1</v>
      </c>
      <c r="K8" s="40">
        <v>20</v>
      </c>
      <c r="L8" s="40">
        <v>20</v>
      </c>
      <c r="M8" s="41" t="s">
        <v>37</v>
      </c>
      <c r="N8" s="28"/>
      <c r="O8" s="41" t="s">
        <v>35</v>
      </c>
      <c r="P8" s="28"/>
      <c r="Q8" s="42">
        <v>3</v>
      </c>
      <c r="R8" s="42">
        <v>0</v>
      </c>
      <c r="S8" s="41" t="s">
        <v>40</v>
      </c>
      <c r="T8" s="43">
        <v>0</v>
      </c>
      <c r="U8" s="43">
        <v>0</v>
      </c>
      <c r="V8" s="44" t="s">
        <v>43</v>
      </c>
      <c r="W8" s="43">
        <v>1</v>
      </c>
      <c r="X8" s="33"/>
      <c r="Y8" s="33"/>
      <c r="Z8" s="33" t="s">
        <v>29</v>
      </c>
      <c r="AA8" s="33"/>
      <c r="AB8" s="43">
        <v>1</v>
      </c>
      <c r="AC8" s="33"/>
      <c r="AD8" s="44" t="s">
        <v>42</v>
      </c>
      <c r="AE8" s="40">
        <v>20</v>
      </c>
      <c r="AF8" s="33"/>
      <c r="AG8" s="33"/>
      <c r="AH8" s="33" t="s">
        <v>32</v>
      </c>
      <c r="AI8" s="43">
        <v>1</v>
      </c>
      <c r="AJ8" s="33"/>
      <c r="AK8" s="33"/>
      <c r="AL8" s="33"/>
      <c r="AM8" s="33"/>
      <c r="AN8" s="45" t="b">
        <v>0</v>
      </c>
      <c r="AO8" s="44"/>
      <c r="AP8" s="45" t="b">
        <v>1</v>
      </c>
      <c r="AQ8" s="45" t="b">
        <v>0</v>
      </c>
      <c r="AR8" s="45" t="b">
        <v>1</v>
      </c>
      <c r="AS8" s="43">
        <v>0</v>
      </c>
      <c r="AT8" s="46">
        <v>385.99979999999999</v>
      </c>
      <c r="AU8" s="46">
        <v>385.99979999999999</v>
      </c>
      <c r="AV8" s="33"/>
      <c r="AW8" s="33"/>
      <c r="AX8" s="43">
        <v>0</v>
      </c>
      <c r="AY8" s="44" t="s">
        <v>36</v>
      </c>
      <c r="AZ8" s="43">
        <v>0</v>
      </c>
      <c r="BA8" s="33"/>
      <c r="BB8" s="33"/>
      <c r="BC8" s="33"/>
      <c r="BD8" s="33"/>
      <c r="BE8" s="47">
        <v>400</v>
      </c>
      <c r="BF8" s="47">
        <v>400</v>
      </c>
      <c r="BG8" s="33"/>
      <c r="BH8" s="33"/>
      <c r="BI8" s="33"/>
      <c r="BJ8" s="40">
        <v>20</v>
      </c>
      <c r="BK8" s="43">
        <v>0</v>
      </c>
      <c r="BL8" s="33"/>
      <c r="BM8" s="44" t="s">
        <v>29</v>
      </c>
      <c r="BN8" s="33"/>
      <c r="BO8" s="48" t="s">
        <v>20</v>
      </c>
      <c r="BP8" s="43">
        <v>0</v>
      </c>
      <c r="BQ8" s="43">
        <v>0</v>
      </c>
      <c r="BR8" s="33"/>
      <c r="BS8" s="33"/>
      <c r="BT8" s="44" t="s">
        <v>19</v>
      </c>
      <c r="BU8" s="43">
        <v>3</v>
      </c>
      <c r="BV8" s="43">
        <v>0</v>
      </c>
      <c r="BW8" s="40">
        <v>14.0002</v>
      </c>
      <c r="BX8" s="43">
        <v>0</v>
      </c>
      <c r="BY8" s="33"/>
      <c r="BZ8" s="33"/>
      <c r="CA8" s="33"/>
      <c r="CB8" s="33"/>
      <c r="CC8" s="33"/>
      <c r="CD8" s="33"/>
      <c r="CE8" s="33"/>
      <c r="CF8" s="44" t="s">
        <v>28</v>
      </c>
      <c r="CG8" s="43">
        <v>2</v>
      </c>
      <c r="CH8" s="44" t="s">
        <v>12</v>
      </c>
      <c r="CI8" s="48" t="s">
        <v>44</v>
      </c>
      <c r="CJ8" s="43">
        <v>0</v>
      </c>
      <c r="CK8" s="44" t="s">
        <v>27</v>
      </c>
      <c r="CL8" s="33"/>
      <c r="CM8" s="44" t="s">
        <v>19</v>
      </c>
      <c r="CN8" s="44" t="s">
        <v>26</v>
      </c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spans="1:154" ht="15.75" customHeight="1" x14ac:dyDescent="0.2">
      <c r="A9" s="33"/>
      <c r="B9" s="41" t="s">
        <v>18</v>
      </c>
      <c r="C9" s="28"/>
      <c r="D9" s="42">
        <v>0</v>
      </c>
      <c r="E9" s="40">
        <v>20</v>
      </c>
      <c r="F9" s="28"/>
      <c r="G9" s="41" t="s">
        <v>33</v>
      </c>
      <c r="H9" s="42">
        <v>4</v>
      </c>
      <c r="I9" s="42">
        <v>5</v>
      </c>
      <c r="J9" s="42">
        <v>1</v>
      </c>
      <c r="K9" s="40">
        <v>10</v>
      </c>
      <c r="L9" s="40">
        <v>10</v>
      </c>
      <c r="M9" s="41" t="s">
        <v>25</v>
      </c>
      <c r="N9" s="28"/>
      <c r="O9" s="41" t="s">
        <v>35</v>
      </c>
      <c r="P9" s="28"/>
      <c r="Q9" s="42">
        <v>3</v>
      </c>
      <c r="R9" s="42">
        <v>0</v>
      </c>
      <c r="S9" s="41" t="s">
        <v>40</v>
      </c>
      <c r="T9" s="43">
        <v>0</v>
      </c>
      <c r="U9" s="43">
        <v>0</v>
      </c>
      <c r="V9" s="44" t="s">
        <v>41</v>
      </c>
      <c r="W9" s="43">
        <v>1</v>
      </c>
      <c r="X9" s="33"/>
      <c r="Y9" s="33"/>
      <c r="Z9" s="33" t="s">
        <v>29</v>
      </c>
      <c r="AA9" s="33"/>
      <c r="AB9" s="43">
        <v>1</v>
      </c>
      <c r="AC9" s="33"/>
      <c r="AD9" s="44" t="s">
        <v>42</v>
      </c>
      <c r="AE9" s="40">
        <v>20</v>
      </c>
      <c r="AF9" s="33"/>
      <c r="AG9" s="33"/>
      <c r="AH9" s="33" t="s">
        <v>32</v>
      </c>
      <c r="AI9" s="43">
        <v>1</v>
      </c>
      <c r="AJ9" s="33"/>
      <c r="AK9" s="33"/>
      <c r="AL9" s="33"/>
      <c r="AM9" s="33"/>
      <c r="AN9" s="45" t="b">
        <v>0</v>
      </c>
      <c r="AO9" s="44"/>
      <c r="AP9" s="45" t="b">
        <v>1</v>
      </c>
      <c r="AQ9" s="45" t="b">
        <v>0</v>
      </c>
      <c r="AR9" s="45" t="b">
        <v>1</v>
      </c>
      <c r="AS9" s="43">
        <v>0</v>
      </c>
      <c r="AT9" s="46">
        <v>214.0001</v>
      </c>
      <c r="AU9" s="46">
        <v>214.0001</v>
      </c>
      <c r="AV9" s="33"/>
      <c r="AW9" s="33"/>
      <c r="AX9" s="43">
        <v>0</v>
      </c>
      <c r="AY9" s="44" t="s">
        <v>36</v>
      </c>
      <c r="AZ9" s="43">
        <v>0</v>
      </c>
      <c r="BA9" s="33"/>
      <c r="BB9" s="33"/>
      <c r="BC9" s="33"/>
      <c r="BD9" s="33"/>
      <c r="BE9" s="47">
        <v>200</v>
      </c>
      <c r="BF9" s="47">
        <v>200</v>
      </c>
      <c r="BG9" s="33"/>
      <c r="BH9" s="33"/>
      <c r="BI9" s="33"/>
      <c r="BJ9" s="40">
        <v>20</v>
      </c>
      <c r="BK9" s="43">
        <v>0</v>
      </c>
      <c r="BL9" s="33"/>
      <c r="BM9" s="44" t="s">
        <v>29</v>
      </c>
      <c r="BN9" s="33"/>
      <c r="BO9" s="48" t="s">
        <v>17</v>
      </c>
      <c r="BP9" s="43">
        <v>0</v>
      </c>
      <c r="BQ9" s="43">
        <v>0</v>
      </c>
      <c r="BR9" s="33"/>
      <c r="BS9" s="33"/>
      <c r="BT9" s="44" t="s">
        <v>16</v>
      </c>
      <c r="BU9" s="43">
        <v>3</v>
      </c>
      <c r="BV9" s="43">
        <v>0</v>
      </c>
      <c r="BW9" s="40">
        <v>14.0001</v>
      </c>
      <c r="BX9" s="43">
        <v>0</v>
      </c>
      <c r="BY9" s="33"/>
      <c r="BZ9" s="33"/>
      <c r="CA9" s="33"/>
      <c r="CB9" s="33"/>
      <c r="CC9" s="33"/>
      <c r="CD9" s="33"/>
      <c r="CE9" s="33"/>
      <c r="CF9" s="44" t="s">
        <v>28</v>
      </c>
      <c r="CG9" s="43">
        <v>2</v>
      </c>
      <c r="CH9" s="44" t="s">
        <v>12</v>
      </c>
      <c r="CI9" s="48" t="s">
        <v>17</v>
      </c>
      <c r="CJ9" s="43">
        <v>0</v>
      </c>
      <c r="CK9" s="44" t="s">
        <v>27</v>
      </c>
      <c r="CL9" s="33"/>
      <c r="CM9" s="44" t="s">
        <v>16</v>
      </c>
      <c r="CN9" s="44" t="s">
        <v>26</v>
      </c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F1" workbookViewId="0">
      <selection activeCell="BL17" sqref="BL17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6.140625" customWidth="1"/>
    <col min="64" max="168" width="14.42578125" customWidth="1"/>
  </cols>
  <sheetData>
    <row r="1" spans="1:168" ht="15.75" customHeight="1" x14ac:dyDescent="0.3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27"/>
      <c r="B6" s="27"/>
      <c r="C6" s="49" t="s">
        <v>16</v>
      </c>
      <c r="D6" s="50">
        <v>100</v>
      </c>
      <c r="E6" s="51" t="s">
        <v>18</v>
      </c>
      <c r="F6" s="51" t="s">
        <v>31</v>
      </c>
      <c r="G6" s="52">
        <v>10</v>
      </c>
      <c r="H6" s="51" t="s">
        <v>46</v>
      </c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3">
        <v>-1000</v>
      </c>
      <c r="O6" s="49" t="s">
        <v>41</v>
      </c>
      <c r="P6" s="49" t="s">
        <v>47</v>
      </c>
      <c r="Q6" s="53">
        <v>-1000</v>
      </c>
      <c r="R6" s="51" t="s">
        <v>48</v>
      </c>
      <c r="S6" s="49" t="s">
        <v>49</v>
      </c>
      <c r="T6" s="54" t="s">
        <v>33</v>
      </c>
      <c r="U6" s="54" t="s">
        <v>27</v>
      </c>
      <c r="V6" s="54" t="s">
        <v>42</v>
      </c>
      <c r="W6" s="54" t="s">
        <v>29</v>
      </c>
      <c r="X6" s="33"/>
      <c r="Y6" s="55">
        <v>1</v>
      </c>
      <c r="Z6" s="33"/>
      <c r="AA6" s="33"/>
      <c r="AB6" s="55">
        <v>0</v>
      </c>
      <c r="AC6" s="55">
        <v>0</v>
      </c>
      <c r="AD6" s="55">
        <v>0</v>
      </c>
      <c r="AE6" s="55">
        <v>0</v>
      </c>
      <c r="AF6" s="50">
        <v>100</v>
      </c>
      <c r="AG6" s="55">
        <v>0</v>
      </c>
      <c r="AH6" s="55">
        <v>0</v>
      </c>
      <c r="AI6" s="55">
        <v>0</v>
      </c>
      <c r="AJ6" s="55">
        <v>0</v>
      </c>
      <c r="AK6" s="53">
        <v>-1000</v>
      </c>
      <c r="AL6" s="55">
        <v>1</v>
      </c>
      <c r="AM6" s="55">
        <v>1</v>
      </c>
      <c r="AN6" s="51" t="s">
        <v>17</v>
      </c>
      <c r="AO6" s="33"/>
      <c r="AP6" s="51" t="s">
        <v>46</v>
      </c>
      <c r="AQ6" s="54" t="s">
        <v>16</v>
      </c>
      <c r="AR6" s="55">
        <v>0</v>
      </c>
      <c r="AS6" s="50">
        <v>1</v>
      </c>
      <c r="AT6" s="33"/>
      <c r="AU6" s="33"/>
      <c r="AV6" s="33"/>
      <c r="AW6" s="53">
        <v>-1000</v>
      </c>
      <c r="AX6" s="55">
        <v>0</v>
      </c>
      <c r="AY6" s="55">
        <v>0</v>
      </c>
      <c r="AZ6" s="55">
        <v>0</v>
      </c>
      <c r="BA6" s="50">
        <v>-100</v>
      </c>
      <c r="BB6" s="33"/>
      <c r="BC6" s="55">
        <v>1</v>
      </c>
      <c r="BD6" s="53">
        <v>-1000</v>
      </c>
      <c r="BE6" s="54" t="s">
        <v>33</v>
      </c>
      <c r="BF6" s="54" t="s">
        <v>50</v>
      </c>
      <c r="BG6" s="54" t="s">
        <v>51</v>
      </c>
      <c r="BH6" s="54" t="s">
        <v>52</v>
      </c>
      <c r="BI6" s="33"/>
      <c r="BJ6" s="55">
        <v>0</v>
      </c>
      <c r="BK6" s="55">
        <v>0</v>
      </c>
      <c r="BL6" s="55">
        <v>0</v>
      </c>
      <c r="BM6" s="55">
        <v>0</v>
      </c>
      <c r="BN6" s="33"/>
      <c r="BO6" s="53">
        <v>-1000</v>
      </c>
      <c r="BP6" s="55">
        <v>0</v>
      </c>
      <c r="BQ6" s="54" t="s">
        <v>26</v>
      </c>
      <c r="BR6" s="54" t="s">
        <v>35</v>
      </c>
      <c r="BS6" s="55">
        <v>0</v>
      </c>
      <c r="BT6" s="55">
        <v>0</v>
      </c>
      <c r="BU6" s="54" t="s">
        <v>33</v>
      </c>
      <c r="BV6" s="33"/>
      <c r="BW6" s="55">
        <v>0</v>
      </c>
      <c r="BX6" s="55">
        <v>0</v>
      </c>
      <c r="BY6" s="55">
        <v>0</v>
      </c>
      <c r="BZ6" s="55">
        <v>0</v>
      </c>
      <c r="CA6" s="55">
        <v>0</v>
      </c>
      <c r="CB6" s="55"/>
      <c r="CC6" s="55">
        <v>0</v>
      </c>
      <c r="CD6" s="53">
        <v>-1000</v>
      </c>
      <c r="CE6" s="55">
        <v>0</v>
      </c>
      <c r="CF6" s="55">
        <v>0</v>
      </c>
      <c r="CG6" s="53">
        <v>-1000</v>
      </c>
      <c r="CH6" s="50">
        <v>-100</v>
      </c>
      <c r="CI6" s="55">
        <v>0</v>
      </c>
      <c r="CJ6" s="55">
        <v>0</v>
      </c>
      <c r="CK6" s="55" t="b">
        <v>0</v>
      </c>
      <c r="CL6" s="33"/>
      <c r="CM6" s="33"/>
      <c r="CN6" s="33"/>
      <c r="CO6" s="33"/>
      <c r="CP6" s="33"/>
      <c r="CQ6" s="33"/>
      <c r="CR6" s="33"/>
      <c r="CS6" s="50">
        <v>10</v>
      </c>
      <c r="CT6" s="33"/>
      <c r="CU6" s="33"/>
      <c r="CV6" s="33"/>
      <c r="CW6" s="33"/>
      <c r="CX6" s="33"/>
      <c r="CY6" s="54" t="s">
        <v>53</v>
      </c>
      <c r="CZ6" s="54" t="s">
        <v>54</v>
      </c>
      <c r="DA6" s="55">
        <v>0</v>
      </c>
      <c r="DB6" s="55">
        <v>0</v>
      </c>
      <c r="DC6" s="55"/>
      <c r="DD6" s="50">
        <v>100</v>
      </c>
      <c r="DE6" s="55">
        <v>0</v>
      </c>
      <c r="DF6" s="55">
        <v>0</v>
      </c>
      <c r="DG6" s="55">
        <v>0</v>
      </c>
      <c r="DH6" s="54" t="s">
        <v>47</v>
      </c>
      <c r="DI6" s="55">
        <v>0</v>
      </c>
      <c r="DJ6" s="51" t="s">
        <v>17</v>
      </c>
      <c r="DK6" s="55">
        <v>0</v>
      </c>
      <c r="DL6" s="55">
        <v>0</v>
      </c>
      <c r="DM6" s="55">
        <v>1</v>
      </c>
      <c r="DN6" s="55">
        <v>0</v>
      </c>
      <c r="DO6" s="33"/>
      <c r="DP6" s="33"/>
      <c r="DQ6" s="54" t="s">
        <v>47</v>
      </c>
      <c r="DR6" s="54" t="s">
        <v>55</v>
      </c>
      <c r="DS6" s="54" t="s">
        <v>56</v>
      </c>
      <c r="DT6" s="54" t="s">
        <v>47</v>
      </c>
      <c r="DU6" s="54" t="s">
        <v>47</v>
      </c>
      <c r="DV6" s="54" t="s">
        <v>47</v>
      </c>
      <c r="DW6" s="33"/>
      <c r="DX6" s="33"/>
      <c r="DY6" s="54" t="s">
        <v>47</v>
      </c>
      <c r="DZ6" s="54" t="s">
        <v>41</v>
      </c>
      <c r="EA6" s="54" t="s">
        <v>57</v>
      </c>
      <c r="EB6" s="54" t="s">
        <v>47</v>
      </c>
      <c r="EC6" s="54" t="s">
        <v>47</v>
      </c>
      <c r="ED6" s="54" t="s">
        <v>29</v>
      </c>
      <c r="EE6" s="54" t="s">
        <v>57</v>
      </c>
      <c r="EF6" s="33"/>
      <c r="EG6" s="55">
        <v>0</v>
      </c>
      <c r="EH6" s="55">
        <v>0</v>
      </c>
      <c r="EI6" s="55">
        <v>0</v>
      </c>
      <c r="EJ6" s="55">
        <v>0</v>
      </c>
      <c r="EK6" s="55">
        <v>0</v>
      </c>
      <c r="EL6" s="54" t="s">
        <v>46</v>
      </c>
      <c r="EM6" s="55">
        <v>0</v>
      </c>
      <c r="EN6" s="55">
        <v>0</v>
      </c>
      <c r="EO6" s="55">
        <v>0</v>
      </c>
      <c r="EP6" s="33"/>
      <c r="EQ6" s="55">
        <v>0</v>
      </c>
      <c r="ER6" s="55">
        <v>0</v>
      </c>
      <c r="ES6" s="53">
        <v>3200</v>
      </c>
      <c r="ET6" s="50"/>
      <c r="EU6" s="55">
        <v>0</v>
      </c>
      <c r="EV6" s="54" t="s">
        <v>46</v>
      </c>
      <c r="EW6" s="53">
        <v>3200</v>
      </c>
      <c r="EX6" s="55" t="b">
        <v>0</v>
      </c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</row>
    <row r="7" spans="1:168" ht="15.75" customHeight="1" x14ac:dyDescent="0.2">
      <c r="A7" s="33"/>
      <c r="B7" s="33"/>
      <c r="C7" s="54" t="s">
        <v>19</v>
      </c>
      <c r="D7" s="50">
        <v>-200</v>
      </c>
      <c r="E7" s="51" t="s">
        <v>18</v>
      </c>
      <c r="F7" s="51" t="s">
        <v>31</v>
      </c>
      <c r="G7" s="56">
        <v>20</v>
      </c>
      <c r="H7" s="51" t="s">
        <v>58</v>
      </c>
      <c r="I7" s="55">
        <v>0</v>
      </c>
      <c r="J7" s="55">
        <v>0</v>
      </c>
      <c r="K7" s="55">
        <v>0</v>
      </c>
      <c r="L7" s="55">
        <v>0</v>
      </c>
      <c r="M7" s="55">
        <v>0</v>
      </c>
      <c r="N7" s="53">
        <v>4000</v>
      </c>
      <c r="O7" s="54" t="s">
        <v>43</v>
      </c>
      <c r="P7" s="54" t="s">
        <v>47</v>
      </c>
      <c r="Q7" s="53">
        <v>4000</v>
      </c>
      <c r="R7" s="51" t="s">
        <v>48</v>
      </c>
      <c r="S7" s="54" t="s">
        <v>49</v>
      </c>
      <c r="T7" s="54" t="s">
        <v>33</v>
      </c>
      <c r="U7" s="54" t="s">
        <v>27</v>
      </c>
      <c r="V7" s="54" t="s">
        <v>42</v>
      </c>
      <c r="W7" s="54" t="s">
        <v>29</v>
      </c>
      <c r="X7" s="33"/>
      <c r="Y7" s="55">
        <v>1</v>
      </c>
      <c r="Z7" s="33"/>
      <c r="AA7" s="33"/>
      <c r="AB7" s="55">
        <v>0</v>
      </c>
      <c r="AC7" s="55">
        <v>0</v>
      </c>
      <c r="AD7" s="55">
        <v>0</v>
      </c>
      <c r="AE7" s="55">
        <v>0</v>
      </c>
      <c r="AF7" s="50">
        <v>-200</v>
      </c>
      <c r="AG7" s="55">
        <v>0</v>
      </c>
      <c r="AH7" s="55">
        <v>0</v>
      </c>
      <c r="AI7" s="55">
        <v>0</v>
      </c>
      <c r="AJ7" s="55">
        <v>0</v>
      </c>
      <c r="AK7" s="53">
        <v>4000</v>
      </c>
      <c r="AL7" s="55">
        <v>1</v>
      </c>
      <c r="AM7" s="55">
        <v>1</v>
      </c>
      <c r="AN7" s="51" t="s">
        <v>20</v>
      </c>
      <c r="AO7" s="33"/>
      <c r="AP7" s="51" t="s">
        <v>58</v>
      </c>
      <c r="AQ7" s="54" t="s">
        <v>19</v>
      </c>
      <c r="AR7" s="55">
        <v>0</v>
      </c>
      <c r="AS7" s="50">
        <v>-1</v>
      </c>
      <c r="AT7" s="33"/>
      <c r="AU7" s="33"/>
      <c r="AV7" s="33"/>
      <c r="AW7" s="53">
        <v>4000</v>
      </c>
      <c r="AX7" s="55">
        <v>0</v>
      </c>
      <c r="AY7" s="55">
        <v>0</v>
      </c>
      <c r="AZ7" s="55">
        <v>0</v>
      </c>
      <c r="BA7" s="50">
        <v>100</v>
      </c>
      <c r="BB7" s="33"/>
      <c r="BC7" s="55">
        <v>1</v>
      </c>
      <c r="BD7" s="53">
        <v>4000</v>
      </c>
      <c r="BE7" s="54" t="s">
        <v>33</v>
      </c>
      <c r="BF7" s="54" t="s">
        <v>59</v>
      </c>
      <c r="BG7" s="54" t="s">
        <v>60</v>
      </c>
      <c r="BH7" s="54" t="s">
        <v>47</v>
      </c>
      <c r="BI7" s="33"/>
      <c r="BJ7" s="55">
        <v>0</v>
      </c>
      <c r="BK7" s="55">
        <v>0</v>
      </c>
      <c r="BL7" s="55">
        <v>0</v>
      </c>
      <c r="BM7" s="55">
        <v>0</v>
      </c>
      <c r="BN7" s="33"/>
      <c r="BO7" s="53">
        <v>4000</v>
      </c>
      <c r="BP7" s="55">
        <v>0</v>
      </c>
      <c r="BQ7" s="54" t="s">
        <v>26</v>
      </c>
      <c r="BR7" s="54" t="s">
        <v>35</v>
      </c>
      <c r="BS7" s="55">
        <v>0</v>
      </c>
      <c r="BT7" s="55">
        <v>0</v>
      </c>
      <c r="BU7" s="54" t="s">
        <v>33</v>
      </c>
      <c r="BV7" s="33"/>
      <c r="BW7" s="55">
        <v>0</v>
      </c>
      <c r="BX7" s="55">
        <v>0</v>
      </c>
      <c r="BY7" s="55">
        <v>0</v>
      </c>
      <c r="BZ7" s="55">
        <v>0</v>
      </c>
      <c r="CA7" s="55">
        <v>0</v>
      </c>
      <c r="CB7" s="55"/>
      <c r="CC7" s="55">
        <v>0</v>
      </c>
      <c r="CD7" s="53">
        <v>4000</v>
      </c>
      <c r="CE7" s="55">
        <v>0</v>
      </c>
      <c r="CF7" s="55">
        <v>0</v>
      </c>
      <c r="CG7" s="53">
        <v>4000</v>
      </c>
      <c r="CH7" s="50">
        <v>100</v>
      </c>
      <c r="CI7" s="55">
        <v>0</v>
      </c>
      <c r="CJ7" s="55">
        <v>0</v>
      </c>
      <c r="CK7" s="55" t="b">
        <v>0</v>
      </c>
      <c r="CL7" s="33"/>
      <c r="CM7" s="33"/>
      <c r="CN7" s="33"/>
      <c r="CO7" s="33"/>
      <c r="CP7" s="33"/>
      <c r="CQ7" s="33"/>
      <c r="CR7" s="33"/>
      <c r="CS7" s="50">
        <v>20</v>
      </c>
      <c r="CT7" s="33"/>
      <c r="CU7" s="33"/>
      <c r="CV7" s="33"/>
      <c r="CW7" s="33"/>
      <c r="CX7" s="33"/>
      <c r="CY7" s="54" t="s">
        <v>53</v>
      </c>
      <c r="CZ7" s="54" t="s">
        <v>54</v>
      </c>
      <c r="DA7" s="55">
        <v>0</v>
      </c>
      <c r="DB7" s="55">
        <v>0</v>
      </c>
      <c r="DC7" s="55"/>
      <c r="DD7" s="50">
        <v>-200</v>
      </c>
      <c r="DE7" s="55">
        <v>0</v>
      </c>
      <c r="DF7" s="55">
        <v>0</v>
      </c>
      <c r="DG7" s="55">
        <v>0</v>
      </c>
      <c r="DH7" s="54" t="s">
        <v>47</v>
      </c>
      <c r="DI7" s="55">
        <v>0</v>
      </c>
      <c r="DJ7" s="51" t="s">
        <v>20</v>
      </c>
      <c r="DK7" s="55">
        <v>0</v>
      </c>
      <c r="DL7" s="55">
        <v>0</v>
      </c>
      <c r="DM7" s="55">
        <v>1</v>
      </c>
      <c r="DN7" s="55">
        <v>0</v>
      </c>
      <c r="DO7" s="33"/>
      <c r="DP7" s="33"/>
      <c r="DQ7" s="54" t="s">
        <v>61</v>
      </c>
      <c r="DR7" s="54" t="s">
        <v>62</v>
      </c>
      <c r="DS7" s="54" t="s">
        <v>61</v>
      </c>
      <c r="DT7" s="54" t="s">
        <v>61</v>
      </c>
      <c r="DU7" s="54" t="s">
        <v>63</v>
      </c>
      <c r="DV7" s="54" t="s">
        <v>61</v>
      </c>
      <c r="DW7" s="33"/>
      <c r="DX7" s="33"/>
      <c r="DY7" s="54" t="s">
        <v>61</v>
      </c>
      <c r="DZ7" s="54" t="s">
        <v>43</v>
      </c>
      <c r="EA7" s="54" t="s">
        <v>63</v>
      </c>
      <c r="EB7" s="54" t="s">
        <v>61</v>
      </c>
      <c r="EC7" s="54" t="s">
        <v>61</v>
      </c>
      <c r="ED7" s="54" t="s">
        <v>29</v>
      </c>
      <c r="EE7" s="54" t="s">
        <v>57</v>
      </c>
      <c r="EF7" s="33"/>
      <c r="EG7" s="55">
        <v>0</v>
      </c>
      <c r="EH7" s="55">
        <v>0</v>
      </c>
      <c r="EI7" s="55">
        <v>0</v>
      </c>
      <c r="EJ7" s="55">
        <v>0</v>
      </c>
      <c r="EK7" s="55">
        <v>0</v>
      </c>
      <c r="EL7" s="54" t="s">
        <v>46</v>
      </c>
      <c r="EM7" s="55">
        <v>0</v>
      </c>
      <c r="EN7" s="55">
        <v>0</v>
      </c>
      <c r="EO7" s="55">
        <v>0</v>
      </c>
      <c r="EP7" s="33"/>
      <c r="EQ7" s="55">
        <v>0</v>
      </c>
      <c r="ER7" s="55">
        <v>0</v>
      </c>
      <c r="ES7" s="53">
        <v>3200</v>
      </c>
      <c r="ET7" s="50"/>
      <c r="EU7" s="55">
        <v>0</v>
      </c>
      <c r="EV7" s="54" t="s">
        <v>46</v>
      </c>
      <c r="EW7" s="53">
        <v>3200</v>
      </c>
      <c r="EX7" s="55" t="b">
        <v>0</v>
      </c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</row>
    <row r="8" spans="1:168" ht="15.75" customHeight="1" x14ac:dyDescent="0.2">
      <c r="A8" s="28"/>
      <c r="B8" s="28"/>
      <c r="C8" s="49" t="s">
        <v>16</v>
      </c>
      <c r="D8" s="50">
        <v>20</v>
      </c>
      <c r="E8" s="51" t="s">
        <v>18</v>
      </c>
      <c r="F8" s="51" t="s">
        <v>31</v>
      </c>
      <c r="G8" s="52">
        <v>10</v>
      </c>
      <c r="H8" s="51" t="s">
        <v>46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3">
        <v>-200</v>
      </c>
      <c r="O8" s="49" t="s">
        <v>41</v>
      </c>
      <c r="P8" s="49" t="s">
        <v>47</v>
      </c>
      <c r="Q8" s="53">
        <v>-200</v>
      </c>
      <c r="R8" s="51" t="s">
        <v>48</v>
      </c>
      <c r="S8" s="49" t="s">
        <v>49</v>
      </c>
      <c r="T8" s="54" t="s">
        <v>33</v>
      </c>
      <c r="U8" s="54" t="s">
        <v>27</v>
      </c>
      <c r="V8" s="54" t="s">
        <v>42</v>
      </c>
      <c r="W8" s="54" t="s">
        <v>29</v>
      </c>
      <c r="X8" s="33"/>
      <c r="Y8" s="55">
        <v>1</v>
      </c>
      <c r="Z8" s="33"/>
      <c r="AA8" s="33"/>
      <c r="AB8" s="55">
        <v>0</v>
      </c>
      <c r="AC8" s="55">
        <v>0</v>
      </c>
      <c r="AD8" s="55">
        <v>0</v>
      </c>
      <c r="AE8" s="55">
        <v>0</v>
      </c>
      <c r="AF8" s="50">
        <v>20</v>
      </c>
      <c r="AG8" s="55">
        <v>0</v>
      </c>
      <c r="AH8" s="55">
        <v>0</v>
      </c>
      <c r="AI8" s="55">
        <v>0</v>
      </c>
      <c r="AJ8" s="55">
        <v>0</v>
      </c>
      <c r="AK8" s="53">
        <v>-200</v>
      </c>
      <c r="AL8" s="55">
        <v>1</v>
      </c>
      <c r="AM8" s="55">
        <v>1</v>
      </c>
      <c r="AN8" s="51" t="s">
        <v>17</v>
      </c>
      <c r="AO8" s="33"/>
      <c r="AP8" s="51" t="s">
        <v>46</v>
      </c>
      <c r="AQ8" s="54" t="s">
        <v>16</v>
      </c>
      <c r="AR8" s="55">
        <v>0</v>
      </c>
      <c r="AS8" s="50">
        <v>1</v>
      </c>
      <c r="AT8" s="33"/>
      <c r="AU8" s="33"/>
      <c r="AV8" s="33"/>
      <c r="AW8" s="53">
        <v>-200</v>
      </c>
      <c r="AX8" s="55">
        <v>0</v>
      </c>
      <c r="AY8" s="55">
        <v>0</v>
      </c>
      <c r="AZ8" s="55">
        <v>0</v>
      </c>
      <c r="BA8" s="50">
        <v>-100</v>
      </c>
      <c r="BB8" s="33"/>
      <c r="BC8" s="55">
        <v>1</v>
      </c>
      <c r="BD8" s="53">
        <v>-200</v>
      </c>
      <c r="BE8" s="54" t="s">
        <v>33</v>
      </c>
      <c r="BF8" s="54" t="s">
        <v>50</v>
      </c>
      <c r="BG8" s="54" t="s">
        <v>51</v>
      </c>
      <c r="BH8" s="54" t="s">
        <v>52</v>
      </c>
      <c r="BI8" s="33"/>
      <c r="BJ8" s="55">
        <v>0</v>
      </c>
      <c r="BK8" s="55">
        <v>0</v>
      </c>
      <c r="BL8" s="55">
        <v>0</v>
      </c>
      <c r="BM8" s="55">
        <v>0</v>
      </c>
      <c r="BN8" s="33"/>
      <c r="BO8" s="53">
        <v>-200</v>
      </c>
      <c r="BP8" s="55">
        <v>0</v>
      </c>
      <c r="BQ8" s="54" t="s">
        <v>26</v>
      </c>
      <c r="BR8" s="54" t="s">
        <v>35</v>
      </c>
      <c r="BS8" s="55">
        <v>0</v>
      </c>
      <c r="BT8" s="55">
        <v>0</v>
      </c>
      <c r="BU8" s="54" t="s">
        <v>33</v>
      </c>
      <c r="BV8" s="33"/>
      <c r="BW8" s="55">
        <v>0</v>
      </c>
      <c r="BX8" s="55">
        <v>0</v>
      </c>
      <c r="BY8" s="55">
        <v>0</v>
      </c>
      <c r="BZ8" s="55">
        <v>0</v>
      </c>
      <c r="CA8" s="55">
        <v>0</v>
      </c>
      <c r="CB8" s="55"/>
      <c r="CC8" s="55">
        <v>0</v>
      </c>
      <c r="CD8" s="53">
        <v>-200</v>
      </c>
      <c r="CE8" s="55">
        <v>0</v>
      </c>
      <c r="CF8" s="55">
        <v>0</v>
      </c>
      <c r="CG8" s="53">
        <v>-200</v>
      </c>
      <c r="CH8" s="50">
        <v>-100</v>
      </c>
      <c r="CI8" s="55">
        <v>0</v>
      </c>
      <c r="CJ8" s="55">
        <v>0</v>
      </c>
      <c r="CK8" s="55" t="b">
        <v>0</v>
      </c>
      <c r="CL8" s="33"/>
      <c r="CM8" s="33"/>
      <c r="CN8" s="33"/>
      <c r="CO8" s="33"/>
      <c r="CP8" s="33"/>
      <c r="CQ8" s="33"/>
      <c r="CR8" s="33"/>
      <c r="CS8" s="50">
        <v>10</v>
      </c>
      <c r="CT8" s="33"/>
      <c r="CU8" s="33"/>
      <c r="CV8" s="33"/>
      <c r="CW8" s="33"/>
      <c r="CX8" s="33"/>
      <c r="CY8" s="54" t="s">
        <v>53</v>
      </c>
      <c r="CZ8" s="54" t="s">
        <v>54</v>
      </c>
      <c r="DA8" s="55">
        <v>0</v>
      </c>
      <c r="DB8" s="55">
        <v>0</v>
      </c>
      <c r="DC8" s="55"/>
      <c r="DD8" s="50">
        <v>20</v>
      </c>
      <c r="DE8" s="55">
        <v>0</v>
      </c>
      <c r="DF8" s="55">
        <v>0</v>
      </c>
      <c r="DG8" s="55">
        <v>0</v>
      </c>
      <c r="DH8" s="54" t="s">
        <v>47</v>
      </c>
      <c r="DI8" s="55">
        <v>0</v>
      </c>
      <c r="DJ8" s="51" t="s">
        <v>17</v>
      </c>
      <c r="DK8" s="55">
        <v>0</v>
      </c>
      <c r="DL8" s="55">
        <v>0</v>
      </c>
      <c r="DM8" s="55">
        <v>1</v>
      </c>
      <c r="DN8" s="55">
        <v>0</v>
      </c>
      <c r="DO8" s="33"/>
      <c r="DP8" s="33"/>
      <c r="DQ8" s="54" t="s">
        <v>47</v>
      </c>
      <c r="DR8" s="54" t="s">
        <v>55</v>
      </c>
      <c r="DS8" s="54" t="s">
        <v>56</v>
      </c>
      <c r="DT8" s="54" t="s">
        <v>47</v>
      </c>
      <c r="DU8" s="54" t="s">
        <v>47</v>
      </c>
      <c r="DV8" s="54" t="s">
        <v>47</v>
      </c>
      <c r="DW8" s="33"/>
      <c r="DX8" s="33"/>
      <c r="DY8" s="54" t="s">
        <v>47</v>
      </c>
      <c r="DZ8" s="54" t="s">
        <v>41</v>
      </c>
      <c r="EA8" s="54" t="s">
        <v>57</v>
      </c>
      <c r="EB8" s="54" t="s">
        <v>47</v>
      </c>
      <c r="EC8" s="54" t="s">
        <v>47</v>
      </c>
      <c r="ED8" s="54" t="s">
        <v>29</v>
      </c>
      <c r="EE8" s="54" t="s">
        <v>57</v>
      </c>
      <c r="EF8" s="33"/>
      <c r="EG8" s="55">
        <v>0</v>
      </c>
      <c r="EH8" s="55">
        <v>0</v>
      </c>
      <c r="EI8" s="55">
        <v>0</v>
      </c>
      <c r="EJ8" s="55">
        <v>0</v>
      </c>
      <c r="EK8" s="55">
        <v>0</v>
      </c>
      <c r="EL8" s="54" t="s">
        <v>46</v>
      </c>
      <c r="EM8" s="55">
        <v>0</v>
      </c>
      <c r="EN8" s="55">
        <v>0</v>
      </c>
      <c r="EO8" s="55">
        <v>0</v>
      </c>
      <c r="EP8" s="33"/>
      <c r="EQ8" s="55">
        <v>0</v>
      </c>
      <c r="ER8" s="55">
        <v>0</v>
      </c>
      <c r="ES8" s="53">
        <v>3200</v>
      </c>
      <c r="ET8" s="50"/>
      <c r="EU8" s="55">
        <v>0</v>
      </c>
      <c r="EV8" s="54" t="s">
        <v>46</v>
      </c>
      <c r="EW8" s="53">
        <v>3200</v>
      </c>
      <c r="EX8" s="55" t="b">
        <v>0</v>
      </c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</row>
    <row r="9" spans="1:168" ht="15.75" customHeight="1" x14ac:dyDescent="0.2">
      <c r="A9" s="33"/>
      <c r="B9" s="33"/>
      <c r="C9" s="54" t="s">
        <v>19</v>
      </c>
      <c r="D9" s="50">
        <v>-20</v>
      </c>
      <c r="E9" s="51" t="s">
        <v>18</v>
      </c>
      <c r="F9" s="51" t="s">
        <v>31</v>
      </c>
      <c r="G9" s="56">
        <v>20</v>
      </c>
      <c r="H9" s="51" t="s">
        <v>58</v>
      </c>
      <c r="I9" s="55">
        <v>0</v>
      </c>
      <c r="J9" s="55">
        <v>0</v>
      </c>
      <c r="K9" s="55">
        <v>0</v>
      </c>
      <c r="L9" s="55">
        <v>0</v>
      </c>
      <c r="M9" s="55">
        <v>0</v>
      </c>
      <c r="N9" s="53">
        <v>400</v>
      </c>
      <c r="O9" s="54" t="s">
        <v>43</v>
      </c>
      <c r="P9" s="54" t="s">
        <v>47</v>
      </c>
      <c r="Q9" s="53">
        <v>400</v>
      </c>
      <c r="R9" s="51" t="s">
        <v>48</v>
      </c>
      <c r="S9" s="54" t="s">
        <v>49</v>
      </c>
      <c r="T9" s="54" t="s">
        <v>33</v>
      </c>
      <c r="U9" s="54" t="s">
        <v>27</v>
      </c>
      <c r="V9" s="54" t="s">
        <v>42</v>
      </c>
      <c r="W9" s="54" t="s">
        <v>29</v>
      </c>
      <c r="X9" s="33"/>
      <c r="Y9" s="55">
        <v>1</v>
      </c>
      <c r="Z9" s="33"/>
      <c r="AA9" s="33"/>
      <c r="AB9" s="55">
        <v>0</v>
      </c>
      <c r="AC9" s="55">
        <v>0</v>
      </c>
      <c r="AD9" s="55">
        <v>0</v>
      </c>
      <c r="AE9" s="55">
        <v>0</v>
      </c>
      <c r="AF9" s="50">
        <v>-20</v>
      </c>
      <c r="AG9" s="55">
        <v>0</v>
      </c>
      <c r="AH9" s="55">
        <v>0</v>
      </c>
      <c r="AI9" s="55">
        <v>0</v>
      </c>
      <c r="AJ9" s="55">
        <v>0</v>
      </c>
      <c r="AK9" s="53">
        <v>400</v>
      </c>
      <c r="AL9" s="55">
        <v>1</v>
      </c>
      <c r="AM9" s="55">
        <v>1</v>
      </c>
      <c r="AN9" s="51" t="s">
        <v>20</v>
      </c>
      <c r="AO9" s="33"/>
      <c r="AP9" s="51" t="s">
        <v>58</v>
      </c>
      <c r="AQ9" s="54" t="s">
        <v>19</v>
      </c>
      <c r="AR9" s="55">
        <v>0</v>
      </c>
      <c r="AS9" s="50">
        <v>-1</v>
      </c>
      <c r="AT9" s="33"/>
      <c r="AU9" s="33"/>
      <c r="AV9" s="33"/>
      <c r="AW9" s="53">
        <v>400</v>
      </c>
      <c r="AX9" s="55">
        <v>0</v>
      </c>
      <c r="AY9" s="55">
        <v>0</v>
      </c>
      <c r="AZ9" s="55">
        <v>0</v>
      </c>
      <c r="BA9" s="50">
        <v>100</v>
      </c>
      <c r="BB9" s="33"/>
      <c r="BC9" s="55">
        <v>1</v>
      </c>
      <c r="BD9" s="53">
        <v>400</v>
      </c>
      <c r="BE9" s="54" t="s">
        <v>33</v>
      </c>
      <c r="BF9" s="54" t="s">
        <v>59</v>
      </c>
      <c r="BG9" s="54" t="s">
        <v>60</v>
      </c>
      <c r="BH9" s="54" t="s">
        <v>47</v>
      </c>
      <c r="BI9" s="33"/>
      <c r="BJ9" s="55">
        <v>0</v>
      </c>
      <c r="BK9" s="55">
        <v>0</v>
      </c>
      <c r="BL9" s="55">
        <v>0</v>
      </c>
      <c r="BM9" s="55">
        <v>0</v>
      </c>
      <c r="BN9" s="33"/>
      <c r="BO9" s="53">
        <v>400</v>
      </c>
      <c r="BP9" s="55">
        <v>0</v>
      </c>
      <c r="BQ9" s="54" t="s">
        <v>26</v>
      </c>
      <c r="BR9" s="54" t="s">
        <v>35</v>
      </c>
      <c r="BS9" s="55">
        <v>0</v>
      </c>
      <c r="BT9" s="55">
        <v>0</v>
      </c>
      <c r="BU9" s="54" t="s">
        <v>33</v>
      </c>
      <c r="BV9" s="33"/>
      <c r="BW9" s="55">
        <v>0</v>
      </c>
      <c r="BX9" s="55">
        <v>0</v>
      </c>
      <c r="BY9" s="55">
        <v>0</v>
      </c>
      <c r="BZ9" s="55">
        <v>0</v>
      </c>
      <c r="CA9" s="55">
        <v>0</v>
      </c>
      <c r="CB9" s="55"/>
      <c r="CC9" s="55">
        <v>0</v>
      </c>
      <c r="CD9" s="53">
        <v>400</v>
      </c>
      <c r="CE9" s="55">
        <v>0</v>
      </c>
      <c r="CF9" s="55">
        <v>0</v>
      </c>
      <c r="CG9" s="53">
        <v>400</v>
      </c>
      <c r="CH9" s="50">
        <v>100</v>
      </c>
      <c r="CI9" s="55">
        <v>0</v>
      </c>
      <c r="CJ9" s="55">
        <v>0</v>
      </c>
      <c r="CK9" s="55" t="b">
        <v>0</v>
      </c>
      <c r="CL9" s="33"/>
      <c r="CM9" s="33"/>
      <c r="CN9" s="33"/>
      <c r="CO9" s="33"/>
      <c r="CP9" s="33"/>
      <c r="CQ9" s="33"/>
      <c r="CR9" s="33"/>
      <c r="CS9" s="50">
        <v>20</v>
      </c>
      <c r="CT9" s="33"/>
      <c r="CU9" s="33"/>
      <c r="CV9" s="33"/>
      <c r="CW9" s="33"/>
      <c r="CX9" s="33"/>
      <c r="CY9" s="54" t="s">
        <v>53</v>
      </c>
      <c r="CZ9" s="54" t="s">
        <v>54</v>
      </c>
      <c r="DA9" s="55">
        <v>0</v>
      </c>
      <c r="DB9" s="55">
        <v>0</v>
      </c>
      <c r="DC9" s="55"/>
      <c r="DD9" s="50">
        <v>-20</v>
      </c>
      <c r="DE9" s="55">
        <v>0</v>
      </c>
      <c r="DF9" s="55">
        <v>0</v>
      </c>
      <c r="DG9" s="55">
        <v>0</v>
      </c>
      <c r="DH9" s="54" t="s">
        <v>47</v>
      </c>
      <c r="DI9" s="55">
        <v>0</v>
      </c>
      <c r="DJ9" s="51" t="s">
        <v>20</v>
      </c>
      <c r="DK9" s="55">
        <v>0</v>
      </c>
      <c r="DL9" s="55">
        <v>0</v>
      </c>
      <c r="DM9" s="55">
        <v>1</v>
      </c>
      <c r="DN9" s="55">
        <v>0</v>
      </c>
      <c r="DO9" s="33"/>
      <c r="DP9" s="33"/>
      <c r="DQ9" s="54" t="s">
        <v>61</v>
      </c>
      <c r="DR9" s="54" t="s">
        <v>62</v>
      </c>
      <c r="DS9" s="54" t="s">
        <v>61</v>
      </c>
      <c r="DT9" s="54" t="s">
        <v>61</v>
      </c>
      <c r="DU9" s="54" t="s">
        <v>63</v>
      </c>
      <c r="DV9" s="54" t="s">
        <v>61</v>
      </c>
      <c r="DW9" s="33"/>
      <c r="DX9" s="33"/>
      <c r="DY9" s="54" t="s">
        <v>61</v>
      </c>
      <c r="DZ9" s="54" t="s">
        <v>43</v>
      </c>
      <c r="EA9" s="54" t="s">
        <v>63</v>
      </c>
      <c r="EB9" s="54" t="s">
        <v>61</v>
      </c>
      <c r="EC9" s="54" t="s">
        <v>61</v>
      </c>
      <c r="ED9" s="54" t="s">
        <v>29</v>
      </c>
      <c r="EE9" s="54" t="s">
        <v>57</v>
      </c>
      <c r="EF9" s="33"/>
      <c r="EG9" s="55">
        <v>0</v>
      </c>
      <c r="EH9" s="55">
        <v>0</v>
      </c>
      <c r="EI9" s="55">
        <v>0</v>
      </c>
      <c r="EJ9" s="55">
        <v>0</v>
      </c>
      <c r="EK9" s="55">
        <v>0</v>
      </c>
      <c r="EL9" s="54" t="s">
        <v>46</v>
      </c>
      <c r="EM9" s="55">
        <v>0</v>
      </c>
      <c r="EN9" s="55">
        <v>0</v>
      </c>
      <c r="EO9" s="55">
        <v>0</v>
      </c>
      <c r="EP9" s="33"/>
      <c r="EQ9" s="55">
        <v>0</v>
      </c>
      <c r="ER9" s="55">
        <v>0</v>
      </c>
      <c r="ES9" s="53">
        <v>3200</v>
      </c>
      <c r="ET9" s="50"/>
      <c r="EU9" s="55">
        <v>0</v>
      </c>
      <c r="EV9" s="54" t="s">
        <v>46</v>
      </c>
      <c r="EW9" s="53">
        <v>3200</v>
      </c>
      <c r="EX9" s="55" t="b">
        <v>0</v>
      </c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CreateDoneAwayOrder</vt:lpstr>
      <vt:lpstr>IncreasePositionFromPM</vt:lpstr>
      <vt:lpstr>CreateDoneAwayOrder1</vt:lpstr>
      <vt:lpstr>IncreasePositionFromPM1</vt:lpstr>
      <vt:lpstr>CreateDoneAwayOrder2</vt:lpstr>
      <vt:lpstr>VerifyOrder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2021-08-04T14:11:26Z</dcterms:modified>
</cp:coreProperties>
</file>