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EnterAccountValuesToAllocate" sheetId="9" r:id="rId11"/>
    <sheet state="visible" name="CheckPortfolioManagement" sheetId="10" r:id="rId12"/>
    <sheet state="visible" name="GetAccountBalance" sheetId="11" r:id="rId13"/>
    <sheet state="visible" name="VerifyAccountBalances" sheetId="12" r:id="rId14"/>
    <sheet state="visible" name="CheckAllocatedGroups" sheetId="13" r:id="rId15"/>
    <sheet state="visible" name="GroupTrades1" sheetId="14" r:id="rId16"/>
    <sheet state="visible" name="SelectUnallocatedGroup1" sheetId="15" r:id="rId17"/>
  </sheets>
  <calcPr fullCalcOnLoad="1" fullPrecision="1"/>
</workbook>
</file>

<file path=xl/sharedStrings.xml><?xml version="1.0" encoding="utf-8"?>
<sst xmlns="http://schemas.openxmlformats.org/spreadsheetml/2006/main" count="174" uniqueCount="174">
  <si>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</si>
  <si>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</si>
  <si>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</si>
  <si>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</si>
  <si>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</si>
  <si>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</si>
  <si>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</si>
  <si>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</si>
  <si>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</si>
  <si>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</si>
  <si>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</si>
  <si>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</si>
  <si>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</si>
  <si>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</si>
  <si>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</si>
  <si>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</si>
  <si>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</si>
  <si>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 short</t>
  </si>
  <si>
    <t>Unallocated</t>
  </si>
  <si>
    <t>Market</t>
  </si>
  <si>
    <t>Sell</t>
  </si>
  <si>
    <t>Allocation</t>
  </si>
  <si>
    <t>GroupTrades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</si>
  <si>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</si>
  <si>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</si>
  <si>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</si>
  <si>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</si>
  <si>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</si>
  <si>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</si>
  <si>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</si>
  <si>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</si>
  <si>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</si>
  <si>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</si>
  <si>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</si>
  <si>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</si>
  <si>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</si>
  <si>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</si>
  <si>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</si>
  <si>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</si>
  <si>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</si>
  <si>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</si>
  <si>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</si>
  <si>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SelectUnallocatedGroup</t>
  </si>
  <si>
    <t>MS</t>
  </si>
  <si>
    <t>Equity</t>
  </si>
  <si>
    <t>EditUnallocatedGroupSidePanel</t>
  </si>
  <si>
    <t>EnterAccountValuesToAllocate</t>
  </si>
  <si>
    <t>Allocation1</t>
  </si>
  <si>
    <t>PortfolioManagement</t>
  </si>
  <si>
    <t>CheckPortfolioManagement</t>
  </si>
  <si>
    <t/>
  </si>
  <si>
    <t>NewMF</t>
  </si>
  <si>
    <t>Short</t>
  </si>
  <si>
    <t>MICROSOFT INC</t>
  </si>
  <si>
    <t>US</t>
  </si>
  <si>
    <t>NASDAQ</t>
  </si>
  <si>
    <t>USD</t>
  </si>
  <si>
    <t>Long</t>
  </si>
  <si>
    <t>BrokerNotes</t>
  </si>
  <si>
    <t>Copper</t>
  </si>
  <si>
    <t>jpearce</t>
  </si>
  <si>
    <t>GeneralLedger</t>
  </si>
  <si>
    <t>GetAccountBalance</t>
  </si>
  <si>
    <t>VerifyAccountBalances</t>
  </si>
  <si>
    <t>Investment - Long Equity</t>
  </si>
  <si>
    <t>Trade Transaction</t>
  </si>
  <si>
    <t>Cash</t>
  </si>
  <si>
    <t>Equity UnRealized Profit And Loss</t>
  </si>
  <si>
    <t>Income</t>
  </si>
  <si>
    <t>Equity Long Revaluation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</si>
  <si>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</si>
  <si>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</si>
  <si>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</si>
  <si>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</si>
  <si>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</si>
  <si>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</si>
  <si>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</si>
  <si>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</si>
  <si>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</si>
  <si>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</si>
  <si>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</si>
  <si>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</si>
  <si>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</si>
  <si>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</si>
  <si>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</si>
  <si>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</si>
  <si>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</si>
  <si>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</si>
  <si>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</si>
  <si>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</si>
  <si>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</si>
  <si>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</si>
  <si>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</si>
  <si>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</si>
  <si>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</si>
  <si>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</si>
  <si>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</si>
  <si>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</si>
  <si>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</si>
  <si>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</si>
  <si>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</si>
  <si>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</si>
  <si>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</si>
  <si>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</si>
  <si>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</si>
  <si>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</si>
  <si>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</si>
  <si>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</si>
  <si>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</si>
  <si>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</si>
  <si>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</si>
  <si>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</si>
  <si>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</si>
  <si>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</si>
  <si>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</si>
  <si>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</si>
  <si>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</si>
  <si>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</si>
  <si>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</si>
  <si>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</si>
  <si>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</si>
  <si>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</si>
  <si>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</si>
  <si>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</si>
  <si>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</si>
  <si>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</si>
  <si>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</si>
  <si>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</si>
  <si>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</si>
  <si>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</si>
  <si>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</si>
  <si>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</si>
  <si>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</si>
  <si>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</si>
  <si>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</si>
  <si>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</si>
  <si>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</si>
  <si>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</si>
  <si>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</si>
  <si>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</si>
  <si>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</si>
  <si>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</si>
  <si>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</si>
  <si>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</si>
  <si>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</si>
  <si>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</si>
  <si>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</si>
  <si>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</si>
  <si>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</si>
  <si>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</si>
  <si>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</si>
  <si>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</si>
  <si>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</si>
  <si>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</si>
  <si>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</si>
  <si>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</si>
  <si>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</si>
  <si>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</si>
  <si>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</si>
  <si>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</si>
  <si>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</si>
  <si>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</si>
  <si>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</si>
  <si>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</si>
  <si>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</si>
  <si>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</si>
  <si>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</si>
  <si>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</si>
  <si>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</si>
  <si>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</si>
  <si>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</si>
  <si>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>MSFT US EQUITY</t>
  </si>
  <si>
    <t>None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</si>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</sst>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14" applyFont="1" fillId="6" applyFill="1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5" applyBorder="1" xfId="0" applyAlignment="1"/>
    <xf numFmtId="164" applyNumberFormat="1" fontId="5" applyFont="1" fillId="0" borderId="6" applyBorder="1" xfId="0" applyAlignment="1">
      <alignment horizontal="right"/>
    </xf>
    <xf numFmtId="0" fontId="5" applyFont="1" fillId="0" borderId="6" applyBorder="1" xfId="0" applyAlignment="1">
      <alignment horizontal="center"/>
    </xf>
    <xf numFmtId="0" fontId="3" applyFont="1" fillId="0" borderId="6" applyBorder="1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  <c r="D127" s="0">
        <f>IFERROR(__xludf.DUMMYFUNCTION("""COMPUTED_VALUE"""),2.0)</f>
        <v>2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  <c r="D129" s="0">
        <f>IFERROR(__xludf.DUMMYFUNCTION("""COMPUTED_VALUE"""),1.0)</f>
        <v>1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  <c r="D138" s="0">
        <f>IFERROR(__xludf.DUMMYFUNCTION("""COMPUTED_VALUE"""),2.0)</f>
        <v>2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  <c r="D512" s="0" t="str">
        <f>IFERROR(__xludf.DUMMYFUNCTION("""COMPUTED_VALUE"""),"yes")</f>
        <v>yes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  <c r="D521" s="0" t="str">
        <f>IFERROR(__xludf.DUMMYFUNCTION("""COMPUTED_VALUE"""),"Input")</f>
        <v>Input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IFERROR(__xludf.DUMMYFUNCTION("""COMPUTED_VALUE"""),"1quv-mE6eJ-fIc80A1uTeO8ix7AN-iGUbKPfjMut6XGw")</f>
        <v>1quv-mE6eJ-fIc80A1uTeO8ix7AN-iGUbKPfjMut6XGw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>
      <c r="A648" s="0" t="str">
        <f>IFERROR(__xludf.DUMMYFUNCTION("""COMPUTED_VALUE"""),"PranaClient")</f>
        <v>PranaClient</v>
      </c>
      <c r="B648" s="0" t="str">
        <f>IFERROR(__xludf.DUMMYFUNCTION("""COMPUTED_VALUE"""),"Action")</f>
        <v>Action</v>
      </c>
      <c r="C648" s="0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120</v>
      </c>
      <c r="E6" s="31"/>
      <c r="F6" s="31" t="s">
        <v>18</v>
      </c>
      <c r="G6" s="31"/>
      <c r="H6" s="31"/>
      <c r="I6" s="31" t="s">
        <v>19</v>
      </c>
      <c r="J6" s="33">
        <v>10</v>
      </c>
      <c r="K6" s="31"/>
      <c r="L6" s="31"/>
      <c r="M6" s="31"/>
      <c r="N6" s="34">
        <f ref="N6:N8" t="shared" si="1">TODAY()</f>
        <v>45855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2" t="s">
        <v>17</v>
      </c>
      <c r="D7" s="33">
        <v>80</v>
      </c>
      <c r="E7" s="31"/>
      <c r="F7" s="31" t="s">
        <v>18</v>
      </c>
      <c r="G7" s="31"/>
      <c r="H7" s="31"/>
      <c r="I7" s="31" t="s">
        <v>19</v>
      </c>
      <c r="J7" s="33">
        <v>10</v>
      </c>
      <c r="K7" s="31"/>
      <c r="L7" s="31"/>
      <c r="M7" s="31"/>
      <c r="N7" s="34">
        <f t="shared" si="1"/>
        <v>45855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2" t="s">
        <v>20</v>
      </c>
      <c r="D8" s="33">
        <v>100</v>
      </c>
      <c r="E8" s="31"/>
      <c r="F8" s="31" t="s">
        <v>18</v>
      </c>
      <c r="G8" s="31"/>
      <c r="H8" s="31"/>
      <c r="I8" s="31" t="s">
        <v>19</v>
      </c>
      <c r="J8" s="33">
        <v>10</v>
      </c>
      <c r="K8" s="31"/>
      <c r="L8" s="31"/>
      <c r="M8" s="31"/>
      <c r="N8" s="34">
        <f t="shared" si="1"/>
        <v>45855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D65B6AF-91A8-4214-BB0D-B8F0178941B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5ED2DE2-0258-482C-AAAE-49331D9D905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4D98C60-3365-4AE7-8071-9B334166D46C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2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66095A3-7171-45D6-B9C0-8EC86E165CD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8B4EC10-F18D-4B0D-AF7B-DEE47EFF18A7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3731F350-2C82-4AFD-BC9E-266417610904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40</v>
      </c>
    </row>
    <row r="6" ht="15.75" customHeight="1">
      <c r="A6" s="8"/>
      <c r="B6" s="13" t="s">
        <v>41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82CF4E4-4EE7-4364-A3AC-B6036D2F99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943CB8-13E3-4E48-9902-D23F3AE7466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2C8D04A-BEA1-473A-A2AF-87B52840897A}">
          <x14:formula1>
            <xm:f>GetDataAllocation!$4:$4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</v>
      </c>
      <c r="E6" s="33">
        <v>200</v>
      </c>
      <c r="F6" s="31"/>
      <c r="G6" s="31"/>
      <c r="H6" s="31"/>
      <c r="I6" s="31"/>
      <c r="J6" s="31"/>
      <c r="K6" s="31"/>
      <c r="L6" s="31"/>
      <c r="M6" s="31"/>
      <c r="N6" s="33">
        <v>10</v>
      </c>
      <c r="O6" s="33">
        <v>10</v>
      </c>
      <c r="P6" s="31" t="s">
        <v>43</v>
      </c>
      <c r="Q6" s="36">
        <v>1</v>
      </c>
      <c r="R6" s="31"/>
      <c r="S6" s="31"/>
      <c r="T6" s="31"/>
      <c r="U6" s="31" t="s">
        <v>44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5B64516-E226-4039-99D1-B5D59927C16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7C24B16-4BB1-4C5B-8713-39F466962952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9243B354-410F-4451-A1E0-80AC4E37680A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915EF70-E2C7-401A-AB74-ABC7A0CEF1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4C67200-3A1B-41F1-9DEC-E9A186EDD7D2}">
          <x14:formula1>
            <xm:f>EditUnallocatedGroupSidePanel!$4:$4</xm:f>
          </x14:formula1>
          <xm:sqref>E3</xm:sqref>
        </x14:dataValidation>
        <x14:dataValidation type="list" allowBlank="1" showInputMessage="1" showErrorMessage="1" prompt="Choose an available module" xr:uid="{CAB208A2-CE67-42EB-884F-222A55638F7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47</v>
      </c>
      <c r="C6" s="33">
        <v>100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41EBB4-80D5-44A8-B962-E117ACC58FB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A27F277-1B58-4C6E-AD24-3FA5F8C573F6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AD521F56-1239-4BCE-9556-590CDFC8F9F9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J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50</v>
      </c>
      <c r="B6" s="8"/>
      <c r="C6" s="8" t="s">
        <v>16</v>
      </c>
      <c r="D6" s="8">
        <v>-300</v>
      </c>
      <c r="E6" s="8" t="s">
        <v>47</v>
      </c>
      <c r="F6" s="8" t="s">
        <v>51</v>
      </c>
      <c r="G6" s="8">
        <v>10</v>
      </c>
      <c r="H6" s="8" t="s">
        <v>52</v>
      </c>
      <c r="I6" s="8"/>
      <c r="J6" s="8"/>
      <c r="K6" s="8"/>
      <c r="L6" s="8"/>
      <c r="M6" s="8"/>
      <c r="N6" s="8"/>
      <c r="O6" s="8" t="s">
        <v>53</v>
      </c>
      <c r="T6" s="0" t="s">
        <v>44</v>
      </c>
      <c r="U6" s="0" t="s">
        <v>54</v>
      </c>
      <c r="V6" s="0" t="s">
        <v>55</v>
      </c>
      <c r="W6" s="0" t="s">
        <v>56</v>
      </c>
      <c r="X6" s="0">
        <v>1</v>
      </c>
      <c r="Y6" s="0">
        <v>1</v>
      </c>
      <c r="AN6" s="0" t="s">
        <v>20</v>
      </c>
      <c r="AP6" s="0" t="s">
        <v>57</v>
      </c>
      <c r="AQ6" s="0" t="s">
        <v>16</v>
      </c>
      <c r="AT6" s="0" t="s">
        <v>58</v>
      </c>
      <c r="AU6" s="0" t="s">
        <v>58</v>
      </c>
      <c r="BH6" s="0" t="s">
        <v>59</v>
      </c>
      <c r="BQ6" s="0" t="s">
        <v>60</v>
      </c>
      <c r="BR6" s="0" t="s">
        <v>43</v>
      </c>
      <c r="FO6" s="0" t="s">
        <v>50</v>
      </c>
      <c r="FP6" s="0" t="s">
        <v>50</v>
      </c>
      <c r="FQ6" s="0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5D0309-638D-43D2-B4C1-E0E6664402C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DBB437C-6646-422E-905A-DA7BCA51B7A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940DF1A-4044-486E-BD0C-66E2417A1BC4}">
          <x14:formula1>
            <xm:f>CheckPortfolioManagement!$4:$4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/>
      <c r="C6" s="35" t="s">
        <v>47</v>
      </c>
      <c r="D6" s="38">
        <f>TODAY()</f>
        <v>45855</v>
      </c>
      <c r="E6" s="39" t="b">
        <v>1</v>
      </c>
      <c r="F6" s="4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6C4BBE-4AFB-4AAA-8D29-0910486F7B9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CCDC58-6DAE-46C1-8C7A-B966D1FCBABC}">
          <x14:formula1>
            <xm:f>GetAccountBalance!$4:$4</xm:f>
          </x14:formula1>
          <xm:sqref>E3</xm:sqref>
        </x14:dataValidation>
        <x14:dataValidation type="list" allowBlank="1" showInputMessage="1" showErrorMessage="1" prompt="Choose an available module" xr:uid="{0BD6874C-9F41-4462-96FF-5D278D5CB039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47</v>
      </c>
      <c r="C6" s="13" t="s">
        <v>64</v>
      </c>
      <c r="D6" s="13" t="s">
        <v>29</v>
      </c>
      <c r="E6" s="13" t="s">
        <v>65</v>
      </c>
      <c r="F6" s="13" t="s">
        <v>56</v>
      </c>
      <c r="G6" s="13">
        <v>0</v>
      </c>
      <c r="H6" s="13">
        <v>2985.9983</v>
      </c>
      <c r="I6" s="13">
        <v>0</v>
      </c>
      <c r="J6" s="13">
        <v>2985.9983</v>
      </c>
      <c r="K6" s="8"/>
      <c r="L6" s="8"/>
      <c r="M6" s="8"/>
      <c r="N6" s="8"/>
      <c r="O6" s="8"/>
    </row>
    <row r="7" ht="15.75" customHeight="1">
      <c r="A7" s="8"/>
      <c r="B7" s="13" t="s">
        <v>47</v>
      </c>
      <c r="C7" s="13" t="s">
        <v>66</v>
      </c>
      <c r="D7" s="13" t="s">
        <v>66</v>
      </c>
      <c r="E7" s="13" t="s">
        <v>66</v>
      </c>
      <c r="F7" s="13" t="s">
        <v>56</v>
      </c>
      <c r="G7" s="13">
        <v>2985.9983</v>
      </c>
      <c r="H7" s="13">
        <v>0</v>
      </c>
      <c r="I7" s="13">
        <v>2985.9983</v>
      </c>
      <c r="J7" s="13">
        <v>0</v>
      </c>
      <c r="K7" s="8"/>
      <c r="L7" s="8"/>
      <c r="M7" s="8"/>
      <c r="N7" s="8"/>
      <c r="O7" s="8"/>
    </row>
    <row r="8" ht="15.75" customHeight="1">
      <c r="A8" s="8"/>
      <c r="B8" s="13" t="s">
        <v>47</v>
      </c>
      <c r="C8" s="13" t="s">
        <v>67</v>
      </c>
      <c r="D8" s="13" t="s">
        <v>68</v>
      </c>
      <c r="E8" s="13" t="s">
        <v>65</v>
      </c>
      <c r="F8" s="13" t="s">
        <v>56</v>
      </c>
      <c r="G8" s="13">
        <v>0</v>
      </c>
      <c r="H8" s="13">
        <v>2986</v>
      </c>
      <c r="I8" s="13">
        <v>0</v>
      </c>
      <c r="J8" s="13">
        <v>2986</v>
      </c>
      <c r="K8" s="8"/>
      <c r="L8" s="8"/>
      <c r="M8" s="8"/>
      <c r="N8" s="8"/>
      <c r="O8" s="8"/>
    </row>
    <row r="9" ht="15.75" customHeight="1">
      <c r="A9" s="8"/>
      <c r="B9" s="13" t="s">
        <v>47</v>
      </c>
      <c r="C9" s="13" t="s">
        <v>69</v>
      </c>
      <c r="D9" s="13" t="s">
        <v>29</v>
      </c>
      <c r="E9" s="13" t="s">
        <v>65</v>
      </c>
      <c r="F9" s="13" t="s">
        <v>56</v>
      </c>
      <c r="G9" s="13">
        <v>2986</v>
      </c>
      <c r="H9" s="13">
        <v>0</v>
      </c>
      <c r="I9" s="13">
        <v>2986</v>
      </c>
      <c r="J9" s="13">
        <v>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1315C6-C7F9-47AD-81C3-76F84585FF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90455A7-EB12-45D1-88EA-C030428971B0}">
          <x14:formula1>
            <xm:f>VerifyAccountBalances!$4:$4</xm:f>
          </x14:formula1>
          <xm:sqref>E3</xm:sqref>
        </x14:dataValidation>
        <x14:dataValidation type="list" allowBlank="1" showInputMessage="1" showErrorMessage="1" prompt="Choose an available module" xr:uid="{D0E69273-3AC7-4492-BF65-A1E3ECB61583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J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B5" s="0" t="s">
        <v>71</v>
      </c>
      <c r="C5" s="0" t="s">
        <v>72</v>
      </c>
      <c r="D5" s="0" t="s">
        <v>73</v>
      </c>
      <c r="E5" s="0" t="s">
        <v>74</v>
      </c>
      <c r="F5" s="0" t="s">
        <v>75</v>
      </c>
      <c r="G5" s="0" t="s">
        <v>76</v>
      </c>
      <c r="H5" s="0" t="s">
        <v>77</v>
      </c>
      <c r="I5" s="0" t="s">
        <v>78</v>
      </c>
      <c r="J5" s="0" t="s">
        <v>79</v>
      </c>
      <c r="K5" s="0" t="s">
        <v>80</v>
      </c>
      <c r="L5" s="0" t="s">
        <v>81</v>
      </c>
      <c r="M5" s="0" t="s">
        <v>82</v>
      </c>
      <c r="N5" s="0" t="s">
        <v>83</v>
      </c>
      <c r="O5" s="0" t="s">
        <v>32</v>
      </c>
      <c r="P5" s="0" t="s">
        <v>84</v>
      </c>
      <c r="Q5" s="0" t="s">
        <v>85</v>
      </c>
      <c r="R5" s="0" t="s">
        <v>86</v>
      </c>
      <c r="S5" s="0" t="s">
        <v>87</v>
      </c>
      <c r="T5" s="0" t="s">
        <v>88</v>
      </c>
      <c r="U5" s="0" t="s">
        <v>89</v>
      </c>
      <c r="V5" s="0" t="s">
        <v>90</v>
      </c>
      <c r="W5" s="0" t="s">
        <v>91</v>
      </c>
      <c r="X5" s="0" t="s">
        <v>92</v>
      </c>
      <c r="Y5" s="0" t="s">
        <v>93</v>
      </c>
      <c r="Z5" s="0" t="s">
        <v>33</v>
      </c>
      <c r="AA5" s="0" t="s">
        <v>94</v>
      </c>
      <c r="AB5" s="0" t="s">
        <v>95</v>
      </c>
      <c r="AC5" s="0" t="s">
        <v>96</v>
      </c>
      <c r="AD5" s="0" t="s">
        <v>34</v>
      </c>
      <c r="AE5" s="0" t="s">
        <v>97</v>
      </c>
      <c r="AF5" s="0" t="s">
        <v>98</v>
      </c>
      <c r="AG5" s="0" t="s">
        <v>99</v>
      </c>
      <c r="AH5" s="0" t="s">
        <v>100</v>
      </c>
      <c r="AI5" s="0" t="s">
        <v>101</v>
      </c>
      <c r="AJ5" s="0" t="s">
        <v>102</v>
      </c>
      <c r="AK5" s="0" t="s">
        <v>103</v>
      </c>
      <c r="AL5" s="0" t="s">
        <v>104</v>
      </c>
      <c r="AM5" s="0" t="s">
        <v>105</v>
      </c>
      <c r="AN5" s="0" t="s">
        <v>106</v>
      </c>
      <c r="AO5" s="0" t="s">
        <v>107</v>
      </c>
      <c r="AP5" s="0" t="s">
        <v>108</v>
      </c>
      <c r="AQ5" s="0" t="s">
        <v>109</v>
      </c>
      <c r="AR5" s="0" t="s">
        <v>110</v>
      </c>
      <c r="AS5" s="0" t="s">
        <v>111</v>
      </c>
      <c r="AT5" s="0" t="s">
        <v>112</v>
      </c>
      <c r="AU5" s="0" t="s">
        <v>113</v>
      </c>
      <c r="AV5" s="0" t="s">
        <v>114</v>
      </c>
      <c r="AW5" s="0" t="s">
        <v>115</v>
      </c>
      <c r="AX5" s="0" t="s">
        <v>116</v>
      </c>
      <c r="AY5" s="0" t="s">
        <v>117</v>
      </c>
      <c r="AZ5" s="0" t="s">
        <v>118</v>
      </c>
      <c r="BA5" s="0" t="s">
        <v>119</v>
      </c>
      <c r="BB5" s="0" t="s">
        <v>120</v>
      </c>
      <c r="BC5" s="0" t="s">
        <v>121</v>
      </c>
      <c r="BD5" s="0" t="s">
        <v>122</v>
      </c>
      <c r="BE5" s="0" t="s">
        <v>123</v>
      </c>
      <c r="BF5" s="0" t="s">
        <v>124</v>
      </c>
      <c r="BG5" s="0" t="s">
        <v>125</v>
      </c>
      <c r="BH5" s="0" t="s">
        <v>126</v>
      </c>
      <c r="BI5" s="0" t="s">
        <v>127</v>
      </c>
      <c r="BJ5" s="0" t="s">
        <v>128</v>
      </c>
      <c r="BK5" s="0" t="s">
        <v>129</v>
      </c>
      <c r="BL5" s="0" t="s">
        <v>130</v>
      </c>
      <c r="BM5" s="0" t="s">
        <v>131</v>
      </c>
      <c r="BN5" s="0" t="s">
        <v>132</v>
      </c>
      <c r="BO5" s="0" t="s">
        <v>30</v>
      </c>
      <c r="BP5" s="0" t="s">
        <v>133</v>
      </c>
      <c r="BQ5" s="0" t="s">
        <v>134</v>
      </c>
      <c r="BR5" s="0" t="s">
        <v>135</v>
      </c>
      <c r="BS5" s="0" t="s">
        <v>136</v>
      </c>
      <c r="BT5" s="0" t="s">
        <v>28</v>
      </c>
      <c r="BU5" s="0" t="s">
        <v>137</v>
      </c>
      <c r="BV5" s="0" t="s">
        <v>138</v>
      </c>
      <c r="BW5" s="0" t="s">
        <v>139</v>
      </c>
      <c r="BX5" s="0" t="s">
        <v>140</v>
      </c>
      <c r="BY5" s="0" t="s">
        <v>141</v>
      </c>
      <c r="BZ5" s="0" t="s">
        <v>142</v>
      </c>
      <c r="CA5" s="0" t="s">
        <v>143</v>
      </c>
      <c r="CB5" s="0" t="s">
        <v>144</v>
      </c>
      <c r="CC5" s="0" t="s">
        <v>145</v>
      </c>
      <c r="CD5" s="0" t="s">
        <v>146</v>
      </c>
      <c r="CE5" s="0" t="s">
        <v>147</v>
      </c>
      <c r="CF5" s="0" t="s">
        <v>148</v>
      </c>
      <c r="CG5" s="0" t="s">
        <v>149</v>
      </c>
      <c r="CH5" s="0" t="s">
        <v>150</v>
      </c>
      <c r="CI5" s="0" t="s">
        <v>151</v>
      </c>
      <c r="CJ5" s="0" t="s">
        <v>152</v>
      </c>
      <c r="CK5" s="0" t="s">
        <v>36</v>
      </c>
      <c r="CL5" s="0" t="s">
        <v>153</v>
      </c>
      <c r="CM5" s="0" t="s">
        <v>154</v>
      </c>
      <c r="CN5" s="0" t="s">
        <v>155</v>
      </c>
      <c r="CO5" s="0" t="s">
        <v>37</v>
      </c>
      <c r="CP5" s="0" t="s">
        <v>156</v>
      </c>
      <c r="CQ5" s="0" t="s">
        <v>157</v>
      </c>
      <c r="CR5" s="0" t="s">
        <v>158</v>
      </c>
      <c r="CS5" s="0" t="s">
        <v>159</v>
      </c>
      <c r="CT5" s="0" t="s">
        <v>160</v>
      </c>
      <c r="CU5" s="0" t="s">
        <v>161</v>
      </c>
      <c r="CV5" s="0" t="s">
        <v>162</v>
      </c>
      <c r="CW5" s="0" t="s">
        <v>163</v>
      </c>
      <c r="CX5" s="0" t="s">
        <v>164</v>
      </c>
      <c r="CY5" s="0" t="s">
        <v>165</v>
      </c>
      <c r="CZ5" s="0" t="s">
        <v>166</v>
      </c>
      <c r="DA5" s="0" t="s">
        <v>167</v>
      </c>
      <c r="DB5" s="0" t="s">
        <v>168</v>
      </c>
      <c r="DC5" s="0" t="s">
        <v>169</v>
      </c>
      <c r="DD5" s="0" t="s">
        <v>170</v>
      </c>
    </row>
    <row r="6" ht="15.75" customHeight="1">
      <c r="A6" s="8" t="s">
        <v>50</v>
      </c>
      <c r="B6" s="8" t="s">
        <v>47</v>
      </c>
      <c r="C6" s="8" t="s">
        <v>50</v>
      </c>
      <c r="D6" s="8"/>
      <c r="E6" s="8">
        <v>300</v>
      </c>
      <c r="F6" s="8"/>
      <c r="G6" s="8" t="s">
        <v>44</v>
      </c>
      <c r="H6" s="8">
        <v>4</v>
      </c>
      <c r="I6" s="8">
        <v>5</v>
      </c>
      <c r="J6" s="8">
        <v>1</v>
      </c>
      <c r="K6" s="8">
        <v>10</v>
      </c>
      <c r="L6" s="8">
        <v>10</v>
      </c>
      <c r="M6" s="8" t="s">
        <v>171</v>
      </c>
      <c r="N6" s="8" t="s">
        <v>50</v>
      </c>
      <c r="O6" s="8" t="s">
        <v>43</v>
      </c>
      <c r="Y6" s="0" t="s">
        <v>50</v>
      </c>
      <c r="Z6" s="0" t="s">
        <v>56</v>
      </c>
      <c r="AB6" s="0">
        <v>1</v>
      </c>
      <c r="AE6" s="0">
        <v>300</v>
      </c>
      <c r="AF6" s="0" t="s">
        <v>50</v>
      </c>
      <c r="AI6" s="0">
        <v>1</v>
      </c>
      <c r="AJ6" s="0" t="s">
        <v>172</v>
      </c>
      <c r="AM6" s="0" t="s">
        <v>58</v>
      </c>
      <c r="AY6" s="0" t="s">
        <v>19</v>
      </c>
      <c r="BF6" s="0">
        <v>3000</v>
      </c>
      <c r="BJ6" s="0">
        <v>300</v>
      </c>
      <c r="BM6" s="0" t="s">
        <v>56</v>
      </c>
      <c r="BO6" s="0" t="s">
        <v>20</v>
      </c>
      <c r="BT6" s="0" t="s">
        <v>16</v>
      </c>
      <c r="BU6" s="0">
        <v>3</v>
      </c>
      <c r="BW6" s="0">
        <v>14.0017</v>
      </c>
      <c r="CF6" s="0" t="s">
        <v>173</v>
      </c>
      <c r="CH6" s="0" t="s">
        <v>172</v>
      </c>
      <c r="CI6" s="0" t="s">
        <v>20</v>
      </c>
      <c r="CK6" s="0" t="s">
        <v>54</v>
      </c>
      <c r="CL6" s="0">
        <v>1</v>
      </c>
      <c r="CM6" s="0" t="s">
        <v>16</v>
      </c>
      <c r="CN6" s="0" t="s">
        <v>60</v>
      </c>
      <c r="CO6" s="0" t="s">
        <v>55</v>
      </c>
      <c r="EP6" s="0" t="s">
        <v>50</v>
      </c>
      <c r="EQ6" s="0" t="s">
        <v>50</v>
      </c>
      <c r="ER6" s="0" t="s">
        <v>50</v>
      </c>
      <c r="ES6" s="0" t="s">
        <v>50</v>
      </c>
      <c r="ET6" s="0" t="s">
        <v>50</v>
      </c>
      <c r="EU6" s="0" t="s">
        <v>50</v>
      </c>
      <c r="EV6" s="0" t="s">
        <v>50</v>
      </c>
      <c r="EW6" s="0" t="s">
        <v>50</v>
      </c>
      <c r="EX6" s="0" t="s">
        <v>50</v>
      </c>
      <c r="FA6" s="0" t="s">
        <v>50</v>
      </c>
      <c r="FB6" s="0" t="s">
        <v>50</v>
      </c>
      <c r="FC6" s="0" t="s">
        <v>50</v>
      </c>
      <c r="FK6" s="0" t="s">
        <v>50</v>
      </c>
      <c r="FL6" s="0" t="s">
        <v>50</v>
      </c>
      <c r="FM6" s="0" t="s">
        <v>50</v>
      </c>
      <c r="FN6" s="0" t="s">
        <v>50</v>
      </c>
      <c r="FO6" s="0" t="s">
        <v>50</v>
      </c>
      <c r="FP6" s="0" t="s">
        <v>50</v>
      </c>
      <c r="FQ6" s="0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D302EF6-F6FA-475F-BAE0-EC0936DFEAC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4463C1D-6D05-4D7E-B556-A36E0C49E9FF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3DAFC5E6-D570-474E-89AB-13E7175E33E7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B63CB3-EE98-4441-A90F-DF6C71A9873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CE51904-DC68-4343-BD54-50628355FD5E}">
          <x14:formula1>
            <xm:f>GroupTrades1!$4:$4</xm:f>
          </x14:formula1>
          <xm:sqref>E3</xm:sqref>
        </x14:dataValidation>
        <x14:dataValidation type="list" allowBlank="1" showInputMessage="1" showErrorMessage="1" prompt="Choose an available module" xr:uid="{2F407614-DD49-4095-8B7D-AE4729C498E6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16</v>
      </c>
      <c r="C6" s="32" t="s">
        <v>20</v>
      </c>
      <c r="D6" s="42">
        <v>300</v>
      </c>
      <c r="E6" s="33">
        <v>300</v>
      </c>
      <c r="F6" s="31"/>
      <c r="G6" s="31"/>
      <c r="H6" s="31"/>
      <c r="I6" s="32">
        <v>3000</v>
      </c>
      <c r="J6" s="31"/>
      <c r="K6" s="32">
        <v>3000</v>
      </c>
      <c r="L6" s="31"/>
      <c r="M6" s="31"/>
      <c r="N6" s="33">
        <v>10</v>
      </c>
      <c r="O6" s="33">
        <v>10</v>
      </c>
      <c r="P6" s="31" t="s">
        <v>43</v>
      </c>
      <c r="Q6" s="36">
        <v>1</v>
      </c>
      <c r="R6" s="31"/>
      <c r="S6" s="31"/>
      <c r="T6" s="31"/>
      <c r="U6" s="31" t="s">
        <v>44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9CFAA2-10F4-4D4B-9419-653A7FD6B7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D71AAE1-D168-400C-99C9-5995799B8ADC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A282AE8C-4F77-434F-8357-9880F5B84E01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