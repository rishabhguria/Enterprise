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oToAllocation" sheetId="5" r:id="rId7"/>
    <sheet state="visible" name="CheckUnallocatedGroups" sheetId="6" r:id="rId8"/>
    <sheet state="visible" name="SelectUnallocatedGroup" sheetId="7" r:id="rId9"/>
    <sheet state="visible" name="GoToAllocation1" sheetId="8" r:id="rId10"/>
    <sheet state="visible" name="EnterAccountValuesToAllocate" sheetId="9" r:id="rId11"/>
    <sheet state="visible" name="CheckAllocatedGroups" sheetId="10" r:id="rId12"/>
    <sheet state="visible" name="GoToAllocation2" sheetId="11" r:id="rId13"/>
    <sheet state="visible" name="Unallocate" sheetId="12" r:id="rId14"/>
    <sheet state="visible" name="DeleteGroup" sheetId="13" r:id="rId15"/>
    <sheet state="visible" name="SelectTradeOnOrderGrid" sheetId="14" r:id="rId16"/>
    <sheet state="visible" name="SelectTradeOnOrderGrid1" sheetId="15" r:id="rId17"/>
    <sheet state="visible" name="SelectTradeOnOrderGrid2" sheetId="16" r:id="rId18"/>
  </sheets>
  <definedNames/>
  <calcPr/>
</workbook>
</file>

<file path=xl/sharedStrings.xml><?xml version="1.0" encoding="utf-8"?>
<sst xmlns="http://schemas.openxmlformats.org/spreadsheetml/2006/main" count="132" uniqueCount="32">
  <si>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</si>
  <si>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</si>
  <si>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</si>
  <si>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</si>
  <si>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</si>
  <si>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</si>
  <si>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</si>
  <si>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</si>
  <si>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</si>
  <si>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</si>
  <si>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</si>
  <si>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</si>
  <si>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</si>
  <si>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</si>
  <si>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</si>
  <si>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</si>
  <si>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</si>
  <si>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</si>
  <si>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</si>
  <si>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Blotter</t>
  </si>
  <si>
    <t>GoToAllocation</t>
  </si>
  <si>
    <t>Filled</t>
  </si>
  <si>
    <t>Allocation</t>
  </si>
  <si>
    <t>CheckUnallocatedGroups</t>
  </si>
  <si>
    <t>SelectUnallocatedGroup</t>
  </si>
  <si>
    <t>EnterAccountValuesToAllocate</t>
  </si>
  <si>
    <t xml:space="preserve">Allocation1	</t>
  </si>
  <si>
    <t>CheckAllocatedGroups</t>
  </si>
  <si>
    <t>Unallocate</t>
  </si>
  <si>
    <t>Allocation1</t>
  </si>
  <si>
    <t>DeleteGroup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</si>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</sst>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4" fillId="5" fontId="4" numFmtId="164" xfId="0" applyAlignment="1" applyBorder="1" applyFont="1" applyNumberForma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 t="str">
        <f>IFERROR(__xludf.DUMMYFUNCTION("""COMPUTED_VALUE"""),"SymbolSuggestionVerification")</f>
        <v>SymbolSuggestionVerification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s">
        <v>16</v>
      </c>
      <c r="C6" s="11" t="s">
        <v>17</v>
      </c>
      <c r="D6" s="11">
        <v>100.0</v>
      </c>
      <c r="E6" s="31"/>
      <c r="F6" s="11" t="s">
        <v>18</v>
      </c>
      <c r="G6" s="8"/>
      <c r="H6" s="8"/>
      <c r="I6" s="8"/>
      <c r="J6" s="11">
        <v>10.0</v>
      </c>
      <c r="K6" s="8"/>
      <c r="L6" s="8"/>
      <c r="M6" s="8"/>
      <c r="N6" s="32">
        <f>TODAY()</f>
        <v>45840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21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11">
        <v>10.0</v>
      </c>
      <c r="K6" s="11">
        <v>10.0</v>
      </c>
      <c r="L6" s="8"/>
      <c r="M6" s="8"/>
      <c r="N6" s="8"/>
      <c r="O6" s="8"/>
      <c r="AE6" s="9">
        <v>100.0</v>
      </c>
      <c r="AT6" s="9">
        <v>1014.0006</v>
      </c>
      <c r="AU6" s="9">
        <v>1014.0006</v>
      </c>
      <c r="BE6" s="9">
        <v>1000.0</v>
      </c>
      <c r="BF6" s="9">
        <v>1000.0</v>
      </c>
      <c r="BJ6" s="9">
        <v>100.0</v>
      </c>
      <c r="BO6" s="9" t="s">
        <v>17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33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32">
        <f>TODAY()</f>
        <v>45840</v>
      </c>
      <c r="G6" s="11">
        <v>1014.0006</v>
      </c>
      <c r="H6" s="11">
        <v>1014.0006</v>
      </c>
      <c r="I6" s="11">
        <v>1000.0</v>
      </c>
      <c r="J6" s="8"/>
      <c r="K6" s="11">
        <v>1000.0</v>
      </c>
      <c r="L6" s="8"/>
      <c r="M6" s="8"/>
      <c r="N6" s="11">
        <v>10.0</v>
      </c>
      <c r="O6" s="11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21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GoToAllocation1!$4:$4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4" t="s">
        <v>26</v>
      </c>
      <c r="C6" s="35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11">
        <v>10.0</v>
      </c>
      <c r="L6" s="11">
        <v>10.0</v>
      </c>
      <c r="M6" s="8"/>
      <c r="N6" s="8"/>
      <c r="O6" s="8"/>
      <c r="P6" s="8"/>
      <c r="AE6" s="36">
        <v>100.0</v>
      </c>
      <c r="AF6" s="9"/>
      <c r="AT6" s="36">
        <v>1014.0006</v>
      </c>
      <c r="AU6" s="36">
        <v>1014.0006</v>
      </c>
      <c r="AV6" s="9"/>
      <c r="BE6" s="36">
        <v>1000.0</v>
      </c>
      <c r="BF6" s="9">
        <v>1000.0</v>
      </c>
      <c r="BG6" s="9"/>
      <c r="BJ6" s="36">
        <v>100.0</v>
      </c>
      <c r="BK6" s="9"/>
      <c r="BO6" s="9" t="s">
        <v>17</v>
      </c>
      <c r="BP6" s="9"/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21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9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s">
        <v>16</v>
      </c>
      <c r="C6" s="11">
        <v>100.0</v>
      </c>
      <c r="D6" s="11"/>
      <c r="E6" s="11" t="s">
        <v>29</v>
      </c>
      <c r="F6" s="11" t="s">
        <v>17</v>
      </c>
      <c r="G6" s="8"/>
      <c r="H6" s="11"/>
      <c r="I6" s="8"/>
      <c r="J6" s="8"/>
      <c r="K6" s="1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32">
        <f>TODAY()</f>
        <v>45840</v>
      </c>
      <c r="G6" s="11">
        <v>1014.0006</v>
      </c>
      <c r="H6" s="11">
        <v>1014.0006</v>
      </c>
      <c r="I6" s="11">
        <v>1000.0</v>
      </c>
      <c r="J6" s="8"/>
      <c r="K6" s="11">
        <v>1000.0</v>
      </c>
      <c r="L6" s="8"/>
      <c r="M6" s="8"/>
      <c r="N6" s="11">
        <v>10.0</v>
      </c>
      <c r="O6" s="11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8"/>
      <c r="H6" s="11">
        <v>100.0</v>
      </c>
      <c r="I6" s="11">
        <v>100.0</v>
      </c>
      <c r="J6" s="8"/>
      <c r="K6" s="8"/>
      <c r="L6" s="8"/>
      <c r="M6" s="8"/>
      <c r="N6" s="8"/>
      <c r="O6" s="8"/>
      <c r="U6" s="9">
        <v>1000.0</v>
      </c>
      <c r="V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8"/>
      <c r="H6" s="11">
        <v>100.0</v>
      </c>
      <c r="I6" s="11">
        <v>100.0</v>
      </c>
      <c r="J6" s="8"/>
      <c r="K6" s="8"/>
      <c r="L6" s="8"/>
      <c r="M6" s="8"/>
      <c r="N6" s="8"/>
      <c r="O6" s="8"/>
      <c r="U6" s="9">
        <v>1000.0</v>
      </c>
      <c r="V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8"/>
      <c r="H6" s="11">
        <v>100.0</v>
      </c>
      <c r="I6" s="11">
        <v>100.0</v>
      </c>
      <c r="J6" s="8"/>
      <c r="K6" s="8"/>
      <c r="L6" s="8"/>
      <c r="M6" s="8"/>
      <c r="N6" s="8"/>
      <c r="O6" s="8"/>
      <c r="U6" s="9">
        <v>1000.0</v>
      </c>
      <c r="V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