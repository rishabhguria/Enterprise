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reateOrderPTT" sheetId="8" r:id="rId10"/>
    <sheet state="visible" name="TradeNewSubOrder" sheetId="9" r:id="rId11"/>
    <sheet state="visible" name="VerifyOrder" sheetId="10" r:id="rId12"/>
    <sheet state="visible" name="CreateDoneAwayOrder1" sheetId="11" r:id="rId13"/>
    <sheet state="visible" name="CheckAllocatedGroups" sheetId="12" r:id="rId14"/>
    <sheet state="visible" name="GetForexConversion" sheetId="13" r:id="rId15"/>
    <sheet state="visible" name="UpdateForexConversionMonthly" sheetId="14" r:id="rId16"/>
    <sheet state="visible" name="CalculatePTT" sheetId="15" r:id="rId17"/>
    <sheet state="visible" name="VerifyPTT" sheetId="16" r:id="rId18"/>
    <sheet state="visible" name="CheckPortfolioManagement" sheetId="17" r:id="rId19"/>
    <sheet state="visible" name="GetDataAllocation" sheetId="18" r:id="rId20"/>
  </sheets>
  <definedNames/>
  <calcPr/>
</workbook>
</file>

<file path=xl/sharedStrings.xml><?xml version="1.0" encoding="utf-8"?>
<sst xmlns="http://schemas.openxmlformats.org/spreadsheetml/2006/main" count="180" uniqueCount="53">
  <si>
    <t>Modules Info</t>
  </si>
  <si>
    <t>Modules</t>
  </si>
  <si>
    <t>Master Data Info</t>
  </si>
  <si>
    <t>Settings</t>
  </si>
  <si>
    <t>Module Step Setting File</t>
  </si>
  <si>
    <t>1sG6uB28jAaiyaldDeMtbboQN41jJ2tAmE2rg6U9qH5o</t>
  </si>
  <si>
    <t>Module</t>
  </si>
  <si>
    <t>Master Data Settings File</t>
  </si>
  <si>
    <t>Step</t>
  </si>
  <si>
    <t>Master Data Sheet</t>
  </si>
  <si>
    <t>1hEhI9rg16D4Xvfk19pDaFUFF78jjfIG29BBaNg8kT0A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</si>
  <si>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</si>
  <si>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</si>
  <si>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</si>
  <si>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</si>
  <si>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</si>
  <si>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</si>
  <si>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</si>
  <si>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</si>
  <si>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Allocation2</t>
  </si>
  <si>
    <t>TradingTicket</t>
  </si>
  <si>
    <t>CreateDoneAwayOrder</t>
  </si>
  <si>
    <t>FRU-TC</t>
  </si>
  <si>
    <t>Buy</t>
  </si>
  <si>
    <t>PricingInput</t>
  </si>
  <si>
    <t>PTT</t>
  </si>
  <si>
    <t>CreateOrderPTT</t>
  </si>
  <si>
    <t>Set</t>
  </si>
  <si>
    <t>Percentage</t>
  </si>
  <si>
    <t>No</t>
  </si>
  <si>
    <t>Account</t>
  </si>
  <si>
    <t>Allocation1,Allocation2</t>
  </si>
  <si>
    <t>Blotter</t>
  </si>
  <si>
    <t>TradeNewSubOrder</t>
  </si>
  <si>
    <t>New</t>
  </si>
  <si>
    <t>Market</t>
  </si>
  <si>
    <t>VerifyOrder</t>
  </si>
  <si>
    <t>Filled</t>
  </si>
  <si>
    <t>Multiple</t>
  </si>
  <si>
    <t>Allocation</t>
  </si>
  <si>
    <t>GetForexConversion</t>
  </si>
  <si>
    <t>CheckAllocatedGroups</t>
  </si>
  <si>
    <t>CAD</t>
  </si>
  <si>
    <t xml:space="preserve">Buy </t>
  </si>
  <si>
    <t>Sell</t>
  </si>
  <si>
    <t>UpdateForexConversionMonthly</t>
  </si>
  <si>
    <t>CalculatePTT</t>
  </si>
  <si>
    <t>VerifyPTT</t>
  </si>
  <si>
    <t>CAD A0-FX</t>
  </si>
  <si>
    <t>PortfolioManagement</t>
  </si>
  <si>
    <t>CheckPortfolioManagement</t>
  </si>
  <si>
    <t>GetDataAllocation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</si>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</sst>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6" fontId="13" numFmtId="164" xfId="0" applyFill="1" applyFont="1" applyNumberFormat="1"/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IFERROR(__xludf.DUMMYFUNCTION("""COMPUTED_VALUE"""),"1ASulLlGAl--JRs7NVIiQ-6Q2Y2P3o7Y40cokKmMg-UA")</f>
        <v>1ASulLlGAl--JRs7NVIiQ-6Q2Y2P3o7Y40cokKmMg-UA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IFERROR(__xludf.DUMMYFUNCTION("""COMPUTED_VALUE"""),"153rAtnJuNh4UK26GjSOxUSjAHcOxzWv7CRGvmhrIJRs")</f>
        <v>153rAtnJuNh4UK26GjSOxUSjAHcOxzWv7CRGvmhrIJRs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IFERROR(__xludf.DUMMYFUNCTION("""COMPUTED_VALUE"""),"14c4GsPTH5D3eyeeKaMiqJQXOT6OiyIKnC2Ey2f-mzXU")</f>
        <v>14c4GsPTH5D3eyeeKaMiqJQXOT6OiyIKnC2Ey2f-mzXU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IFERROR(__xludf.DUMMYFUNCTION("""COMPUTED_VALUE"""),"1FoqTScZHaIaLmwoImnVY7WWuCKEwJNYw8_jsXiT_wz4")</f>
        <v>1FoqTScZHaIaLmwoImnVY7WWuCKEwJNYw8_jsXiT_wz4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IFERROR(__xludf.DUMMYFUNCTION("""COMPUTED_VALUE"""),"1nx-Ntcckcf-w1Yr5yyOw4Vmcr4UsalakHe-CHaRihg0")</f>
        <v>1nx-Ntcckcf-w1Yr5yyOw4Vmcr4UsalakHe-CHaRihg0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IFERROR(__xludf.DUMMYFUNCTION("""COMPUTED_VALUE"""),"1aOr-_cYT21IfJctqcBB50iQOXfB0qUo9bBesL3tt_2o")</f>
        <v>1aOr-_cYT21IfJctqcBB50iQOXfB0qUo9bBesL3tt_2o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IFERROR(__xludf.DUMMYFUNCTION("""COMPUTED_VALUE"""),"1NSNUZ7aVjKq-fJWvjMKU9f1Hhbf0UmIY3RQLFu0_U94")</f>
        <v>1NSNUZ7aVjKq-fJWvjMKU9f1Hhbf0UmIY3RQLFu0_U94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IFERROR(__xludf.DUMMYFUNCTION("""COMPUTED_VALUE"""),"1qcpgHRQFZbpv-NnW8K-CvX_auKXD5UD0KzrBvuBL6yQ")</f>
        <v>1qcpgHRQFZbpv-NnW8K-CvX_auKXD5UD0KzrBvuBL6yQ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IFERROR(__xludf.DUMMYFUNCTION("""COMPUTED_VALUE"""),"1AcxAZQwu6HAEJMCMK3bk08quIeXstZWKnCNeDGuqkgc")</f>
        <v>1AcxAZQwu6HAEJMCMK3bk08quIeXstZWKnCNeDGuqkgc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IFERROR(__xludf.DUMMYFUNCTION("""COMPUTED_VALUE"""),"1VLF0uNJJlumCyBscfuDhTN1tOv-0IRCkYlwfDU8GczQ")</f>
        <v>1VLF0uNJJlumCyBscfuDhTN1tOv-0IRCkYlwfDU8GczQ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IFERROR(__xludf.DUMMYFUNCTION("""COMPUTED_VALUE"""),"1_8MIcc2OK_ojl_V4NIwMLs9H7qkQkwyq9sDf1PpIqc8")</f>
        <v>1_8MIcc2OK_ojl_V4NIwMLs9H7qkQkwyq9sDf1PpIqc8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IFERROR(__xludf.DUMMYFUNCTION("""COMPUTED_VALUE"""),"1tN1tbsnXiVRytGN-WCzTnGTmfRxY2nBklQk3AQSJo2c")</f>
        <v>1tN1tbsnXiVRytGN-WCzTnGTmfRxY2nBklQk3AQSJo2c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IFERROR(__xludf.DUMMYFUNCTION("""COMPUTED_VALUE"""),"1VRRuQCPazoSKAv27NBzQzv_Yw_Kgakw-yyKn6w1zhKU")</f>
        <v>1VRRuQCPazoSKAv27NBzQzv_Yw_Kgakw-yyKn6w1zhKU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IFERROR(__xludf.DUMMYFUNCTION("""COMPUTED_VALUE"""),"1fGo94nf55bWXddEMlTwX902cb1V6cWr9GHWYy_sZ8IU")</f>
        <v>1fGo94nf55bWXddEMlTwX902cb1V6cWr9GHWYy_sZ8IU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IFERROR(__xludf.DUMMYFUNCTION("""COMPUTED_VALUE"""),"1rOMKu0Ez7NdxjtZC05lRrPUSa0tkOQSvbOhxjuijMsU")</f>
        <v>1rOMKu0Ez7NdxjtZC05lRrPUSa0tkOQSvbOhxjuijMsU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IFERROR(__xludf.DUMMYFUNCTION("""COMPUTED_VALUE"""),"1yBi-hp0jcYIFB6ymnlQIlx-pUUkfcjJU7Ap0azBbNcE")</f>
        <v>1yBi-hp0jcYIFB6ymnlQIlx-pUUkfcjJU7Ap0azBbNcE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IFERROR(__xludf.DUMMYFUNCTION("""COMPUTED_VALUE"""),"1x5iUjYB72ZJ35IOvQ_JQkWHV-d1FlgKY3bIxxTpk-f0")</f>
        <v>1x5iUjYB72ZJ35IOvQ_JQkWHV-d1FlgKY3bIxxTpk-f0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IFERROR(__xludf.DUMMYFUNCTION("""COMPUTED_VALUE"""),"1Li5RKULV7Lc2MLczTkVbzq0oDYcFGfTlBUO9__NoODc")</f>
        <v>1Li5RKULV7Lc2MLczTkVbzq0oDYcFGfTlBUO9__NoODc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IFERROR(__xludf.DUMMYFUNCTION("""COMPUTED_VALUE"""),"1vnIE6mL0eHSchRF1qTlJ2JL_Ylu6hiC6uOXpzq7M0BQ")</f>
        <v>1vnIE6mL0eHSchRF1qTlJ2JL_Ylu6hiC6uOXpzq7M0BQ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IFERROR(__xludf.DUMMYFUNCTION("""COMPUTED_VALUE"""),"1KCMHfIqMprTfc21JY7-_BuJZCbNmjdI-pAMs1UtHRgM")</f>
        <v>1KCMHfIqMprTfc21JY7-_BuJZCbNmjdI-pAMs1UtHRgM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IFERROR(__xludf.DUMMYFUNCTION("""COMPUTED_VALUE"""),"1tRgcAtzRVDm6tX53uSpBOxZNBYm4sTcJiDaR4fxdfwY")</f>
        <v>1tRgcAtzRVDm6tX53uSpBOxZNBYm4sTcJiDaR4fxdfwY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IFERROR(__xludf.DUMMYFUNCTION("""COMPUTED_VALUE"""),"12DQ8VFmnoIi6USj-pAupggGf1Uakm-iIEO9IboOJPds")</f>
        <v>12DQ8VFmnoIi6USj-pAupggGf1Uakm-iIEO9IboOJPds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IFERROR(__xludf.DUMMYFUNCTION("""COMPUTED_VALUE"""),"1EinrxkfbLK2Tdj1nGXu4y1H2zmS6g6G85Hm0vYSOHlA")</f>
        <v>1EinrxkfbLK2Tdj1nGXu4y1H2zmS6g6G85Hm0vYSOHlA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IFERROR(__xludf.DUMMYFUNCTION("""COMPUTED_VALUE"""),"1qeUVChEAj0eKA7tNZsUWM4FcqW347Jcsk_tvw1-FP3s")</f>
        <v>1qeUVChEAj0eKA7tNZsUWM4FcqW347Jcsk_tvw1-FP3s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IFERROR(__xludf.DUMMYFUNCTION("""COMPUTED_VALUE"""),"1aVxYFzFjJM4FVvXjfioQc67hI5XgzzCTHLg8f7lbJhU")</f>
        <v>1aVxYFzFjJM4FVvXjfioQc67hI5XgzzCTHLg8f7lbJhU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IFERROR(__xludf.DUMMYFUNCTION("""COMPUTED_VALUE"""),"1Fe8M8KnrsIcnAobjXa43I9IzXKCnB39xCSYterKkeEc")</f>
        <v>1Fe8M8KnrsIcnAobjXa43I9IzXKCnB39xCSYterKkeEc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IFERROR(__xludf.DUMMYFUNCTION("""COMPUTED_VALUE"""),"1qJHd_QH5ht3ZzeFZbKiVeEOBmlpAshwV72N701B28uk")</f>
        <v>1qJHd_QH5ht3ZzeFZbKiVeEOBmlpAshwV72N701B28uk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17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9" t="s">
        <v>3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4</v>
      </c>
      <c r="B3" s="11" t="s">
        <v>5</v>
      </c>
      <c r="C3" s="8"/>
    </row>
    <row r="4" ht="15.75" customHeight="1">
      <c r="A4" s="12" t="s">
        <v>7</v>
      </c>
      <c r="B4" s="11" t="s">
        <v>10</v>
      </c>
      <c r="C4" s="8"/>
    </row>
    <row r="5" ht="15.75" customHeight="1">
      <c r="A5" s="16"/>
      <c r="B5" s="8"/>
      <c r="C5" s="8"/>
    </row>
    <row r="6" ht="15.75" customHeight="1">
      <c r="A6" s="16"/>
      <c r="B6" s="8"/>
      <c r="C6" s="8"/>
    </row>
    <row r="7" ht="15.75" customHeight="1">
      <c r="A7" s="16"/>
      <c r="B7" s="8"/>
      <c r="C7" s="8"/>
    </row>
    <row r="8" ht="15.75" customHeight="1">
      <c r="A8" s="16"/>
      <c r="B8" s="8"/>
      <c r="C8" s="8"/>
    </row>
    <row r="9" ht="15.75" customHeight="1">
      <c r="A9" s="16"/>
      <c r="B9" s="8"/>
      <c r="C9" s="8"/>
    </row>
    <row r="10" ht="15.75" customHeight="1">
      <c r="A10" s="16"/>
      <c r="B10" s="8"/>
      <c r="C10" s="8"/>
    </row>
    <row r="11" ht="15.75" customHeight="1">
      <c r="A11" s="16"/>
      <c r="B11" s="8"/>
      <c r="C11" s="8"/>
    </row>
    <row r="12" ht="15.75" customHeight="1">
      <c r="A12" s="16"/>
      <c r="B12" s="8"/>
      <c r="C12" s="8"/>
    </row>
    <row r="13" ht="15.75" customHeight="1">
      <c r="A13" s="16"/>
      <c r="B13" s="8"/>
      <c r="C13" s="8"/>
    </row>
    <row r="14" ht="15.75" customHeight="1">
      <c r="A14" s="16"/>
      <c r="B14" s="8"/>
      <c r="C14" s="8"/>
    </row>
    <row r="15" ht="15.75" customHeight="1">
      <c r="A15" s="16"/>
      <c r="B15" s="8"/>
      <c r="C15" s="8"/>
    </row>
    <row r="16" ht="15.75" customHeight="1">
      <c r="A16" s="16"/>
      <c r="B16" s="8"/>
      <c r="C16" s="8"/>
    </row>
    <row r="17" ht="15.75" customHeight="1">
      <c r="A17" s="16"/>
      <c r="B17" s="8"/>
      <c r="C17" s="8"/>
    </row>
    <row r="18" ht="15.75" customHeight="1">
      <c r="A18" s="16"/>
      <c r="B18" s="8"/>
      <c r="C18" s="8"/>
    </row>
    <row r="19" ht="15.75" customHeight="1">
      <c r="A19" s="16"/>
      <c r="B19" s="8"/>
      <c r="C19" s="8"/>
    </row>
    <row r="20" ht="15.75" customHeight="1">
      <c r="A20" s="16"/>
      <c r="B20" s="8"/>
      <c r="C20" s="8"/>
    </row>
    <row r="21" ht="15.75" customHeight="1">
      <c r="A21" s="16"/>
      <c r="B21" s="8"/>
      <c r="C21" s="8"/>
    </row>
    <row r="22" ht="15.75" customHeight="1">
      <c r="A22" s="16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0" t="s">
        <v>2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6</v>
      </c>
      <c r="B3" s="13" t="s">
        <v>8</v>
      </c>
      <c r="C3" s="13" t="s">
        <v>9</v>
      </c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</v>
      </c>
      <c r="C3" s="22" t="s">
        <v>12</v>
      </c>
      <c r="D3" s="5" t="s">
        <v>8</v>
      </c>
      <c r="E3" s="22" t="s">
        <v>13</v>
      </c>
      <c r="F3" s="5" t="s">
        <v>14</v>
      </c>
      <c r="G3" s="16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0">
        <f>TODAY()-1</f>
        <v>43669</v>
      </c>
      <c r="C6" s="30">
        <f>TODAY()</f>
        <v>43670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</v>
      </c>
      <c r="C3" s="22" t="s">
        <v>12</v>
      </c>
      <c r="D3" s="5" t="s">
        <v>8</v>
      </c>
      <c r="E3" s="22" t="s">
        <v>16</v>
      </c>
      <c r="F3" s="5" t="s">
        <v>14</v>
      </c>
      <c r="G3" s="16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17</v>
      </c>
      <c r="C6" s="11" t="s">
        <v>18</v>
      </c>
      <c r="D6" s="11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18</v>
      </c>
      <c r="D7" s="11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6</v>
      </c>
      <c r="C3" s="22" t="s">
        <v>20</v>
      </c>
      <c r="D3" s="5" t="s">
        <v>8</v>
      </c>
      <c r="E3" s="22" t="s">
        <v>21</v>
      </c>
      <c r="F3" s="5" t="s">
        <v>14</v>
      </c>
      <c r="G3" s="16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22</v>
      </c>
      <c r="C6" s="11" t="s">
        <v>23</v>
      </c>
      <c r="D6" s="11">
        <v>1000.0</v>
      </c>
      <c r="E6" s="11">
        <v>1000.0</v>
      </c>
      <c r="F6" s="17" t="s">
        <v>17</v>
      </c>
      <c r="G6" s="8"/>
      <c r="H6" s="8"/>
      <c r="I6" s="8"/>
      <c r="J6" s="11">
        <v>20.0</v>
      </c>
      <c r="K6" s="8"/>
      <c r="L6" s="8"/>
      <c r="M6" s="8"/>
      <c r="N6" s="30">
        <f t="shared" ref="N6:N7" si="1">TODAY()</f>
        <v>43670</v>
      </c>
      <c r="O6" s="11">
        <v>0.5</v>
      </c>
    </row>
    <row r="7" ht="15.75" customHeight="1">
      <c r="A7" s="8"/>
      <c r="B7" s="11" t="s">
        <v>22</v>
      </c>
      <c r="C7" s="11" t="s">
        <v>23</v>
      </c>
      <c r="D7" s="11">
        <v>1000.0</v>
      </c>
      <c r="E7" s="11">
        <v>1000.0</v>
      </c>
      <c r="F7" s="17" t="s">
        <v>19</v>
      </c>
      <c r="G7" s="8"/>
      <c r="H7" s="8"/>
      <c r="I7" s="8"/>
      <c r="J7" s="11">
        <v>20.0</v>
      </c>
      <c r="K7" s="8"/>
      <c r="L7" s="8"/>
      <c r="M7" s="8"/>
      <c r="N7" s="32">
        <f t="shared" si="1"/>
        <v>43670</v>
      </c>
      <c r="O7" s="11">
        <v>0.5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</v>
      </c>
      <c r="C3" s="22" t="s">
        <v>24</v>
      </c>
      <c r="D3" s="5" t="s">
        <v>8</v>
      </c>
      <c r="E3" s="22" t="s">
        <v>24</v>
      </c>
      <c r="F3" s="5" t="s">
        <v>14</v>
      </c>
      <c r="G3" s="16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IFERROR(__xludf.DUMMYFUNCTION("""COMPUTED_VALUE"""),"")</f>
        <v/>
      </c>
      <c r="G4" s="24" t="str">
        <f>IFERROR(__xludf.DUMMYFUNCTION("""COMPUTED_VALUE"""),"")</f>
        <v/>
      </c>
      <c r="H4" s="24" t="str">
        <f>IFERROR(__xludf.DUMMYFUNCTION("""COMPUTED_VALUE"""),"")</f>
        <v/>
      </c>
      <c r="I4" s="24" t="str">
        <f>IFERROR(__xludf.DUMMYFUNCTION("""COMPUTED_VALUE"""),"")</f>
        <v/>
      </c>
      <c r="J4" s="24" t="str">
        <f>IFERROR(__xludf.DUMMYFUNCTION("""COMPUTED_VALUE"""),"")</f>
        <v/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22</v>
      </c>
      <c r="C6" s="11">
        <v>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</v>
      </c>
      <c r="C3" s="22" t="s">
        <v>25</v>
      </c>
      <c r="D3" s="5" t="s">
        <v>8</v>
      </c>
      <c r="E3" s="22" t="s">
        <v>26</v>
      </c>
      <c r="F3" s="5" t="s">
        <v>14</v>
      </c>
      <c r="G3" s="16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22</v>
      </c>
      <c r="C6" s="11" t="s">
        <v>27</v>
      </c>
      <c r="D6" s="11" t="s">
        <v>28</v>
      </c>
      <c r="E6" s="11">
        <v>30.0</v>
      </c>
      <c r="F6" s="11">
        <v>20.0</v>
      </c>
      <c r="G6" s="11" t="s">
        <v>29</v>
      </c>
      <c r="H6" s="11" t="s">
        <v>30</v>
      </c>
      <c r="I6" s="11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</v>
      </c>
      <c r="C3" s="22" t="s">
        <v>32</v>
      </c>
      <c r="D3" s="5" t="s">
        <v>8</v>
      </c>
      <c r="E3" s="22" t="s">
        <v>33</v>
      </c>
      <c r="F3" s="5" t="s">
        <v>14</v>
      </c>
      <c r="G3" s="16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IFERROR(__xludf.DUMMYFUNCTION("""COMPUTED_VALUE"""),"VerifyRollover")</f>
        <v>VerifyRollover</v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0.0</v>
      </c>
      <c r="E6" s="31"/>
      <c r="F6" s="11"/>
      <c r="G6" s="8"/>
      <c r="H6" s="8"/>
      <c r="I6" s="8"/>
      <c r="J6" s="8"/>
      <c r="K6" s="8"/>
      <c r="L6" s="8"/>
      <c r="M6" s="8"/>
      <c r="N6" s="8"/>
      <c r="O6" s="8"/>
      <c r="AD6" s="17">
        <v>0.0</v>
      </c>
      <c r="AI6" s="17" t="s">
        <v>22</v>
      </c>
      <c r="AK6" s="17" t="s">
        <v>34</v>
      </c>
      <c r="AQ6" s="17">
        <v>20.0</v>
      </c>
      <c r="AR6" s="17">
        <v>20.0</v>
      </c>
      <c r="AU6" s="17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</v>
      </c>
      <c r="C3" s="22" t="s">
        <v>32</v>
      </c>
      <c r="D3" s="5" t="s">
        <v>8</v>
      </c>
      <c r="E3" s="22" t="s">
        <v>36</v>
      </c>
      <c r="F3" s="5" t="s">
        <v>14</v>
      </c>
      <c r="G3" s="16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IFERROR(__xludf.DUMMYFUNCTION("""COMPUTED_VALUE"""),"VerifyRollover")</f>
        <v>VerifyRollover</v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7" t="s">
        <v>22</v>
      </c>
      <c r="AK6" s="17" t="s">
        <v>37</v>
      </c>
      <c r="AL6" s="17">
        <v>1040.0</v>
      </c>
      <c r="AQ6" s="17">
        <v>20.0</v>
      </c>
      <c r="AR6" s="17">
        <v>20.0</v>
      </c>
      <c r="AT6" s="17" t="s">
        <v>38</v>
      </c>
      <c r="AU6" s="17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6</v>
      </c>
      <c r="C3" s="22" t="s">
        <v>20</v>
      </c>
      <c r="D3" s="5" t="s">
        <v>8</v>
      </c>
      <c r="E3" s="22" t="s">
        <v>21</v>
      </c>
      <c r="F3" s="5" t="s">
        <v>14</v>
      </c>
      <c r="G3" s="16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22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11">
        <v>0.2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</v>
      </c>
      <c r="C3" s="22" t="s">
        <v>39</v>
      </c>
      <c r="D3" s="5" t="s">
        <v>8</v>
      </c>
      <c r="E3" s="22" t="s">
        <v>41</v>
      </c>
      <c r="F3" s="5" t="s">
        <v>14</v>
      </c>
      <c r="G3" s="16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IFERROR(__xludf.DUMMYFUNCTION("""COMPUTED_VALUE"""),"Allocate")</f>
        <v>Allocate</v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17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Z6" s="17" t="s">
        <v>42</v>
      </c>
      <c r="AI6" s="17">
        <v>0.5</v>
      </c>
      <c r="AY6" s="17" t="s">
        <v>35</v>
      </c>
      <c r="BO6" s="17" t="s">
        <v>43</v>
      </c>
      <c r="BT6" s="17" t="s">
        <v>22</v>
      </c>
    </row>
    <row r="7" ht="15.75" customHeight="1">
      <c r="A7" s="8"/>
      <c r="B7" s="11" t="s">
        <v>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Z7" s="17" t="s">
        <v>42</v>
      </c>
      <c r="AI7" s="17">
        <v>0.5</v>
      </c>
      <c r="AY7" s="17" t="s">
        <v>35</v>
      </c>
      <c r="BO7" s="17" t="s">
        <v>43</v>
      </c>
      <c r="BT7" s="17" t="s">
        <v>22</v>
      </c>
    </row>
    <row r="8" ht="15.75" customHeight="1">
      <c r="A8" s="8"/>
      <c r="B8" s="11" t="s">
        <v>38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Z8" s="17" t="s">
        <v>42</v>
      </c>
      <c r="AI8" s="17">
        <v>0.2</v>
      </c>
      <c r="AY8" s="17" t="s">
        <v>35</v>
      </c>
      <c r="BO8" s="17" t="s">
        <v>44</v>
      </c>
      <c r="BT8" s="17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</v>
      </c>
      <c r="C3" s="22" t="s">
        <v>12</v>
      </c>
      <c r="D3" s="5" t="s">
        <v>8</v>
      </c>
      <c r="E3" s="22" t="s">
        <v>40</v>
      </c>
      <c r="F3" s="5" t="s">
        <v>14</v>
      </c>
      <c r="G3" s="16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3">
        <f>TODAY()</f>
        <v>43670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</v>
      </c>
      <c r="C3" s="22" t="s">
        <v>12</v>
      </c>
      <c r="D3" s="5" t="s">
        <v>8</v>
      </c>
      <c r="E3" s="22" t="s">
        <v>45</v>
      </c>
      <c r="F3" s="5" t="s">
        <v>14</v>
      </c>
      <c r="G3" s="16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18</v>
      </c>
      <c r="C6" s="11" t="s">
        <v>42</v>
      </c>
      <c r="D6" s="11" t="s">
        <v>48</v>
      </c>
      <c r="E6" s="30">
        <f>TODAY()</f>
        <v>43670</v>
      </c>
      <c r="F6" s="11">
        <v>0.2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/>
      <c r="C7" s="11"/>
      <c r="D7" s="11"/>
      <c r="E7" s="30"/>
      <c r="F7" s="11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UpdateForexConversionMonthly!$4:$4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</v>
      </c>
      <c r="C3" s="22" t="s">
        <v>25</v>
      </c>
      <c r="D3" s="5" t="s">
        <v>8</v>
      </c>
      <c r="E3" s="22" t="s">
        <v>46</v>
      </c>
      <c r="F3" s="5" t="s">
        <v>14</v>
      </c>
      <c r="G3" s="16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22</v>
      </c>
      <c r="C6" s="11" t="s">
        <v>27</v>
      </c>
      <c r="D6" s="11" t="s">
        <v>28</v>
      </c>
      <c r="E6" s="11">
        <v>30.0</v>
      </c>
      <c r="F6" s="11">
        <v>20.0</v>
      </c>
      <c r="G6" s="11" t="s">
        <v>29</v>
      </c>
      <c r="H6" s="11" t="s">
        <v>30</v>
      </c>
      <c r="I6" s="11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</v>
      </c>
      <c r="C3" s="22" t="s">
        <v>25</v>
      </c>
      <c r="D3" s="5" t="s">
        <v>8</v>
      </c>
      <c r="E3" s="22" t="s">
        <v>47</v>
      </c>
      <c r="F3" s="5" t="s">
        <v>14</v>
      </c>
      <c r="G3" s="16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17</v>
      </c>
      <c r="C6" s="8"/>
      <c r="D6" s="11">
        <v>1000.0</v>
      </c>
      <c r="E6" s="11">
        <v>100000.0</v>
      </c>
      <c r="F6" s="11"/>
      <c r="G6" s="11"/>
      <c r="H6" s="11">
        <v>30.0</v>
      </c>
      <c r="I6" s="11"/>
      <c r="J6" s="8"/>
      <c r="K6" s="8"/>
      <c r="L6" s="8"/>
      <c r="M6" s="11">
        <v>5.0</v>
      </c>
      <c r="N6" s="8"/>
      <c r="O6" s="8"/>
    </row>
    <row r="7" ht="15.75" customHeight="1">
      <c r="A7" s="8"/>
      <c r="B7" s="11" t="s">
        <v>19</v>
      </c>
      <c r="C7" s="8"/>
      <c r="D7" s="11">
        <v>1000.0</v>
      </c>
      <c r="E7" s="11">
        <v>100000.0</v>
      </c>
      <c r="F7" s="11"/>
      <c r="G7" s="11"/>
      <c r="H7" s="11">
        <v>30.0</v>
      </c>
      <c r="I7" s="11"/>
      <c r="J7" s="8"/>
      <c r="K7" s="8"/>
      <c r="L7" s="8"/>
      <c r="M7" s="11">
        <v>5.0</v>
      </c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6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</v>
      </c>
      <c r="C3" s="22" t="s">
        <v>49</v>
      </c>
      <c r="D3" s="5" t="s">
        <v>8</v>
      </c>
      <c r="E3" s="22" t="s">
        <v>50</v>
      </c>
      <c r="F3" s="5" t="s">
        <v>14</v>
      </c>
      <c r="G3" s="16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</row>
    <row r="6" ht="15.75" customHeight="1">
      <c r="A6" s="11"/>
      <c r="B6" s="11"/>
      <c r="C6" s="11" t="s">
        <v>22</v>
      </c>
      <c r="D6" s="31"/>
      <c r="E6" s="17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  <c r="Y6" s="17">
        <v>5.0</v>
      </c>
      <c r="AN6" s="17" t="s">
        <v>23</v>
      </c>
      <c r="EF6" s="17">
        <v>0.2</v>
      </c>
    </row>
    <row r="7" ht="15.75" customHeight="1">
      <c r="A7" s="8"/>
      <c r="B7" s="8"/>
      <c r="C7" s="11" t="s">
        <v>22</v>
      </c>
      <c r="D7" s="11"/>
      <c r="E7" s="17" t="s">
        <v>17</v>
      </c>
      <c r="F7" s="8"/>
      <c r="G7" s="8"/>
      <c r="H7" s="8"/>
      <c r="I7" s="8"/>
      <c r="J7" s="8"/>
      <c r="K7" s="8"/>
      <c r="L7" s="8"/>
      <c r="M7" s="8"/>
      <c r="N7" s="8"/>
      <c r="O7" s="8"/>
      <c r="Y7" s="17">
        <v>5.0</v>
      </c>
      <c r="AN7" s="17" t="s">
        <v>44</v>
      </c>
      <c r="EF7" s="17">
        <v>0.2</v>
      </c>
    </row>
    <row r="8" ht="15.75" customHeight="1">
      <c r="A8" s="8"/>
      <c r="B8" s="8"/>
      <c r="C8" s="11" t="s">
        <v>22</v>
      </c>
      <c r="D8" s="11"/>
      <c r="E8" s="11" t="s">
        <v>19</v>
      </c>
      <c r="F8" s="8"/>
      <c r="G8" s="8"/>
      <c r="H8" s="8"/>
      <c r="I8" s="8"/>
      <c r="J8" s="8"/>
      <c r="K8" s="8"/>
      <c r="L8" s="8"/>
      <c r="M8" s="8"/>
      <c r="N8" s="8"/>
      <c r="O8" s="8"/>
      <c r="Y8" s="17">
        <v>5.0</v>
      </c>
      <c r="AN8" s="17" t="s">
        <v>23</v>
      </c>
      <c r="EF8" s="17">
        <v>0.2</v>
      </c>
    </row>
    <row r="9" ht="15.75" customHeight="1">
      <c r="A9" s="8"/>
      <c r="B9" s="8"/>
      <c r="C9" s="11" t="s">
        <v>22</v>
      </c>
      <c r="D9" s="11"/>
      <c r="E9" s="17" t="s">
        <v>19</v>
      </c>
      <c r="F9" s="8"/>
      <c r="G9" s="8"/>
      <c r="H9" s="8"/>
      <c r="I9" s="8"/>
      <c r="J9" s="8"/>
      <c r="K9" s="8"/>
      <c r="L9" s="8"/>
      <c r="M9" s="8"/>
      <c r="N9" s="8"/>
      <c r="O9" s="8"/>
      <c r="Y9" s="17">
        <v>5.0</v>
      </c>
      <c r="AN9" s="17" t="s">
        <v>44</v>
      </c>
      <c r="EF9" s="17">
        <v>0.2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6</v>
      </c>
      <c r="C3" s="22" t="s">
        <v>39</v>
      </c>
      <c r="D3" s="5" t="s">
        <v>8</v>
      </c>
      <c r="E3" s="22" t="s">
        <v>51</v>
      </c>
      <c r="F3" s="5" t="s">
        <v>14</v>
      </c>
      <c r="G3" s="16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IFERROR(__xludf.DUMMYFUNCTION("""COMPUTED_VALUE"""),"Allocate")</f>
        <v>Allocate</v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52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