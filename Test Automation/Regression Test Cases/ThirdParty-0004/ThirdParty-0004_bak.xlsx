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Closing" sheetId="5" r:id="rId7"/>
    <sheet state="visible" name="AutomaticClosing" sheetId="6" r:id="rId8"/>
    <sheet state="visible" name="ViewThirdParty" sheetId="7" r:id="rId9"/>
    <sheet state="visible" name="GenerateThirdParty" sheetId="8" r:id="rId10"/>
    <sheet state="visible" name="VerifyThirdPartyGenerate" sheetId="9" r:id="rId11"/>
    <sheet state="visible" name="UnwindClosing" sheetId="10" r:id="rId12"/>
    <sheet state="visible" name="VerifyThirdPartyView" sheetId="11" r:id="rId13"/>
    <sheet state="visible" name="ThirdPartyGenerate" sheetId="12" r:id="rId14"/>
  </sheets>
  <definedNames/>
  <calcPr/>
</workbook>
</file>

<file path=xl/sharedStrings.xml><?xml version="1.0" encoding="utf-8"?>
<sst xmlns="http://schemas.openxmlformats.org/spreadsheetml/2006/main" count="132" uniqueCount="48">
  <si>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</si>
  <si>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</si>
  <si>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</si>
  <si>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</si>
  <si>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</si>
  <si>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</si>
  <si>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</si>
  <si>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</si>
  <si>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</si>
  <si>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</si>
  <si>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</si>
  <si>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</si>
  <si>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</si>
  <si>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</si>
  <si>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</si>
  <si>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</si>
  <si>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</si>
  <si>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</si>
  <si>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>Allocation1</t>
  </si>
  <si>
    <t>MS</t>
  </si>
  <si>
    <t>Market</t>
  </si>
  <si>
    <t>Sell</t>
  </si>
  <si>
    <t>Closing</t>
  </si>
  <si>
    <t>GetDataClosing</t>
  </si>
  <si>
    <t>Current</t>
  </si>
  <si>
    <t>AutomaticClosing</t>
  </si>
  <si>
    <t>FIFO</t>
  </si>
  <si>
    <t>None</t>
  </si>
  <si>
    <t>Default</t>
  </si>
  <si>
    <t>ThirdParty</t>
  </si>
  <si>
    <t>ViewThirdParty</t>
  </si>
  <si>
    <t>PB.ISOX.Test</t>
  </si>
  <si>
    <t>ISOX</t>
  </si>
  <si>
    <t>Test</t>
  </si>
  <si>
    <t>PrimeBrokerClearer</t>
  </si>
  <si>
    <t>View</t>
  </si>
  <si>
    <t>Generate</t>
  </si>
  <si>
    <t xml:space="preserve">Send </t>
  </si>
  <si>
    <t>ThirdPartyGenerate</t>
  </si>
  <si>
    <t>VerifyThirdPartyGenerate</t>
  </si>
  <si>
    <t>Allocated</t>
  </si>
  <si>
    <t>UnwindClosing</t>
  </si>
  <si>
    <t>Strategy Unallocated</t>
  </si>
  <si>
    <t>Long</t>
  </si>
  <si>
    <t>Equity</t>
  </si>
  <si>
    <t>VerifyThirdPartyView</t>
  </si>
  <si>
    <t>Sent</t>
  </si>
  <si>
    <t>Amended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</si>
</sst>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6" fontId="13" numFmtId="14" xfId="0" applyAlignment="1" applyBorder="1" applyFill="1" applyFont="1" applyNumberForma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14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IFERROR(__xludf.DUMMYFUNCTION("""COMPUTED_VALUE"""),"1FoqMjsh7kSUAPZgAsBdK0Dgz6XaVskoGr37G773xRsI")</f>
        <v>1FoqMjsh7kSUAPZgAsBdK0Dgz6XaVskoGr37G773xRsI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IFERROR(__xludf.DUMMYFUNCTION("""COMPUTED_VALUE"""),"1JDZt3yDzGJYLwgfnrM-1JpkYjLh4xdqn3im1wNwUiWg")</f>
        <v>1JDZt3yDzGJYLwgfnrM-1JpkYjLh4xdqn3im1wNwUiWg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IFERROR(__xludf.DUMMYFUNCTION("""COMPUTED_VALUE"""),"1mcj3boGZkRmnkbGNVOiMK0RBd1tDfxGwoUagq09FwTM")</f>
        <v>1mcj3boGZkRmnkbGNVOiMK0RBd1tDfxGwoUagq09FwTM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IFERROR(__xludf.DUMMYFUNCTION("""COMPUTED_VALUE"""),"1ZZ2-R1OHOoSZ9jUfqlZ7UX-MNoTL_RipoEPOEeDhUiU")</f>
        <v>1ZZ2-R1OHOoSZ9jUfqlZ7UX-MNoTL_RipoEPOEeDhUiU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IFERROR(__xludf.DUMMYFUNCTION("""COMPUTED_VALUE"""),"1tuNkOgVUAgmGZdePkvb6Kq4fOIVUbM2Oo-j35VwEMxU")</f>
        <v>1tuNkOgVUAgmGZdePkvb6Kq4fOIVUbM2Oo-j35VwEMxU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IFERROR(__xludf.DUMMYFUNCTION("""COMPUTED_VALUE"""),"1rFegPn3vtFd9CjW_Q7sLLAAJfMR24R2aIjZeDzV88kI")</f>
        <v>1rFegPn3vtFd9CjW_Q7sLLAAJfMR24R2aIjZeDzV88kI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IFERROR(__xludf.DUMMYFUNCTION("""COMPUTED_VALUE"""),"1AUbU9P9evi80SGX-0B0OEU4EIeSy8XoX0Jxc2neUG7Y")</f>
        <v>1AUbU9P9evi80SGX-0B0OEU4EIeSy8XoX0Jxc2neUG7Y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16</v>
      </c>
      <c r="C6" s="11" t="s">
        <v>17</v>
      </c>
      <c r="D6" s="11">
        <v>100.0</v>
      </c>
      <c r="E6" s="30"/>
      <c r="F6" s="11" t="s">
        <v>18</v>
      </c>
      <c r="G6" s="11" t="s">
        <v>19</v>
      </c>
      <c r="H6" s="8"/>
      <c r="I6" s="11" t="s">
        <v>20</v>
      </c>
      <c r="J6" s="11">
        <v>10.0</v>
      </c>
      <c r="K6" s="8"/>
      <c r="L6" s="8"/>
      <c r="M6" s="8"/>
      <c r="N6" s="31">
        <f t="shared" ref="N6:N7" si="1">today()</f>
        <v>44026</v>
      </c>
      <c r="O6" s="8"/>
    </row>
    <row r="7" ht="15.75" customHeight="1">
      <c r="A7" s="8"/>
      <c r="B7" s="11" t="s">
        <v>16</v>
      </c>
      <c r="C7" s="11" t="s">
        <v>21</v>
      </c>
      <c r="D7" s="11">
        <v>80.0</v>
      </c>
      <c r="E7" s="8"/>
      <c r="F7" s="11" t="s">
        <v>18</v>
      </c>
      <c r="G7" s="11" t="s">
        <v>19</v>
      </c>
      <c r="H7" s="8"/>
      <c r="I7" s="11" t="s">
        <v>20</v>
      </c>
      <c r="J7" s="11">
        <v>11.0</v>
      </c>
      <c r="K7" s="8"/>
      <c r="L7" s="8"/>
      <c r="M7" s="8"/>
      <c r="N7" s="31">
        <f t="shared" si="1"/>
        <v>44026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24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1zwv-aZp-DRCpq8bqLR0XRiyt0av-GAm0ORqbhnV-FKI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3" t="b">
        <v>0</v>
      </c>
      <c r="C6" s="34" t="b">
        <v>1</v>
      </c>
      <c r="D6" s="35" t="s">
        <v>26</v>
      </c>
      <c r="E6" s="36" t="s">
        <v>27</v>
      </c>
      <c r="F6" s="36" t="s">
        <v>28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5" t="s">
        <v>31</v>
      </c>
      <c r="C6" s="36" t="s">
        <v>32</v>
      </c>
      <c r="D6" s="35" t="s">
        <v>33</v>
      </c>
      <c r="E6" s="36" t="s">
        <v>34</v>
      </c>
      <c r="F6" s="36" t="s">
        <v>35</v>
      </c>
      <c r="G6" s="36" t="s">
        <v>36</v>
      </c>
      <c r="H6" s="36" t="s">
        <v>37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ViewThirdParty!$4:$4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5" t="s">
        <v>31</v>
      </c>
      <c r="C6" s="36" t="s">
        <v>32</v>
      </c>
      <c r="D6" s="35" t="s">
        <v>33</v>
      </c>
      <c r="E6" s="36" t="s">
        <v>34</v>
      </c>
      <c r="F6" s="36" t="s">
        <v>35</v>
      </c>
      <c r="G6" s="36" t="s">
        <v>36</v>
      </c>
      <c r="H6" s="36" t="s">
        <v>37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GenerateThirdParty!$4:$4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5" t="s">
        <v>18</v>
      </c>
      <c r="C6" s="38" t="s">
        <v>16</v>
      </c>
      <c r="D6" s="35" t="s">
        <v>17</v>
      </c>
      <c r="E6" s="36">
        <v>10.0</v>
      </c>
      <c r="F6" s="39">
        <f t="shared" ref="F6:F7" si="1">today()</f>
        <v>44026</v>
      </c>
      <c r="G6" s="36">
        <v>100.0</v>
      </c>
      <c r="H6" s="36" t="s">
        <v>40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36" t="s">
        <v>18</v>
      </c>
      <c r="C7" s="36" t="s">
        <v>16</v>
      </c>
      <c r="D7" s="36" t="s">
        <v>21</v>
      </c>
      <c r="E7" s="36">
        <v>11.0</v>
      </c>
      <c r="F7" s="39">
        <f t="shared" si="1"/>
        <v>44026</v>
      </c>
      <c r="G7" s="38">
        <v>80.0</v>
      </c>
      <c r="H7" s="36" t="s">
        <v>40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VerifyThirdPartyGenerate!$4:$4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5"/>
      <c r="C6" s="36"/>
      <c r="D6" s="35" t="s">
        <v>18</v>
      </c>
      <c r="E6" s="36" t="s">
        <v>42</v>
      </c>
      <c r="F6" s="36" t="s">
        <v>43</v>
      </c>
      <c r="G6" s="36" t="s">
        <v>44</v>
      </c>
      <c r="H6" s="40" t="s">
        <v>16</v>
      </c>
      <c r="I6" s="41">
        <v>80.0</v>
      </c>
      <c r="J6" s="41">
        <v>10.0</v>
      </c>
      <c r="K6" s="41">
        <v>11.0</v>
      </c>
      <c r="L6" s="36"/>
      <c r="M6" s="36"/>
      <c r="N6" s="36"/>
      <c r="O6" s="36" t="s">
        <v>43</v>
      </c>
      <c r="P6" s="36"/>
      <c r="Q6" s="36" t="s">
        <v>21</v>
      </c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IFERROR(__xludf.DUMMYFUNCTION("""COMPUTED_VALUE"""),"AccountName")</f>
        <v>AccountName</v>
      </c>
      <c r="C5" s="27" t="str">
        <f>IFERROR(__xludf.DUMMYFUNCTION("""COMPUTED_VALUE"""),"Symbol")</f>
        <v>Symbol</v>
      </c>
      <c r="D5" s="27" t="str">
        <f>IFERROR(__xludf.DUMMYFUNCTION("""COMPUTED_VALUE"""),"Side")</f>
        <v>Side</v>
      </c>
      <c r="E5" s="27" t="str">
        <f>IFERROR(__xludf.DUMMYFUNCTION("""COMPUTED_VALUE"""),"AveragePrice")</f>
        <v>AveragePrice</v>
      </c>
      <c r="F5" s="28" t="str">
        <f>IFERROR(__xludf.DUMMYFUNCTION("""COMPUTED_VALUE"""),"TradeDate")</f>
        <v>TradeDate</v>
      </c>
      <c r="G5" s="27" t="str">
        <f>IFERROR(__xludf.DUMMYFUNCTION("""COMPUTED_VALUE"""),"Quantity")</f>
        <v>Quantity</v>
      </c>
      <c r="H5" s="27" t="str">
        <f>IFERROR(__xludf.DUMMYFUNCTION("""COMPUTED_VALUE"""),"State")</f>
        <v>State</v>
      </c>
      <c r="I5" s="27" t="str">
        <f>IFERROR(__xludf.DUMMYFUNCTION("""COMPUTED_VALUE"""),"Currency")</f>
        <v>Currency</v>
      </c>
      <c r="J5" s="27" t="str">
        <f>IFERROR(__xludf.DUMMYFUNCTION("""COMPUTED_VALUE"""),"Commission")</f>
        <v>Commission</v>
      </c>
      <c r="K5" s="27" t="str">
        <f>IFERROR(__xludf.DUMMYFUNCTION("""COMPUTED_VALUE"""),"NetAmount")</f>
        <v>NetAmount</v>
      </c>
      <c r="L5" s="27" t="str">
        <f>IFERROR(__xludf.DUMMYFUNCTION("""COMPUTED_VALUE"""),"AssetName")</f>
        <v>AssetName</v>
      </c>
      <c r="M5" s="27" t="str">
        <f>IFERROR(__xludf.DUMMYFUNCTION("""COMPUTED_VALUE"""),"FXRate")</f>
        <v>FXRate</v>
      </c>
      <c r="N5" s="27" t="str">
        <f>IFERROR(__xludf.DUMMYFUNCTION("""COMPUTED_VALUE"""),"Broker")</f>
        <v>Broker</v>
      </c>
      <c r="O5" s="27" t="str">
        <f>IFERROR(__xludf.DUMMYFUNCTION("""COMPUTED_VALUE"""),"TradeAttribute1")</f>
        <v>TradeAttribute1</v>
      </c>
      <c r="P5" s="27" t="str">
        <f>IFERROR(__xludf.DUMMYFUNCTION("""COMPUTED_VALUE"""),"TradeAttribute2")</f>
        <v>TradeAttribute2</v>
      </c>
      <c r="Q5" s="27" t="str">
        <f>IFERROR(__xludf.DUMMYFUNCTION("""COMPUTED_VALUE"""),"TradeAttribute3")</f>
        <v>TradeAttribute3</v>
      </c>
      <c r="R5" s="27" t="str">
        <f>IFERROR(__xludf.DUMMYFUNCTION("""COMPUTED_VALUE"""),"TradeAttribute4")</f>
        <v>TradeAttribute4</v>
      </c>
      <c r="S5" s="27" t="str">
        <f>IFERROR(__xludf.DUMMYFUNCTION("""COMPUTED_VALUE"""),"TradeAttribute5")</f>
        <v>TradeAttribute5</v>
      </c>
      <c r="T5" s="29" t="str">
        <f>IFERROR(__xludf.DUMMYFUNCTION("""COMPUTED_VALUE"""),"TradeAttribute6")</f>
        <v>TradeAttribute6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5"/>
      <c r="B6" s="38" t="s">
        <v>18</v>
      </c>
      <c r="C6" s="38" t="s">
        <v>16</v>
      </c>
      <c r="D6" s="38" t="s">
        <v>17</v>
      </c>
      <c r="E6" s="38">
        <v>10.0</v>
      </c>
      <c r="F6" s="42">
        <f t="shared" ref="F6:F7" si="1">today()</f>
        <v>44026</v>
      </c>
      <c r="G6" s="38">
        <v>100.0</v>
      </c>
      <c r="H6" s="38" t="s">
        <v>46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38" t="s">
        <v>18</v>
      </c>
      <c r="C7" s="38" t="s">
        <v>16</v>
      </c>
      <c r="D7" s="38" t="s">
        <v>21</v>
      </c>
      <c r="E7" s="38">
        <v>11.0</v>
      </c>
      <c r="F7" s="42">
        <f t="shared" si="1"/>
        <v>44026</v>
      </c>
      <c r="G7" s="38">
        <v>80.0</v>
      </c>
      <c r="H7" s="38" t="s">
        <v>47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VerifyThirdPartyView!$4:$4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IFERROR(__xludf.DUMMYFUNCTION("IF(C3="""","""",Transpose(IMPORTRANGE('_Settings'!$B$3,C3&amp;""!A4:A1000"")))"),"GenerateThirdParty")</f>
        <v>GenerateThirdParty</v>
      </c>
      <c r="C4" s="24" t="str">
        <f>IFERROR(__xludf.DUMMYFUNCTION("""COMPUTED_VALUE"""),"SendThirdParty")</f>
        <v>SendThirdParty</v>
      </c>
      <c r="D4" s="24" t="str">
        <f>IFERROR(__xludf.DUMMYFUNCTION("""COMPUTED_VALUE"""),"ViewThirdParty")</f>
        <v>ViewThirdParty</v>
      </c>
      <c r="E4" s="24" t="str">
        <f>IFERROR(__xludf.DUMMYFUNCTION("""COMPUTED_VALUE"""),"SelectThirdPartyName")</f>
        <v>SelectThirdPartyName</v>
      </c>
      <c r="F4" s="24" t="str">
        <f>IFERROR(__xludf.DUMMYFUNCTION("""COMPUTED_VALUE"""),"VerifyThirdPartyData")</f>
        <v>VerifyThirdPartyData</v>
      </c>
      <c r="G4" s="24" t="str">
        <f>IFERROR(__xludf.DUMMYFUNCTION("""COMPUTED_VALUE"""),"ThirdPartyWork")</f>
        <v>ThirdPartyWork</v>
      </c>
      <c r="H4" s="24" t="str">
        <f>IFERROR(__xludf.DUMMYFUNCTION("""COMPUTED_VALUE"""),"Automation")</f>
        <v>Automation</v>
      </c>
      <c r="I4" s="24" t="str">
        <f>IFERROR(__xludf.DUMMYFUNCTION("""COMPUTED_VALUE"""),"ThirdPartyManagerFunction")</f>
        <v>ThirdPartyManagerFunction</v>
      </c>
      <c r="J4" s="24" t="str">
        <f>IFERROR(__xludf.DUMMYFUNCTION("""COMPUTED_VALUE"""),"OpeningManager")</f>
        <v>OpeningManager</v>
      </c>
      <c r="K4" s="24" t="str">
        <f>IFERROR(__xludf.DUMMYFUNCTION("""COMPUTED_VALUE"""),"SelectFromThirdPartyGrid")</f>
        <v>SelectFromThirdPartyGrid</v>
      </c>
      <c r="L4" s="24" t="str">
        <f>IFERROR(__xludf.DUMMYFUNCTION("""COMPUTED_VALUE"""),"SelectThirdPartyJob")</f>
        <v>SelectThirdPartyJob</v>
      </c>
      <c r="M4" s="24" t="str">
        <f>IFERROR(__xludf.DUMMYFUNCTION("""COMPUTED_VALUE"""),"GenerateAllThirdPartyData")</f>
        <v>GenerateAllThirdPartyData</v>
      </c>
      <c r="N4" s="24" t="str">
        <f>IFERROR(__xludf.DUMMYFUNCTION("""COMPUTED_VALUE"""),"SendAllThirdPartyData")</f>
        <v>SendAllThirdPartyData</v>
      </c>
      <c r="O4" s="24" t="str">
        <f>IFERROR(__xludf.DUMMYFUNCTION("""COMPUTED_VALUE"""),"VerifyThirdPartyView")</f>
        <v>VerifyThirdPartyView</v>
      </c>
      <c r="P4" s="25" t="str">
        <f>IFERROR(__xludf.DUMMYFUNCTION("""COMPUTED_VALUE"""),"SelectThirdParty")</f>
        <v>SelectThirdParty</v>
      </c>
      <c r="Q4" s="25" t="str">
        <f>IFERROR(__xludf.DUMMYFUNCTION("""COMPUTED_VALUE"""),"SelectThirdParty")</f>
        <v>SelectThirdParty</v>
      </c>
      <c r="R4" s="25" t="str">
        <f>IFERROR(__xludf.DUMMYFUNCTION("""COMPUTED_VALUE"""),"ViewThirdParty")</f>
        <v>ViewThirdParty</v>
      </c>
      <c r="S4" s="25" t="str">
        <f>IFERROR(__xludf.DUMMYFUNCTION("""COMPUTED_VALUE"""),"GenerateThirdPartyData")</f>
        <v>GenerateThirdPartyData</v>
      </c>
      <c r="T4" s="25" t="str">
        <f>IFERROR(__xludf.DUMMYFUNCTION("""COMPUTED_VALUE"""),"ThirdPartyGenerate")</f>
        <v>ThirdPartyGenerate</v>
      </c>
      <c r="U4" s="25" t="str">
        <f>IFERROR(__xludf.DUMMYFUNCTION("""COMPUTED_VALUE"""),"VerifyThirdPartyView")</f>
        <v>VerifyThirdPartyView</v>
      </c>
      <c r="V4" s="25" t="str">
        <f>IFERROR(__xludf.DUMMYFUNCTION("""COMPUTED_VALUE"""),"VerifyThirdPartyGenerate")</f>
        <v>VerifyThirdPartyGenerate</v>
      </c>
      <c r="W4" s="25" t="str">
        <f>IFERROR(__xludf.DUMMYFUNCTION("""COMPUTED_VALUE"""),"VerifyThirdPartySend")</f>
        <v>VerifyThirdPartySend</v>
      </c>
      <c r="X4" s="25" t="str">
        <f>IFERROR(__xludf.DUMMYFUNCTION("""COMPUTED_VALUE"""),"ThirdPartySend")</f>
        <v>ThirdPartySend</v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IFERROR(__xludf.DUMMYFUNCTION("""COMPUTED_VALUE"""),"Job Name")</f>
        <v>Job Name</v>
      </c>
      <c r="C5" s="27" t="str">
        <f>IFERROR(__xludf.DUMMYFUNCTION("""COMPUTED_VALUE"""),"Party Name")</f>
        <v>Party Name</v>
      </c>
      <c r="D5" s="27" t="str">
        <f>IFERROR(__xludf.DUMMYFUNCTION("""COMPUTED_VALUE"""),"File Format")</f>
        <v>File Format</v>
      </c>
      <c r="E5" s="27" t="str">
        <f>IFERROR(__xludf.DUMMYFUNCTION("""COMPUTED_VALUE"""),"Third Party Type")</f>
        <v>Third Party Type</v>
      </c>
      <c r="F5" s="28" t="str">
        <f>IFERROR(__xludf.DUMMYFUNCTION("""COMPUTED_VALUE"""),"View")</f>
        <v>View</v>
      </c>
      <c r="G5" s="27" t="str">
        <f>IFERROR(__xludf.DUMMYFUNCTION("""COMPUTED_VALUE"""),"Generate")</f>
        <v>Generate</v>
      </c>
      <c r="H5" s="27" t="str">
        <f>IFERROR(__xludf.DUMMYFUNCTION("""COMPUTED_VALUE"""),"Send")</f>
        <v>Send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5" t="s">
        <v>31</v>
      </c>
      <c r="C6" s="36" t="s">
        <v>32</v>
      </c>
      <c r="D6" s="35" t="s">
        <v>33</v>
      </c>
      <c r="E6" s="36" t="s">
        <v>34</v>
      </c>
      <c r="F6" s="36" t="s">
        <v>35</v>
      </c>
      <c r="G6" s="36" t="s">
        <v>36</v>
      </c>
      <c r="H6" s="36" t="s">
        <v>37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ThirdPartyGenerate!$4:$4</formula1>
    </dataValidation>
  </dataValidations>
  <drawing r:id="rId1"/>
</worksheet>
</file>