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CreateDoneAwayOrder" sheetId="5" r:id="rId7"/>
    <sheet state="visible" name="GetDataAllocation" sheetId="6" r:id="rId8"/>
    <sheet state="visible" name="SelectUnallocatedGroup" sheetId="7" r:id="rId9"/>
    <sheet state="visible" name="EditUnallocatedGroupSidePanel" sheetId="8" r:id="rId10"/>
    <sheet state="visible" name="CheckUnallocatedGroups" sheetId="9" r:id="rId11"/>
  </sheets>
  <definedNames/>
  <calcPr/>
</workbook>
</file>

<file path=xl/sharedStrings.xml><?xml version="1.0" encoding="utf-8"?>
<sst xmlns="http://schemas.openxmlformats.org/spreadsheetml/2006/main" count="82" uniqueCount="39">
  <si>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</si>
  <si>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</si>
  <si>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</si>
  <si>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</si>
  <si>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</si>
  <si>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</si>
  <si>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</si>
  <si>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</si>
  <si>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</si>
  <si>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</si>
  <si>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</si>
  <si>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</si>
  <si>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</si>
  <si>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</si>
  <si>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</si>
  <si>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</si>
  <si>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TradingTicket</t>
  </si>
  <si>
    <t>CreateDoneAwayOrder</t>
  </si>
  <si>
    <t>FINV</t>
  </si>
  <si>
    <t>Buy</t>
  </si>
  <si>
    <t>Unallocated</t>
  </si>
  <si>
    <t>MS</t>
  </si>
  <si>
    <t>Flat Amount</t>
  </si>
  <si>
    <t>Auto</t>
  </si>
  <si>
    <t>GetDataAllocation</t>
  </si>
  <si>
    <t>CURRENT</t>
  </si>
  <si>
    <t>SelectUnallocatedGroup</t>
  </si>
  <si>
    <t>NASDAQ</t>
  </si>
  <si>
    <t>USD</t>
  </si>
  <si>
    <t>EditUnallocatedGroupSidePanel</t>
  </si>
  <si>
    <t>GS</t>
  </si>
  <si>
    <t>CheckUnallocatedGroups</t>
  </si>
  <si>
    <t>FINV US EQUITY</t>
  </si>
  <si>
    <t>Open</t>
  </si>
  <si>
    <t>M</t>
  </si>
  <si>
    <t>Market</t>
  </si>
  <si>
    <t>GCCAP1</t>
  </si>
  <si>
    <t>US</t>
  </si>
  <si>
    <t>jpearce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</si>
</sst>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T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18</v>
      </c>
      <c r="C6" s="8" t="s">
        <v>19</v>
      </c>
      <c r="D6" s="32">
        <v>1000.0</v>
      </c>
      <c r="E6" s="8">
        <v>1000.0</v>
      </c>
      <c r="F6" s="8" t="s">
        <v>20</v>
      </c>
      <c r="G6" s="8" t="s">
        <v>21</v>
      </c>
      <c r="H6" s="8"/>
      <c r="I6" s="8"/>
      <c r="J6" s="8">
        <v>1.0</v>
      </c>
      <c r="K6" s="8"/>
      <c r="L6" s="8"/>
      <c r="M6" s="8"/>
      <c r="N6" s="8"/>
      <c r="O6" s="8"/>
      <c r="R6" t="s">
        <v>22</v>
      </c>
      <c r="S6">
        <v>20.0</v>
      </c>
      <c r="T6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18</v>
      </c>
      <c r="C6" s="8" t="s">
        <v>19</v>
      </c>
      <c r="D6" s="32">
        <v>1000.0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t="s">
        <v>21</v>
      </c>
      <c r="R6" t="s">
        <v>27</v>
      </c>
      <c r="V6" t="s">
        <v>28</v>
      </c>
      <c r="AN6">
        <v>1000.0</v>
      </c>
      <c r="AP6">
        <v>20.0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IFERROR(__xludf.DUMMYFUNCTION("""COMPUTED_VALUE"""),"ExecutedQty")</f>
        <v>ExecutedQty</v>
      </c>
      <c r="C5" s="28" t="str">
        <f>IFERROR(__xludf.DUMMYFUNCTION("""COMPUTED_VALUE"""),"AvgPrice")</f>
        <v>AvgPrice</v>
      </c>
      <c r="D5" s="28" t="str">
        <f>IFERROR(__xludf.DUMMYFUNCTION("""COMPUTED_VALUE"""),"Side")</f>
        <v>Side</v>
      </c>
      <c r="E5" s="28" t="str">
        <f>IFERROR(__xludf.DUMMYFUNCTION("""COMPUTED_VALUE"""),"TradeDate")</f>
        <v>TradeDate</v>
      </c>
      <c r="F5" s="29" t="str">
        <f>IFERROR(__xludf.DUMMYFUNCTION("""COMPUTED_VALUE"""),"ProcessDate")</f>
        <v>ProcessDate</v>
      </c>
      <c r="G5" s="28" t="str">
        <f>IFERROR(__xludf.DUMMYFUNCTION("""COMPUTED_VALUE"""),"OriginalPurchaseDate")</f>
        <v>OriginalPurchaseDate</v>
      </c>
      <c r="H5" s="28" t="str">
        <f>IFERROR(__xludf.DUMMYFUNCTION("""COMPUTED_VALUE"""),"SettlementDate")</f>
        <v>SettlementDate</v>
      </c>
      <c r="I5" s="28" t="str">
        <f>IFERROR(__xludf.DUMMYFUNCTION("""COMPUTED_VALUE"""),"Commission")</f>
        <v>Commission</v>
      </c>
      <c r="J5" s="28" t="str">
        <f>IFERROR(__xludf.DUMMYFUNCTION("""COMPUTED_VALUE"""),"SoftCommission")</f>
        <v>SoftCommission</v>
      </c>
      <c r="K5" s="28" t="str">
        <f>IFERROR(__xludf.DUMMYFUNCTION("""COMPUTED_VALUE"""),"OtherBrokerFees")</f>
        <v>OtherBrokerFees</v>
      </c>
      <c r="L5" s="28" t="str">
        <f>IFERROR(__xludf.DUMMYFUNCTION("""COMPUTED_VALUE"""),"ClearingBrokerFees")</f>
        <v>ClearingBrokerFees</v>
      </c>
      <c r="M5" s="28" t="str">
        <f>IFERROR(__xludf.DUMMYFUNCTION("""COMPUTED_VALUE"""),"StampDuty")</f>
        <v>StampDuty</v>
      </c>
      <c r="N5" s="28" t="str">
        <f>IFERROR(__xludf.DUMMYFUNCTION("""COMPUTED_VALUE"""),"TransactionLevy")</f>
        <v>TransactionLevy</v>
      </c>
      <c r="O5" s="28" t="str">
        <f>IFERROR(__xludf.DUMMYFUNCTION("""COMPUTED_VALUE"""),"AUECFee1")</f>
        <v>AUECFee1</v>
      </c>
      <c r="P5" s="28" t="str">
        <f>IFERROR(__xludf.DUMMYFUNCTION("""COMPUTED_VALUE"""),"TaxOnCommissions")</f>
        <v>TaxOnCommissions</v>
      </c>
      <c r="Q5" s="28" t="str">
        <f>IFERROR(__xludf.DUMMYFUNCTION("""COMPUTED_VALUE"""),"AUECFee2")</f>
        <v>AUECFee2</v>
      </c>
      <c r="R5" s="28" t="str">
        <f>IFERROR(__xludf.DUMMYFUNCTION("""COMPUTED_VALUE"""),"SecFee")</f>
        <v>SecFee</v>
      </c>
      <c r="S5" s="28" t="str">
        <f>IFERROR(__xludf.DUMMYFUNCTION("""COMPUTED_VALUE"""),"OccFee")</f>
        <v>OccFee</v>
      </c>
      <c r="T5" s="30" t="str">
        <f>IFERROR(__xludf.DUMMYFUNCTION("""COMPUTED_VALUE"""),"OrfFee")</f>
        <v>OrfFee</v>
      </c>
      <c r="U5" s="30" t="str">
        <f>IFERROR(__xludf.DUMMYFUNCTION("""COMPUTED_VALUE"""),"Broker")</f>
        <v>Broker</v>
      </c>
      <c r="V5" s="30" t="str">
        <f>IFERROR(__xludf.DUMMYFUNCTION("""COMPUTED_VALUE"""),"Venue")</f>
        <v>Venue</v>
      </c>
      <c r="W5" s="30" t="str">
        <f>IFERROR(__xludf.DUMMYFUNCTION("""COMPUTED_VALUE"""),"Description")</f>
        <v>Description</v>
      </c>
      <c r="X5" s="30" t="str">
        <f>IFERROR(__xludf.DUMMYFUNCTION("""COMPUTED_VALUE"""),"InternalComments")</f>
        <v>InternalComments</v>
      </c>
      <c r="Y5" s="30" t="str">
        <f>IFERROR(__xludf.DUMMYFUNCTION("""COMPUTED_VALUE"""),"FXRate")</f>
        <v>FXRate</v>
      </c>
      <c r="Z5" s="30" t="str">
        <f>IFERROR(__xludf.DUMMYFUNCTION("""COMPUTED_VALUE"""),"FxConvOperator")</f>
        <v>FxConvOperator</v>
      </c>
      <c r="AA5" s="30" t="str">
        <f>IFERROR(__xludf.DUMMYFUNCTION("""COMPUTED_VALUE"""),"AccruedInterest")</f>
        <v>AccruedInterest</v>
      </c>
      <c r="AB5" s="30" t="str">
        <f>IFERROR(__xludf.DUMMYFUNCTION("""COMPUTED_VALUE"""),"TradeAttribute1")</f>
        <v>TradeAttribute1</v>
      </c>
      <c r="AC5" s="30" t="str">
        <f>IFERROR(__xludf.DUMMYFUNCTION("""COMPUTED_VALUE"""),"TradeAttribute2")</f>
        <v>TradeAttribute2</v>
      </c>
      <c r="AD5" s="30" t="str">
        <f>IFERROR(__xludf.DUMMYFUNCTION("""COMPUTED_VALUE"""),"TradeAttribute3")</f>
        <v>TradeAttribute3</v>
      </c>
      <c r="AE5" s="30" t="str">
        <f>IFERROR(__xludf.DUMMYFUNCTION("""COMPUTED_VALUE"""),"TradeAttribute4")</f>
        <v>TradeAttribute4</v>
      </c>
      <c r="AF5" s="30" t="str">
        <f>IFERROR(__xludf.DUMMYFUNCTION("""COMPUTED_VALUE"""),"TradeAttribute5")</f>
        <v>TradeAttribute5</v>
      </c>
      <c r="AG5" s="30" t="str">
        <f>IFERROR(__xludf.DUMMYFUNCTION("""COMPUTED_VALUE"""),"TradeAttribute6")</f>
        <v>TradeAttribute6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U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EditUnallocatedGroupSidePanel!$4:$4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0.0</v>
      </c>
      <c r="E6" s="31"/>
      <c r="F6" s="8"/>
      <c r="G6" s="8"/>
      <c r="H6" s="8"/>
      <c r="I6" s="8"/>
      <c r="J6" s="8"/>
      <c r="K6" s="8"/>
      <c r="L6" s="31" t="s">
        <v>32</v>
      </c>
      <c r="M6" s="8"/>
      <c r="N6" s="13" t="s">
        <v>30</v>
      </c>
      <c r="O6" s="8"/>
      <c r="S6" s="9" t="s">
        <v>33</v>
      </c>
      <c r="T6" s="9">
        <v>20.0</v>
      </c>
      <c r="Z6" s="9" t="s">
        <v>28</v>
      </c>
      <c r="AD6" s="33" t="s">
        <v>27</v>
      </c>
      <c r="AE6" s="9">
        <v>1000.0</v>
      </c>
      <c r="AG6" s="9" t="s">
        <v>34</v>
      </c>
      <c r="AH6" s="9">
        <v>1.0</v>
      </c>
      <c r="AY6" s="9" t="s">
        <v>35</v>
      </c>
      <c r="BE6" s="9">
        <v>1000.0</v>
      </c>
      <c r="BF6" s="9">
        <v>1000.0</v>
      </c>
      <c r="BJ6" s="9">
        <v>1000.0</v>
      </c>
      <c r="BM6" s="9" t="s">
        <v>28</v>
      </c>
      <c r="BO6" s="9" t="s">
        <v>19</v>
      </c>
      <c r="BP6" s="9">
        <v>0.0</v>
      </c>
      <c r="BS6" s="9" t="s">
        <v>18</v>
      </c>
      <c r="BT6" s="9">
        <v>3.0</v>
      </c>
      <c r="BU6" s="9">
        <v>20.0</v>
      </c>
      <c r="BV6" s="9">
        <v>34.0006</v>
      </c>
      <c r="CE6" s="33" t="s">
        <v>36</v>
      </c>
      <c r="CH6" s="9" t="s">
        <v>19</v>
      </c>
      <c r="CI6" s="9">
        <v>1000.0</v>
      </c>
      <c r="CJ6" s="9" t="s">
        <v>37</v>
      </c>
      <c r="CL6" s="9" t="s">
        <v>18</v>
      </c>
      <c r="CM6" s="33" t="s">
        <v>38</v>
      </c>
      <c r="CN6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drawing r:id="rId1"/>
</worksheet>
</file>