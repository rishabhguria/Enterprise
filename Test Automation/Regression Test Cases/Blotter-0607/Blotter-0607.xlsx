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AutoGroupingAllocation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SelectTrade3" sheetId="16" r:id="rId18"/>
    <sheet state="visible" name="AcknowledgeTrade3" sheetId="17" r:id="rId19"/>
    <sheet state="visible" name="ExecuteTrade3" sheetId="18" r:id="rId20"/>
    <sheet state="visible" name="SelectTradeOnOrderGrid" sheetId="19" r:id="rId21"/>
    <sheet state="visible" name="AllocateFromBlotter" sheetId="20" r:id="rId22"/>
    <sheet state="visible" name="SelectTradeOnOrderGrid1" sheetId="21" r:id="rId23"/>
    <sheet state="visible" name="AllocateFromBlotter1" sheetId="22" r:id="rId24"/>
    <sheet state="visible" name="SelectTradeOnOrderGrid2" sheetId="23" r:id="rId25"/>
    <sheet state="visible" name="AllocateFromBlotter2" sheetId="24" r:id="rId26"/>
    <sheet state="visible" name="SelectTradeOnOrderGrid3" sheetId="25" r:id="rId27"/>
    <sheet state="visible" name="AllocateFromBlotter3" sheetId="26" r:id="rId28"/>
    <sheet state="visible" name="VerifyOrder" sheetId="27" r:id="rId29"/>
    <sheet state="visible" name="GetDataAllocation" sheetId="28" r:id="rId30"/>
    <sheet state="visible" name="CheckAllocatedGroups" sheetId="29" r:id="rId31"/>
  </sheets>
  <definedNames/>
  <calcPr/>
</workbook>
</file>

<file path=xl/sharedStrings.xml><?xml version="1.0" encoding="utf-8"?>
<sst xmlns="http://schemas.openxmlformats.org/spreadsheetml/2006/main" count="470" uniqueCount="63">
  <si>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</si>
  <si>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</si>
  <si>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</si>
  <si>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</si>
  <si>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</si>
  <si>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</si>
  <si>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</si>
  <si>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</si>
  <si>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</si>
  <si>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</si>
  <si>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</si>
  <si>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</si>
  <si>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</si>
  <si>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EnableAutoGroupingAllocation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</si>
  <si>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</si>
  <si>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</si>
  <si>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</si>
  <si>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</si>
  <si>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</si>
  <si>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</si>
  <si>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</si>
  <si>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AMZN</t>
  </si>
  <si>
    <t>CreateLiveOrder</t>
  </si>
  <si>
    <t>GOOG</t>
  </si>
  <si>
    <t>NFLX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</si>
  <si>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</si>
  <si>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</si>
  <si>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</si>
  <si>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</si>
  <si>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</si>
  <si>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</si>
  <si>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</si>
  <si>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Allocation1</t>
  </si>
  <si>
    <t>VerifyOrder</t>
  </si>
  <si>
    <t>Filled</t>
  </si>
  <si>
    <t>MS</t>
  </si>
  <si>
    <t>PartiallyFilled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</si>
  <si>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</si>
  <si>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</si>
  <si>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</si>
  <si>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</si>
  <si>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</si>
  <si>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</si>
  <si>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</si>
  <si>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</si>
  <si>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</si>
  <si>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</si>
  <si>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</si>
  <si>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</si>
  <si>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</si>
  <si>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</si>
  <si>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</si>
  <si>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</si>
  <si>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</si>
  <si>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</si>
  <si>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</si>
  <si>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</si>
  <si>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</si>
  <si>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Samsara</t>
  </si>
  <si>
    <t>NONE</t>
  </si>
  <si>
    <t>NewMF</t>
  </si>
  <si>
    <t>GOOG US EQUITY</t>
  </si>
  <si>
    <t>GOOGLE-A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</si>
</sst>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IFERROR(__xludf.DUMMYFUNCTION("""COMPUTED_VALUE"""),"Enable")</f>
        <v>Enable</v>
      </c>
      <c r="C5" s="27" t="str">
        <f>IFERROR(__xludf.DUMMYFUNCTION("""COMPUTED_VALUE"""),"EnableAllFunds")</f>
        <v>EnableAllFunds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EnableAutoGroupingAllocation!$4:$4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1" t="s">
        <v>19</v>
      </c>
      <c r="D6" s="32">
        <v>10.0</v>
      </c>
      <c r="E6" s="33"/>
      <c r="F6" s="34" t="s">
        <v>20</v>
      </c>
      <c r="G6" s="33"/>
      <c r="H6" s="35"/>
      <c r="I6" s="35"/>
      <c r="J6" s="36">
        <v>4.0</v>
      </c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19</v>
      </c>
      <c r="D7" s="32">
        <v>10.0</v>
      </c>
      <c r="E7" s="33"/>
      <c r="F7" s="34" t="s">
        <v>20</v>
      </c>
      <c r="G7" s="33"/>
      <c r="H7" s="35"/>
      <c r="I7" s="35"/>
      <c r="J7" s="32">
        <v>6.0</v>
      </c>
      <c r="K7" s="8"/>
      <c r="L7" s="8"/>
      <c r="M7" s="8"/>
      <c r="N7" s="8"/>
      <c r="O7" s="8"/>
    </row>
    <row r="8" ht="15.75" customHeight="1">
      <c r="A8" s="8"/>
      <c r="B8" s="37" t="s">
        <v>21</v>
      </c>
      <c r="C8" s="37" t="s">
        <v>19</v>
      </c>
      <c r="D8" s="32">
        <v>10.0</v>
      </c>
      <c r="E8" s="38">
        <v>5.0</v>
      </c>
      <c r="F8" s="34" t="s">
        <v>20</v>
      </c>
      <c r="G8" s="35"/>
      <c r="H8" s="35"/>
      <c r="I8" s="35"/>
      <c r="J8" s="36">
        <v>4.0</v>
      </c>
      <c r="K8" s="8"/>
      <c r="L8" s="8"/>
      <c r="M8" s="8"/>
      <c r="N8" s="8"/>
      <c r="O8" s="8"/>
    </row>
    <row r="9" ht="15.75" customHeight="1">
      <c r="A9" s="8"/>
      <c r="B9" s="37" t="s">
        <v>21</v>
      </c>
      <c r="C9" s="37" t="s">
        <v>19</v>
      </c>
      <c r="D9" s="32">
        <v>10.0</v>
      </c>
      <c r="E9" s="38">
        <v>5.0</v>
      </c>
      <c r="F9" s="34" t="s">
        <v>20</v>
      </c>
      <c r="G9" s="35"/>
      <c r="H9" s="35"/>
      <c r="I9" s="35"/>
      <c r="J9" s="39">
        <v>6.0</v>
      </c>
      <c r="K9" s="8"/>
      <c r="L9" s="8"/>
      <c r="M9" s="8"/>
      <c r="N9" s="8"/>
      <c r="O9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12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7" t="s">
        <v>23</v>
      </c>
      <c r="C6" s="37" t="s">
        <v>19</v>
      </c>
      <c r="D6" s="32">
        <v>10.0</v>
      </c>
      <c r="E6" s="38"/>
      <c r="F6" s="34" t="s">
        <v>20</v>
      </c>
      <c r="G6" s="35"/>
      <c r="H6" s="35"/>
      <c r="I6" s="35"/>
      <c r="J6" s="36">
        <v>4.0</v>
      </c>
      <c r="K6" s="8"/>
      <c r="L6" s="8"/>
      <c r="M6" s="8"/>
      <c r="N6" s="8"/>
      <c r="O6" s="8"/>
    </row>
    <row r="7" ht="15.75" customHeight="1">
      <c r="A7" s="8"/>
      <c r="B7" s="37" t="s">
        <v>23</v>
      </c>
      <c r="C7" s="37" t="s">
        <v>19</v>
      </c>
      <c r="D7" s="36">
        <v>20.0</v>
      </c>
      <c r="E7" s="38"/>
      <c r="F7" s="34" t="s">
        <v>20</v>
      </c>
      <c r="G7" s="35"/>
      <c r="H7" s="35"/>
      <c r="I7" s="35"/>
      <c r="J7" s="39">
        <v>6.0</v>
      </c>
      <c r="K7" s="8"/>
      <c r="L7" s="8"/>
      <c r="M7" s="8"/>
      <c r="N7" s="8"/>
      <c r="O7" s="8"/>
    </row>
    <row r="8" ht="15.75" customHeight="1">
      <c r="A8" s="8"/>
      <c r="B8" s="37" t="s">
        <v>24</v>
      </c>
      <c r="C8" s="37" t="s">
        <v>19</v>
      </c>
      <c r="D8" s="32">
        <v>10.0</v>
      </c>
      <c r="E8" s="38"/>
      <c r="F8" s="34" t="s">
        <v>20</v>
      </c>
      <c r="G8" s="35"/>
      <c r="H8" s="35"/>
      <c r="I8" s="35"/>
      <c r="J8" s="36">
        <v>4.0</v>
      </c>
      <c r="K8" s="8"/>
      <c r="L8" s="8"/>
      <c r="M8" s="8"/>
      <c r="N8" s="8"/>
      <c r="O8" s="8"/>
    </row>
    <row r="9" ht="15.75" customHeight="1">
      <c r="A9" s="8"/>
      <c r="B9" s="37" t="s">
        <v>24</v>
      </c>
      <c r="C9" s="37" t="s">
        <v>19</v>
      </c>
      <c r="D9" s="36">
        <v>20.0</v>
      </c>
      <c r="E9" s="38"/>
      <c r="F9" s="34" t="s">
        <v>20</v>
      </c>
      <c r="G9" s="35"/>
      <c r="H9" s="35"/>
      <c r="I9" s="35"/>
      <c r="J9" s="39">
        <v>6.0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23</v>
      </c>
      <c r="D6" s="12"/>
      <c r="E6" s="12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23</v>
      </c>
      <c r="D6" s="12"/>
      <c r="E6" s="12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23</v>
      </c>
      <c r="D6" s="12"/>
      <c r="E6" s="12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23</v>
      </c>
      <c r="D6" s="12"/>
      <c r="E6" s="12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24</v>
      </c>
      <c r="D6" s="12"/>
      <c r="E6" s="12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24</v>
      </c>
      <c r="D6" s="12"/>
      <c r="E6" s="12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4.0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24</v>
      </c>
      <c r="D6" s="12"/>
      <c r="E6" s="12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7" t="s">
        <v>24</v>
      </c>
      <c r="D6" s="12"/>
      <c r="E6" s="12"/>
      <c r="F6" s="8"/>
      <c r="G6" s="12">
        <v>20.0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7" t="s">
        <v>24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4.0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34</v>
      </c>
      <c r="AL6" s="9">
        <v>10.0</v>
      </c>
      <c r="AM6" s="9">
        <v>10.0</v>
      </c>
      <c r="AS6" s="9" t="s">
        <v>35</v>
      </c>
    </row>
    <row r="7" ht="15.75" customHeight="1">
      <c r="A7" s="8"/>
      <c r="B7" s="8"/>
      <c r="C7" s="8"/>
      <c r="D7" s="12">
        <v>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19</v>
      </c>
      <c r="AK7" s="9" t="s">
        <v>34</v>
      </c>
      <c r="AL7" s="9">
        <v>10.0</v>
      </c>
      <c r="AM7" s="9">
        <v>10.0</v>
      </c>
      <c r="AS7" s="9" t="s">
        <v>35</v>
      </c>
    </row>
    <row r="8" ht="15.75" customHeight="1">
      <c r="A8" s="8"/>
      <c r="B8" s="8"/>
      <c r="C8" s="8"/>
      <c r="D8" s="12">
        <v>4.0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21</v>
      </c>
      <c r="AJ8" s="9" t="s">
        <v>19</v>
      </c>
      <c r="AK8" s="9" t="s">
        <v>36</v>
      </c>
      <c r="AL8" s="9">
        <v>10.0</v>
      </c>
      <c r="AM8" s="9">
        <v>5.0</v>
      </c>
      <c r="AS8" s="9" t="s">
        <v>35</v>
      </c>
    </row>
    <row r="9" ht="15.75" customHeight="1">
      <c r="A9" s="8"/>
      <c r="B9" s="8"/>
      <c r="C9" s="8"/>
      <c r="D9" s="12">
        <v>6.0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21</v>
      </c>
      <c r="AJ9" s="9" t="s">
        <v>19</v>
      </c>
      <c r="AK9" s="9" t="s">
        <v>36</v>
      </c>
      <c r="AL9" s="9">
        <v>10.0</v>
      </c>
      <c r="AM9" s="9">
        <v>5.0</v>
      </c>
      <c r="AS9" s="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40">
        <f>today()-1</f>
        <v>45848</v>
      </c>
      <c r="D6" s="41">
        <f>today()</f>
        <v>45849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2" t="s">
        <v>41</v>
      </c>
      <c r="B6" s="42" t="s">
        <v>32</v>
      </c>
      <c r="C6" s="8" t="s">
        <v>42</v>
      </c>
      <c r="D6" s="42">
        <v>0.0</v>
      </c>
      <c r="E6" s="8">
        <v>20.0</v>
      </c>
      <c r="F6" s="8" t="s">
        <v>43</v>
      </c>
      <c r="G6" s="8" t="s">
        <v>44</v>
      </c>
      <c r="H6" s="8">
        <v>4.0</v>
      </c>
      <c r="I6" s="8">
        <v>5.0</v>
      </c>
      <c r="J6" s="8">
        <v>1.0</v>
      </c>
      <c r="K6" s="8">
        <v>5.0</v>
      </c>
      <c r="L6" s="8">
        <v>5.0</v>
      </c>
      <c r="M6" s="8" t="s">
        <v>45</v>
      </c>
      <c r="N6" s="8" t="s">
        <v>46</v>
      </c>
      <c r="O6" s="8" t="s">
        <v>35</v>
      </c>
      <c r="Q6">
        <v>3.0</v>
      </c>
      <c r="R6">
        <v>0.0</v>
      </c>
      <c r="S6" t="s">
        <v>47</v>
      </c>
      <c r="V6" t="s">
        <v>48</v>
      </c>
      <c r="W6">
        <v>1.0</v>
      </c>
      <c r="Y6" t="s">
        <v>41</v>
      </c>
      <c r="Z6" t="s">
        <v>49</v>
      </c>
      <c r="AB6">
        <v>1.0</v>
      </c>
      <c r="AD6" t="s">
        <v>50</v>
      </c>
      <c r="AE6">
        <v>20.0</v>
      </c>
      <c r="AF6" t="s">
        <v>41</v>
      </c>
      <c r="AH6" t="s">
        <v>51</v>
      </c>
      <c r="AI6">
        <v>1.0</v>
      </c>
      <c r="AJ6" t="s">
        <v>52</v>
      </c>
      <c r="AN6" t="b">
        <v>0</v>
      </c>
      <c r="AT6">
        <v>114.0001</v>
      </c>
      <c r="AU6">
        <v>114.0001</v>
      </c>
      <c r="AY6" t="s">
        <v>53</v>
      </c>
      <c r="BD6" t="s">
        <v>54</v>
      </c>
      <c r="BE6">
        <v>100.0</v>
      </c>
      <c r="BF6">
        <v>100.0</v>
      </c>
      <c r="BJ6">
        <v>20.0</v>
      </c>
      <c r="BL6" t="s">
        <v>41</v>
      </c>
      <c r="BM6" t="s">
        <v>49</v>
      </c>
      <c r="BO6" t="s">
        <v>19</v>
      </c>
      <c r="BP6">
        <v>0.0</v>
      </c>
      <c r="BQ6">
        <v>0.0</v>
      </c>
      <c r="BR6">
        <v>1.0E-4</v>
      </c>
      <c r="BS6" t="s">
        <v>55</v>
      </c>
      <c r="BT6" t="s">
        <v>18</v>
      </c>
      <c r="BU6">
        <v>3.0</v>
      </c>
      <c r="BV6">
        <v>0.0</v>
      </c>
      <c r="BX6">
        <v>0.0</v>
      </c>
      <c r="CF6" t="s">
        <v>56</v>
      </c>
      <c r="CG6">
        <v>2.0</v>
      </c>
      <c r="CH6" t="s">
        <v>52</v>
      </c>
      <c r="CI6" t="s">
        <v>19</v>
      </c>
      <c r="CJ6">
        <v>0.0</v>
      </c>
      <c r="CK6" t="s">
        <v>57</v>
      </c>
      <c r="CL6">
        <v>1.0</v>
      </c>
      <c r="CM6" t="s">
        <v>18</v>
      </c>
      <c r="CN6" t="s">
        <v>58</v>
      </c>
      <c r="CO6" t="s">
        <v>50</v>
      </c>
      <c r="CP6" t="s">
        <v>59</v>
      </c>
      <c r="CS6" t="s">
        <v>41</v>
      </c>
      <c r="CW6">
        <v>0.0</v>
      </c>
      <c r="CX6" t="s">
        <v>60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 t="s">
        <v>41</v>
      </c>
      <c r="B7" s="8" t="s">
        <v>32</v>
      </c>
      <c r="C7" s="8" t="s">
        <v>42</v>
      </c>
      <c r="D7" s="8">
        <v>0.0</v>
      </c>
      <c r="E7" s="8">
        <v>30.0</v>
      </c>
      <c r="F7" s="8" t="s">
        <v>43</v>
      </c>
      <c r="G7" s="8" t="s">
        <v>44</v>
      </c>
      <c r="H7" s="8">
        <v>4.0</v>
      </c>
      <c r="I7" s="8">
        <v>5.0</v>
      </c>
      <c r="J7" s="8">
        <v>1.0</v>
      </c>
      <c r="K7" s="8">
        <v>5.33333333333333</v>
      </c>
      <c r="L7" s="8">
        <v>5.33333333333333</v>
      </c>
      <c r="M7" s="8" t="s">
        <v>61</v>
      </c>
      <c r="N7" s="8" t="s">
        <v>46</v>
      </c>
      <c r="O7" s="8" t="s">
        <v>35</v>
      </c>
      <c r="Q7">
        <v>3.0</v>
      </c>
      <c r="R7">
        <v>0.0</v>
      </c>
      <c r="S7" t="s">
        <v>47</v>
      </c>
      <c r="V7" t="s">
        <v>62</v>
      </c>
      <c r="W7">
        <v>1.0</v>
      </c>
      <c r="Y7" t="s">
        <v>41</v>
      </c>
      <c r="Z7" t="s">
        <v>49</v>
      </c>
      <c r="AB7">
        <v>1.0</v>
      </c>
      <c r="AD7" t="s">
        <v>50</v>
      </c>
      <c r="AE7">
        <v>30.0</v>
      </c>
      <c r="AF7" t="s">
        <v>41</v>
      </c>
      <c r="AH7" t="s">
        <v>51</v>
      </c>
      <c r="AI7">
        <v>1.0</v>
      </c>
      <c r="AJ7" t="s">
        <v>52</v>
      </c>
      <c r="AN7" t="b">
        <v>0</v>
      </c>
      <c r="AT7">
        <v>174.0001</v>
      </c>
      <c r="AU7">
        <v>174.0001</v>
      </c>
      <c r="AY7" t="s">
        <v>53</v>
      </c>
      <c r="BD7" t="s">
        <v>54</v>
      </c>
      <c r="BE7">
        <v>160.0</v>
      </c>
      <c r="BF7">
        <v>160.0</v>
      </c>
      <c r="BJ7">
        <v>30.0</v>
      </c>
      <c r="BL7" t="s">
        <v>41</v>
      </c>
      <c r="BM7" t="s">
        <v>49</v>
      </c>
      <c r="BO7" t="s">
        <v>19</v>
      </c>
      <c r="BP7">
        <v>0.0</v>
      </c>
      <c r="BQ7">
        <v>0.0</v>
      </c>
      <c r="BR7">
        <v>1.0E-4</v>
      </c>
      <c r="BS7" t="s">
        <v>55</v>
      </c>
      <c r="BT7" t="s">
        <v>23</v>
      </c>
      <c r="BU7">
        <v>3.0</v>
      </c>
      <c r="BV7">
        <v>0.0</v>
      </c>
      <c r="BX7">
        <v>0.0</v>
      </c>
      <c r="CF7" t="s">
        <v>56</v>
      </c>
      <c r="CG7">
        <v>2.0</v>
      </c>
      <c r="CH7" t="s">
        <v>52</v>
      </c>
      <c r="CI7" t="s">
        <v>19</v>
      </c>
      <c r="CJ7">
        <v>0.0</v>
      </c>
      <c r="CK7" t="s">
        <v>57</v>
      </c>
      <c r="CL7">
        <v>1.0</v>
      </c>
      <c r="CM7" t="s">
        <v>23</v>
      </c>
      <c r="CN7" t="s">
        <v>58</v>
      </c>
      <c r="CO7" t="s">
        <v>50</v>
      </c>
      <c r="CP7" t="s">
        <v>59</v>
      </c>
      <c r="CS7" t="s">
        <v>41</v>
      </c>
      <c r="CW7">
        <v>0.0</v>
      </c>
      <c r="CX7" t="s">
        <v>60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