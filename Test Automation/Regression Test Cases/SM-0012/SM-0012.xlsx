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taSymbolLookup" sheetId="4" r:id="rId6"/>
    <sheet state="visible" name="UpdateUDA" sheetId="5" r:id="rId7"/>
    <sheet state="visible" name="GetDataSymbolLookup1" sheetId="6" r:id="rId8"/>
    <sheet state="visible" name="EditSMGridUi" sheetId="7" r:id="rId9"/>
    <sheet state="visible" name="VerifySymbolLookUp" sheetId="8" r:id="rId10"/>
  </sheets>
  <definedNames/>
  <calcPr/>
</workbook>
</file>

<file path=xl/sharedStrings.xml><?xml version="1.0" encoding="utf-8"?>
<sst xmlns="http://schemas.openxmlformats.org/spreadsheetml/2006/main" count="64" uniqueCount="33">
  <si>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</si>
  <si>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</si>
  <si>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</si>
  <si>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</si>
  <si>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</si>
  <si>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</si>
  <si>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</si>
  <si>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</si>
  <si>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</si>
  <si>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</si>
  <si>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</si>
  <si>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</si>
  <si>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</si>
  <si>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GetDataSymbolLookup</t>
  </si>
  <si>
    <t>Data Format</t>
  </si>
  <si>
    <t>Input Format</t>
  </si>
  <si>
    <t>O:MSFT 12K31.00</t>
  </si>
  <si>
    <t>Exact</t>
  </si>
  <si>
    <t>UpdateUDA</t>
  </si>
  <si>
    <t>US</t>
  </si>
  <si>
    <t>Small Cap</t>
  </si>
  <si>
    <t>MSFT</t>
  </si>
  <si>
    <t>EditSMGridUi</t>
  </si>
  <si>
    <t>YES</t>
  </si>
  <si>
    <t>VerifySymbolLookUp</t>
  </si>
  <si>
    <t>EquityOption</t>
  </si>
  <si>
    <t>OPTS</t>
  </si>
  <si>
    <t>USD</t>
  </si>
  <si>
    <t>Equity Call</t>
  </si>
  <si>
    <t>Equity General</t>
  </si>
  <si>
    <t>Information Technology</t>
  </si>
  <si>
    <t>Copper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</si>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</sst>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  <font>
      <b/>
      <sz val="9.0"/>
      <color rgb="FF000000"/>
      <name val="Verdana"/>
    </font>
    <font>
      <b/>
      <sz val="9.0"/>
      <color rgb="FF000000"/>
      <name val="&quot;Segoe UI&quot;"/>
    </font>
    <font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3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6" fillId="0" fontId="14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14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8" fillId="7" fontId="15" numFmtId="0" xfId="0" applyAlignment="1" applyBorder="1" applyFill="1" applyFont="1">
      <alignment horizontal="right" vertical="bottom"/>
    </xf>
    <xf borderId="8" fillId="7" fontId="16" numFmtId="0" xfId="0" applyAlignment="1" applyBorder="1" applyFont="1">
      <alignment horizontal="right" vertical="bottom"/>
    </xf>
    <xf borderId="7" fillId="6" fontId="1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1" t="s">
        <v>16</v>
      </c>
      <c r="D6" s="32" t="s">
        <v>17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GetDataSymbolLookup!$4:$4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IFERROR(__xludf.DUMMYFUNCTION("""COMPUTED_VALUE"""),"UDA Security Type")</f>
        <v>UDA Security Type</v>
      </c>
      <c r="C5" s="28" t="str">
        <f>IFERROR(__xludf.DUMMYFUNCTION("""COMPUTED_VALUE"""),"UDA Country")</f>
        <v>UDA Country</v>
      </c>
      <c r="D5" s="28" t="str">
        <f>IFERROR(__xludf.DUMMYFUNCTION("""COMPUTED_VALUE"""),"UDA Asset Class")</f>
        <v>UDA Asset Class</v>
      </c>
      <c r="E5" s="28" t="str">
        <f>IFERROR(__xludf.DUMMYFUNCTION("""COMPUTED_VALUE"""),"UDA Sector")</f>
        <v>UDA Sector</v>
      </c>
      <c r="F5" s="29" t="str">
        <f>IFERROR(__xludf.DUMMYFUNCTION("""COMPUTED_VALUE"""),"UDA Sub Sector")</f>
        <v>UDA Sub Sector</v>
      </c>
      <c r="G5" s="28" t="str">
        <f>IFERROR(__xludf.DUMMYFUNCTION("""COMPUTED_VALUE"""),"Bloomberg Symbol")</f>
        <v>Bloomberg Symbol</v>
      </c>
      <c r="H5" s="28" t="str">
        <f>IFERROR(__xludf.DUMMYFUNCTION("""COMPUTED_VALUE"""),"Custom UDA1")</f>
        <v>Custom UDA1</v>
      </c>
      <c r="I5" s="28" t="str">
        <f>IFERROR(__xludf.DUMMYFUNCTION("""COMPUTED_VALUE"""),"UseDefaultUDA")</f>
        <v>UseDefaultUDA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3" t="s">
        <v>19</v>
      </c>
      <c r="D6" s="34"/>
      <c r="E6" s="35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6"/>
      <c r="D7" s="36"/>
      <c r="E7" s="36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UpdateUDA!$4:$4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31" t="s">
        <v>21</v>
      </c>
      <c r="D6" s="32" t="s">
        <v>17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IFERROR(__xludf.DUMMYFUNCTION("""COMPUTED_VALUE"""),"EnterEquity")</f>
        <v>EnterEquity</v>
      </c>
      <c r="H4" s="25" t="str">
        <f>IFERROR(__xludf.DUMMYFUNCTION("""COMPUTED_VALUE"""),"UpdateSecurityInfoOnSM")</f>
        <v>UpdateSecurityInfoOnSM</v>
      </c>
      <c r="I4" s="25" t="str">
        <f>IFERROR(__xludf.DUMMYFUNCTION("""COMPUTED_VALUE"""),"TradeSymbolFromSM")</f>
        <v>TradeSymbolFromSM</v>
      </c>
      <c r="J4" s="25" t="str">
        <f>IFERROR(__xludf.DUMMYFUNCTION("""COMPUTED_VALUE"""),"AddSymbol")</f>
        <v>AddSymbol</v>
      </c>
      <c r="K4" s="25" t="str">
        <f>IFERROR(__xludf.DUMMYFUNCTION("""COMPUTED_VALUE"""),"DeleteSymbolFromSM")</f>
        <v>DeleteSymbolFromSM</v>
      </c>
      <c r="L4" s="25" t="str">
        <f>IFERROR(__xludf.DUMMYFUNCTION("""COMPUTED_VALUE"""),"DeleteValidatedSymbol")</f>
        <v>DeleteValidatedSymbol</v>
      </c>
      <c r="M4" s="25" t="str">
        <f>IFERROR(__xludf.DUMMYFUNCTION("""COMPUTED_VALUE"""),"DeleteValidateSymbol")</f>
        <v>DeleteValidateSymbol</v>
      </c>
      <c r="N4" s="25" t="str">
        <f>IFERROR(__xludf.DUMMYFUNCTION("""COMPUTED_VALUE"""),"DeleteValidateSymbol")</f>
        <v>DeleteValidateSymbol</v>
      </c>
      <c r="O4" s="25" t="str">
        <f>IFERROR(__xludf.DUMMYFUNCTION("""COMPUTED_VALUE"""),"SelectFromSMGridUI")</f>
        <v>SelectFromSMGridUI</v>
      </c>
      <c r="P4" s="26" t="str">
        <f>IFERROR(__xludf.DUMMYFUNCTION("""COMPUTED_VALUE"""),"EditSMGridUi")</f>
        <v>EditSMGridUi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4"/>
      <c r="C6" s="37" t="s">
        <v>25</v>
      </c>
      <c r="D6" s="37" t="s">
        <v>19</v>
      </c>
      <c r="E6" s="37" t="s">
        <v>26</v>
      </c>
      <c r="F6" s="37" t="s">
        <v>27</v>
      </c>
      <c r="G6" s="38" t="s">
        <v>16</v>
      </c>
      <c r="H6" s="36"/>
      <c r="I6" s="36"/>
      <c r="J6" s="36"/>
      <c r="K6" s="36"/>
      <c r="L6" s="36"/>
      <c r="M6" s="36"/>
      <c r="N6" s="36"/>
      <c r="O6" s="36"/>
      <c r="P6" s="36"/>
      <c r="Q6" s="34"/>
      <c r="R6" s="38">
        <v>100.0</v>
      </c>
      <c r="S6" s="36"/>
      <c r="T6" s="36"/>
      <c r="U6" s="36"/>
      <c r="V6" s="34"/>
      <c r="W6" s="38" t="b">
        <v>0</v>
      </c>
      <c r="X6" s="38" t="s">
        <v>21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4"/>
      <c r="BN6" s="37" t="s">
        <v>28</v>
      </c>
      <c r="BO6" s="37" t="s">
        <v>29</v>
      </c>
      <c r="BP6" s="39" t="s">
        <v>30</v>
      </c>
      <c r="BQ6" s="37" t="s">
        <v>31</v>
      </c>
      <c r="BR6" s="37" t="s">
        <v>32</v>
      </c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VerifySymbolLookUp!$4:$4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