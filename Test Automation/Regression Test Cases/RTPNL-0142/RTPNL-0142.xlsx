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IncreaseOrUnwindPositionRTPNL" sheetId="6" r:id="rId8"/>
    <sheet state="visible" name="TradePTT" sheetId="7" r:id="rId9"/>
    <sheet state="visible" name="CustomOrderTT1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ExecuteTrade1" sheetId="12" r:id="rId14"/>
    <sheet state="visible" name="GetDailyCash" sheetId="13" r:id="rId15"/>
    <sheet state="visible" name="LoginClient" sheetId="14" r:id="rId16"/>
    <sheet state="visible" name="UpdateMultipleDailyCash" sheetId="15" r:id="rId17"/>
    <sheet state="visible" name="VerifyRowAllFixLogs" sheetId="16" r:id="rId18"/>
    <sheet state="visible" name="VerifyRowAllFixLogs1" sheetId="17" r:id="rId19"/>
    <sheet state="visible" name="VerifyRowAllFixLogs2" sheetId="18" r:id="rId20"/>
  </sheets>
  <definedNames/>
  <calcPr/>
</workbook>
</file>

<file path=xl/sharedStrings.xml><?xml version="1.0" encoding="utf-8"?>
<sst xmlns="http://schemas.openxmlformats.org/spreadsheetml/2006/main" count="225" uniqueCount="89">
  <si>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</si>
  <si>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</si>
  <si>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</si>
  <si>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</si>
  <si>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</si>
  <si>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</si>
  <si>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</si>
  <si>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</si>
  <si>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</si>
  <si>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</si>
  <si>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</si>
  <si>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</si>
  <si>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</si>
  <si>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</si>
  <si>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</si>
  <si>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</si>
  <si>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</si>
  <si>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</si>
  <si>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</si>
  <si>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</si>
  <si>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</si>
  <si>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</si>
  <si>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</si>
  <si>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</si>
  <si>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</si>
  <si>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</si>
  <si>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</si>
  <si>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</si>
  <si>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</si>
  <si>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</si>
  <si>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</si>
  <si>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</si>
  <si>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</si>
  <si>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</si>
  <si>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</si>
  <si>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</si>
  <si>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</si>
  <si>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</si>
  <si>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</si>
  <si>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</si>
  <si>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</si>
  <si>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</si>
  <si>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</si>
  <si>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</si>
  <si>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</si>
  <si>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</si>
  <si>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</si>
  <si>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</si>
  <si>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</si>
  <si>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</si>
  <si>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</si>
  <si>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</si>
  <si>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</si>
  <si>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</si>
  <si>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</si>
  <si>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</si>
  <si>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</si>
  <si>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</si>
  <si>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</si>
  <si>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</si>
  <si>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</si>
  <si>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Allocation1</t>
  </si>
  <si>
    <t>Buy</t>
  </si>
  <si>
    <t>RTPNL</t>
  </si>
  <si>
    <t>OpenRTPNL</t>
  </si>
  <si>
    <t>Nirvana,PM</t>
  </si>
  <si>
    <t>SummaryDashboard</t>
  </si>
  <si>
    <t>IncreaseOrUnwindPositionRTPNL</t>
  </si>
  <si>
    <t>adjust,increase</t>
  </si>
  <si>
    <t>PTT</t>
  </si>
  <si>
    <t>TradePTT</t>
  </si>
  <si>
    <t>Percentage</t>
  </si>
  <si>
    <t>Simulator</t>
  </si>
  <si>
    <t>SelectTrade</t>
  </si>
  <si>
    <t>AcknowledgeTrade</t>
  </si>
  <si>
    <t>ExecuteTrade</t>
  </si>
  <si>
    <t>Yes</t>
  </si>
  <si>
    <t>DailyValuation</t>
  </si>
  <si>
    <t>GetDailyCash</t>
  </si>
  <si>
    <t>PranaClient</t>
  </si>
  <si>
    <t>LoginClient</t>
  </si>
  <si>
    <t>Support6</t>
  </si>
  <si>
    <t>Nirvana@1</t>
  </si>
  <si>
    <t>UpdateMultipleDailyCash</t>
  </si>
  <si>
    <t>USD</t>
  </si>
  <si>
    <t>VerifyRowAllFixLogs</t>
  </si>
  <si>
    <t>(8=FIX.4.2_x0001_9=197_x0001_35=D_x0001_49=SendToMS_x0001_56=MS_x0001_34=72_x0001_52=20250904-12:19:31_x0001_115=TITNTRFXSTNE_x0001_128=SNEX_x0001_11=2025090416191549_x0001_18=1_x0001_55=AAPL_x0001_54=1_x0001_60=20250904-12:19:31_x0001_40=1_x0001_59=0_x0001_21=3_x0001_167=CS_x0001_38=1008_x0001_48=AAPL_x0001_47=A_x0001_22=2_x0001_15=USD_x0001_100=US_x0001_10=022_x0001_)</t>
  </si>
  <si>
    <t>(8=FIX.4.2_x0001_9=192_x0001_35=8_x0001_49=MS_x0001_56=SendToMS_x0001_34=77_x0001_52=20250904-12:25:08_x0001_54=1_x0001_11=2025090416191549_x0001_40=1_x0001_38=1008_x0001_39=0_x0001_55=AAPL_x0001_17=2025090416191549:0:Ack_x0001_20=0_x0001_37=2025090416191549_x0001_150=0_x0001_6=0_x0001_151=1008_x0001_14=0_x0001_32=0_x0001_31=0_x0001_555=0_x0001_10=185_x0001_)</t>
  </si>
  <si>
    <t>(8=FIX.4.2_x0001_9=196_x0001_35=8_x0001_49=MS_x0001_56=SendToMS_x0001_34=87_x0001_52=20250904-12:35:32_x0001_54=1_x0001_11=2025090416191551_x0001_40=1_x0001_38=1008_x0001_39=2_x0001_55=AAPL_x0001_17=2025090416191551:1:Fill_x0001_20=0_x0001_37=2025090416191551_x0001_150=2_x0001_6=2_x0001_151=0_x0001_14=1008_x0001_32=1008_x0001_31=2_x0001_555=0_x0001_10=193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</si>
</sst>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5" fontId="1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30" t="s">
        <v>50</v>
      </c>
      <c r="AK5" s="30" t="s">
        <v>51</v>
      </c>
      <c r="AL5" s="30" t="s">
        <v>52</v>
      </c>
      <c r="AM5" s="30" t="s">
        <v>53</v>
      </c>
      <c r="AN5" s="30" t="s">
        <v>54</v>
      </c>
      <c r="AO5" s="30" t="s">
        <v>55</v>
      </c>
      <c r="AP5" s="30" t="s">
        <v>56</v>
      </c>
      <c r="AQ5" s="30" t="s">
        <v>57</v>
      </c>
      <c r="AR5" s="30" t="s">
        <v>58</v>
      </c>
      <c r="AS5" s="31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>
        <v>100.0</v>
      </c>
      <c r="D6" s="13">
        <v>2.0</v>
      </c>
      <c r="E6" s="13" t="s">
        <v>60</v>
      </c>
      <c r="F6" s="8"/>
      <c r="G6" s="8"/>
      <c r="H6" s="8"/>
      <c r="I6" s="13" t="s">
        <v>61</v>
      </c>
      <c r="J6" s="13" t="s">
        <v>62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65</v>
      </c>
      <c r="C6" s="34" t="s">
        <v>66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IFERROR(__xludf.DUMMYFUNCTION("""COMPUTED_VALUE"""),"PositionAction")</f>
        <v>PositionAction</v>
      </c>
      <c r="U5" s="30" t="str">
        <f>IFERROR(__xludf.DUMMYFUNCTION("""COMPUTED_VALUE"""),"VerifyOptionsList")</f>
        <v>VerifyOptionsList</v>
      </c>
      <c r="V5" s="30" t="str">
        <f>IFERROR(__xludf.DUMMYFUNCTION("""COMPUTED_VALUE"""),"Disable/Grey buttons")</f>
        <v>Disable/Grey buttons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/>
      <c r="D6" s="13"/>
      <c r="E6" s="13" t="s">
        <v>61</v>
      </c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68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D6" s="13" t="s">
        <v>71</v>
      </c>
      <c r="E6" s="13">
        <v>10.0</v>
      </c>
      <c r="F6" s="13">
        <v>10.0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30" t="s">
        <v>50</v>
      </c>
      <c r="AK5" s="30" t="s">
        <v>51</v>
      </c>
      <c r="AL5" s="30" t="s">
        <v>52</v>
      </c>
      <c r="AM5" s="30" t="s">
        <v>53</v>
      </c>
      <c r="AN5" s="30" t="s">
        <v>54</v>
      </c>
      <c r="AO5" s="30" t="s">
        <v>55</v>
      </c>
      <c r="AP5" s="30" t="s">
        <v>56</v>
      </c>
      <c r="AQ5" s="30" t="s">
        <v>57</v>
      </c>
      <c r="AR5" s="30" t="s">
        <v>58</v>
      </c>
      <c r="AS5" s="31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/>
      <c r="D6" s="13">
        <v>10.0</v>
      </c>
      <c r="E6" s="13" t="s">
        <v>60</v>
      </c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 t="s">
        <v>76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1008.0</v>
      </c>
      <c r="D6" s="13" t="s">
        <v>76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77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>today()-1</f>
        <v>45903</v>
      </c>
      <c r="C6" s="37">
        <f>today()</f>
        <v>45904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79</v>
      </c>
      <c r="D3" s="5" t="s">
        <v>9</v>
      </c>
      <c r="E3" s="23" t="s">
        <v>80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81</v>
      </c>
      <c r="C6" s="13" t="s">
        <v>82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77</v>
      </c>
      <c r="D3" s="5" t="s">
        <v>9</v>
      </c>
      <c r="E3" s="23" t="s">
        <v>83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61</v>
      </c>
      <c r="C6" s="13" t="s">
        <v>84</v>
      </c>
      <c r="D6" s="13">
        <v>100000.0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86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87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88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