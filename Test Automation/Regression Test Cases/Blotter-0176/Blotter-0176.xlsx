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2" sheetId="11" r:id="rId13"/>
    <sheet state="visible" name="CreateStageOrder" sheetId="12" r:id="rId14"/>
    <sheet state="visible" name="MergeOrder" sheetId="13" r:id="rId15"/>
    <sheet state="visible" name="VerifyMergeOrder" sheetId="14" r:id="rId16"/>
    <sheet state="visible" name="TradeNewSubOrder" sheetId="15" r:id="rId17"/>
    <sheet state="visible" name="CreateNewSubOrder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<sst xmlns="http://schemas.openxmlformats.org/spreadsheetml/2006/main" count="176" uniqueCount="50">
  <si>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</si>
  <si>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</si>
  <si>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</si>
  <si>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</si>
  <si>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</si>
  <si>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</si>
  <si>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</si>
  <si>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</si>
  <si>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</si>
  <si>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</si>
  <si>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</si>
  <si>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</si>
  <si>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</si>
  <si>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</si>
  <si>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</si>
  <si>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</si>
  <si>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</si>
  <si>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TestPreference</t>
  </si>
  <si>
    <t>SetMFPrefFundDefaultRule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</si>
  <si>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</si>
  <si>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</si>
  <si>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</si>
  <si>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</si>
  <si>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</si>
  <si>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</si>
  <si>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</si>
  <si>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Prorata</t>
  </si>
  <si>
    <t>Allocation1,Allocation3</t>
  </si>
  <si>
    <t>Allocation2</t>
  </si>
  <si>
    <t>Allocation4</t>
  </si>
  <si>
    <t>Allocation2,Allocation4</t>
  </si>
  <si>
    <t>TradingTicket</t>
  </si>
  <si>
    <t>CreateStageOrder</t>
  </si>
  <si>
    <t>AAPL</t>
  </si>
  <si>
    <t>Buy</t>
  </si>
  <si>
    <t>Blotter</t>
  </si>
  <si>
    <t>MergeOrder</t>
  </si>
  <si>
    <t>New</t>
  </si>
  <si>
    <t>MS</t>
  </si>
  <si>
    <t>Market</t>
  </si>
  <si>
    <t>NASDAQ</t>
  </si>
  <si>
    <t>Yes</t>
  </si>
  <si>
    <t>VerifyMergeOrder</t>
  </si>
  <si>
    <t>TradeNewSubOrder</t>
  </si>
  <si>
    <t>CreateNewSubOrder</t>
  </si>
  <si>
    <t>PortfolioManagement</t>
  </si>
  <si>
    <t>CheckPortfolioManagement</t>
  </si>
  <si>
    <t>Long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</si>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</sst>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color rgb="FF000000"/>
      <name val="Roboto"/>
    </font>
    <font>
      <color rgb="FF000000"/>
      <name val="Arial"/>
    </font>
    <font>
      <b/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readingOrder="0"/>
    </xf>
    <xf borderId="5" fillId="7" fontId="3" numFmtId="0" xfId="0" applyAlignment="1" applyBorder="1" applyFill="1" applyFont="1">
      <alignment vertical="top"/>
    </xf>
    <xf borderId="5" fillId="7" fontId="3" numFmtId="0" xfId="0" applyAlignment="1" applyBorder="1" applyFont="1">
      <alignment horizontal="right" vertical="top"/>
    </xf>
    <xf borderId="0" fillId="6" fontId="15" numFmtId="0" xfId="0" applyAlignment="1" applyFont="1">
      <alignment horizontal="left" readingOrder="0"/>
    </xf>
    <xf borderId="5" fillId="7" fontId="3" numFmtId="0" xfId="0" applyAlignment="1" applyBorder="1" applyFont="1">
      <alignment shrinkToFit="0" vertical="top" wrapText="0"/>
    </xf>
    <xf borderId="0" fillId="7" fontId="3" numFmtId="0" xfId="0" applyAlignment="1" applyFont="1">
      <alignment vertical="top"/>
    </xf>
    <xf borderId="0" fillId="8" fontId="16" numFmtId="0" xfId="0" applyAlignment="1" applyFill="1" applyFont="1">
      <alignment horizontal="right" vertical="top"/>
    </xf>
    <xf borderId="0" fillId="7" fontId="3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5" fillId="0" fontId="3" numFmtId="0" xfId="0" applyAlignment="1" applyBorder="1" applyFont="1">
      <alignment readingOrder="0"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2"/>
      <c r="U6" s="32"/>
      <c r="V6" s="34" t="b">
        <v>1</v>
      </c>
      <c r="W6" s="34" t="b">
        <v>0</v>
      </c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/>
      <c r="C6" s="35" t="s">
        <v>19</v>
      </c>
      <c r="D6" s="33"/>
      <c r="E6" s="33"/>
      <c r="F6" s="36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17</v>
      </c>
      <c r="C6" s="33" t="s">
        <v>21</v>
      </c>
      <c r="D6" s="37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17</v>
      </c>
      <c r="C7" s="32" t="s">
        <v>22</v>
      </c>
      <c r="D7" s="39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8" t="s">
        <v>17</v>
      </c>
      <c r="C6" s="36" t="s">
        <v>21</v>
      </c>
      <c r="D6" s="36" t="s">
        <v>24</v>
      </c>
      <c r="E6" s="37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17</v>
      </c>
      <c r="C7" s="36" t="s">
        <v>21</v>
      </c>
      <c r="D7" s="36" t="s">
        <v>25</v>
      </c>
      <c r="E7" s="37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8" t="s">
        <v>17</v>
      </c>
      <c r="C6" s="36" t="s">
        <v>21</v>
      </c>
      <c r="D6" s="36"/>
      <c r="E6" s="8"/>
      <c r="F6" s="13" t="s">
        <v>26</v>
      </c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8" t="s">
        <v>17</v>
      </c>
      <c r="C6" s="36" t="s">
        <v>22</v>
      </c>
      <c r="D6" s="36" t="s">
        <v>28</v>
      </c>
      <c r="E6" s="37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17</v>
      </c>
      <c r="C7" s="38" t="s">
        <v>22</v>
      </c>
      <c r="D7" s="38" t="s">
        <v>29</v>
      </c>
      <c r="E7" s="39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8" t="s">
        <v>17</v>
      </c>
      <c r="C6" s="36" t="s">
        <v>22</v>
      </c>
      <c r="D6" s="36"/>
      <c r="E6" s="8"/>
      <c r="F6" s="13" t="s">
        <v>26</v>
      </c>
      <c r="G6" s="13" t="s">
        <v>30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SetMFPrefFundDefaultRule2!$4:$4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8" t="s">
        <v>33</v>
      </c>
      <c r="C6" s="33" t="s">
        <v>34</v>
      </c>
      <c r="D6" s="37">
        <v>100.0</v>
      </c>
      <c r="E6" s="37">
        <v>100.0</v>
      </c>
      <c r="F6" s="36" t="s">
        <v>17</v>
      </c>
      <c r="G6" s="33"/>
      <c r="H6" s="33"/>
      <c r="I6" s="33"/>
      <c r="J6" s="40">
        <v>30.0</v>
      </c>
      <c r="K6" s="33"/>
      <c r="L6" s="33"/>
      <c r="M6" s="33"/>
      <c r="N6" s="41"/>
      <c r="O6" s="33"/>
      <c r="P6" s="33"/>
      <c r="Q6" s="33"/>
      <c r="R6" s="33"/>
      <c r="S6" s="3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33</v>
      </c>
      <c r="C7" s="38" t="s">
        <v>34</v>
      </c>
      <c r="D7" s="42">
        <v>200.0</v>
      </c>
      <c r="E7" s="42">
        <v>200.0</v>
      </c>
      <c r="F7" s="38" t="s">
        <v>17</v>
      </c>
      <c r="G7" s="32"/>
      <c r="H7" s="32"/>
      <c r="I7" s="33"/>
      <c r="J7" s="43">
        <v>30.0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IFERROR(__xludf.DUMMYFUNCTION("""COMPUTED_VALUE"""),"Allow Merge")</f>
        <v>Allow Merge</v>
      </c>
      <c r="BB5" s="31" t="str">
        <f>IFERROR(__xludf.DUMMYFUNCTION("""COMPUTED_VALUE"""),"ButtonClick")</f>
        <v>ButtonClick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44"/>
      <c r="C6" s="33"/>
      <c r="D6" s="38" t="s">
        <v>33</v>
      </c>
      <c r="E6" s="33"/>
      <c r="F6" s="44" t="s">
        <v>34</v>
      </c>
      <c r="G6" s="44" t="s">
        <v>37</v>
      </c>
      <c r="H6" s="45">
        <v>100.0</v>
      </c>
      <c r="I6" s="33"/>
      <c r="J6" s="33"/>
      <c r="K6" s="33"/>
      <c r="L6" s="33"/>
      <c r="M6" s="33"/>
      <c r="N6" s="33"/>
      <c r="O6" s="33"/>
      <c r="P6" s="33"/>
      <c r="Q6" s="44" t="s">
        <v>38</v>
      </c>
      <c r="R6" s="44"/>
      <c r="S6" s="33"/>
      <c r="T6" s="46" t="s">
        <v>39</v>
      </c>
      <c r="U6" s="32"/>
      <c r="V6" s="32"/>
      <c r="W6" s="32"/>
      <c r="X6" s="32"/>
      <c r="Y6" s="32"/>
      <c r="Z6" s="32"/>
      <c r="AA6" s="32"/>
      <c r="AB6" s="47"/>
      <c r="AC6" s="32"/>
      <c r="AD6" s="32"/>
      <c r="AE6" s="32"/>
      <c r="AF6" s="48"/>
      <c r="AG6" s="32"/>
      <c r="AH6" s="32"/>
      <c r="AI6" s="32"/>
      <c r="AJ6" s="32" t="s">
        <v>40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41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8"/>
      <c r="C7" s="32"/>
      <c r="D7" s="38" t="s">
        <v>33</v>
      </c>
      <c r="E7" s="32"/>
      <c r="F7" s="49" t="s">
        <v>34</v>
      </c>
      <c r="G7" s="49" t="s">
        <v>37</v>
      </c>
      <c r="H7" s="42">
        <v>200.0</v>
      </c>
      <c r="I7" s="32"/>
      <c r="J7" s="32"/>
      <c r="K7" s="32"/>
      <c r="L7" s="32"/>
      <c r="M7" s="32"/>
      <c r="N7" s="32"/>
      <c r="O7" s="32"/>
      <c r="P7" s="32"/>
      <c r="Q7" s="49" t="s">
        <v>38</v>
      </c>
      <c r="R7" s="49"/>
      <c r="S7" s="32"/>
      <c r="T7" s="46" t="s">
        <v>39</v>
      </c>
      <c r="U7" s="32"/>
      <c r="V7" s="32"/>
      <c r="W7" s="32"/>
      <c r="X7" s="32"/>
      <c r="Y7" s="32"/>
      <c r="Z7" s="32"/>
      <c r="AA7" s="32"/>
      <c r="AB7" s="49"/>
      <c r="AC7" s="32"/>
      <c r="AD7" s="32"/>
      <c r="AE7" s="32"/>
      <c r="AF7" s="49"/>
      <c r="AG7" s="32"/>
      <c r="AH7" s="32"/>
      <c r="AI7" s="32"/>
      <c r="AJ7" s="32" t="s">
        <v>40</v>
      </c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41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3"/>
      <c r="C6" s="33"/>
      <c r="D6" s="4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8" t="s">
        <v>33</v>
      </c>
      <c r="AJ6" s="48" t="s">
        <v>34</v>
      </c>
      <c r="AK6" s="48" t="s">
        <v>37</v>
      </c>
      <c r="AL6" s="50">
        <v>300.0</v>
      </c>
      <c r="AM6" s="32"/>
      <c r="AN6" s="32"/>
      <c r="AO6" s="32"/>
      <c r="AP6" s="32"/>
      <c r="AQ6" s="32"/>
      <c r="AR6" s="32"/>
      <c r="AS6" s="48" t="s">
        <v>38</v>
      </c>
      <c r="AT6" s="48"/>
      <c r="AU6" s="51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IFERROR(__xludf.DUMMYFUNCTION("""COMPUTED_VALUE"""),"Status (With Rollover)")</f>
        <v>Status (With Rollover)</v>
      </c>
      <c r="AZ5" s="31" t="str">
        <f>IFERROR(__xludf.DUMMYFUNCTION("""COMPUTED_VALUE"""),"Start of Day Qty")</f>
        <v>Start of Day Qty</v>
      </c>
      <c r="BA5" s="31" t="str">
        <f>IFERROR(__xludf.DUMMYFUNCTION("""COMPUTED_VALUE"""),"Leaves")</f>
        <v>Leaves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8" t="s">
        <v>33</v>
      </c>
      <c r="AJ6" s="44" t="s">
        <v>34</v>
      </c>
      <c r="AK6" s="44" t="s">
        <v>37</v>
      </c>
      <c r="AL6" s="45">
        <v>300.0</v>
      </c>
      <c r="AM6" s="32"/>
      <c r="AN6" s="32"/>
      <c r="AO6" s="32"/>
      <c r="AP6" s="32"/>
      <c r="AQ6" s="32"/>
      <c r="AR6" s="32"/>
      <c r="AS6" s="48" t="s">
        <v>38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IFERROR(__xludf.DUMMYFUNCTION("""COMPUTED_VALUE"""),"PopUpQuantity")</f>
        <v>PopUpQuantity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 t="str">
        <f>IFERROR(__xludf.DUMMYFUNCTION("""COMPUTED_VALUE"""),"SharesOutstandingPopUp")</f>
        <v>SharesOutstandingPopUp</v>
      </c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6" t="s">
        <v>33</v>
      </c>
      <c r="C6" s="44" t="s">
        <v>34</v>
      </c>
      <c r="D6" s="45">
        <v>300.0</v>
      </c>
      <c r="E6" s="33"/>
      <c r="F6" s="13" t="s">
        <v>17</v>
      </c>
      <c r="G6" s="33"/>
      <c r="H6" s="33"/>
      <c r="I6" s="33"/>
      <c r="J6" s="52">
        <v>300.0</v>
      </c>
      <c r="K6" s="33"/>
      <c r="L6" s="33"/>
      <c r="M6" s="33"/>
      <c r="N6" s="33"/>
      <c r="O6" s="33"/>
      <c r="P6" s="33"/>
      <c r="Q6" s="33"/>
      <c r="R6" s="33"/>
      <c r="S6" s="3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  <c r="FL5" s="31"/>
      <c r="FM5" s="31"/>
      <c r="FN5" s="31"/>
      <c r="FO5" s="31"/>
      <c r="FP5" s="31"/>
      <c r="FQ5" s="31"/>
      <c r="FR5" s="31"/>
      <c r="FS5" s="31"/>
    </row>
    <row r="6" ht="15.75" customHeight="1">
      <c r="A6" s="32"/>
      <c r="B6" s="32"/>
      <c r="C6" s="38" t="s">
        <v>33</v>
      </c>
      <c r="D6" s="53">
        <v>300.0</v>
      </c>
      <c r="E6" s="33"/>
      <c r="F6" s="32"/>
      <c r="G6" s="32"/>
      <c r="H6" s="54" t="s">
        <v>47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53">
        <v>1.0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8" t="s">
        <v>34</v>
      </c>
      <c r="AO6" s="32"/>
      <c r="AP6" s="54" t="s">
        <v>47</v>
      </c>
      <c r="AQ6" s="54" t="s">
        <v>33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54" t="s">
        <v>48</v>
      </c>
      <c r="BH6" s="54" t="s">
        <v>49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54" t="s">
        <v>33</v>
      </c>
      <c r="CO6" s="54" t="s">
        <v>33</v>
      </c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