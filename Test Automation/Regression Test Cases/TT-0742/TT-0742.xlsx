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CreateDoneAwayOrder" sheetId="5" r:id="rId7"/>
    <sheet state="visible" name="OpenRTPNL" sheetId="6" r:id="rId8"/>
    <sheet state="visible" name="IncreaseOrUnwindPositionRTPNL" sheetId="7" r:id="rId9"/>
    <sheet state="visible" name="CreateNewSubOrder" sheetId="8" r:id="rId10"/>
    <sheet state="visible" name="VerifyOrder" sheetId="9" r:id="rId11"/>
    <sheet state="visible" name="CloseRTPNL" sheetId="10" r:id="rId12"/>
  </sheets>
  <definedNames/>
  <calcPr/>
</workbook>
</file>

<file path=xl/sharedStrings.xml><?xml version="1.0" encoding="utf-8"?>
<sst xmlns="http://schemas.openxmlformats.org/spreadsheetml/2006/main" count="81" uniqueCount="37">
  <si>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</si>
  <si>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</si>
  <si>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</si>
  <si>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</si>
  <si>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</si>
  <si>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</si>
  <si>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</si>
  <si>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</si>
  <si>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</si>
  <si>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</si>
  <si>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</si>
  <si>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</si>
  <si>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</si>
  <si>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SetTTUIPreferences</t>
  </si>
  <si>
    <t>Data Format</t>
  </si>
  <si>
    <t>Input Format</t>
  </si>
  <si>
    <t>Market</t>
  </si>
  <si>
    <t>Day</t>
  </si>
  <si>
    <t>Allocation1</t>
  </si>
  <si>
    <t>TradingTicket</t>
  </si>
  <si>
    <t>CreateDoneAwayOrder</t>
  </si>
  <si>
    <t>MSFT</t>
  </si>
  <si>
    <t>Buy</t>
  </si>
  <si>
    <t>MS</t>
  </si>
  <si>
    <t>RTPNL</t>
  </si>
  <si>
    <t>OpenRTPNL</t>
  </si>
  <si>
    <t>Nirvana,PM</t>
  </si>
  <si>
    <t>RealTimeSymAccountMonitor</t>
  </si>
  <si>
    <t>IncreaseOrUnwindPositionRTPNL</t>
  </si>
  <si>
    <t>Increase Position</t>
  </si>
  <si>
    <t>CreateNewSubOrder</t>
  </si>
  <si>
    <t>Blotter</t>
  </si>
  <si>
    <t>VerifyOrder</t>
  </si>
  <si>
    <t>Filled</t>
  </si>
  <si>
    <t>Negative</t>
  </si>
  <si>
    <t>Target Qty</t>
  </si>
  <si>
    <t>CloseRTPNL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</si>
</sst>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IFERROR(__xludf.DUMMYFUNCTION("""COMPUTED_VALUE"""),"Asset")</f>
        <v>Asset</v>
      </c>
      <c r="C5" s="27" t="str">
        <f>IFERROR(__xludf.DUMMYFUNCTION("""COMPUTED_VALUE"""),"OrderSide")</f>
        <v>OrderSide</v>
      </c>
      <c r="D5" s="27" t="str">
        <f>IFERROR(__xludf.DUMMYFUNCTION("""COMPUTED_VALUE"""),"Broker")</f>
        <v>Broker</v>
      </c>
      <c r="E5" s="27" t="str">
        <f>IFERROR(__xludf.DUMMYFUNCTION("""COMPUTED_VALUE"""),"Venue")</f>
        <v>Venue</v>
      </c>
      <c r="F5" s="28" t="str">
        <f>IFERROR(__xludf.DUMMYFUNCTION("""COMPUTED_VALUE"""),"OrderType")</f>
        <v>OrderType</v>
      </c>
      <c r="G5" s="27" t="str">
        <f>IFERROR(__xludf.DUMMYFUNCTION("""COMPUTED_VALUE"""),"TIF")</f>
        <v>TIF</v>
      </c>
      <c r="H5" s="27" t="str">
        <f>IFERROR(__xludf.DUMMYFUNCTION("""COMPUTED_VALUE"""),"HandlingInstruction")</f>
        <v>HandlingInstruction</v>
      </c>
      <c r="I5" s="27" t="str">
        <f>IFERROR(__xludf.DUMMYFUNCTION("""COMPUTED_VALUE"""),"ExecutionInstruction")</f>
        <v>ExecutionInstruction</v>
      </c>
      <c r="J5" s="27" t="str">
        <f>IFERROR(__xludf.DUMMYFUNCTION("""COMPUTED_VALUE"""),"Strategy")</f>
        <v>Strategy</v>
      </c>
      <c r="K5" s="27" t="str">
        <f>IFERROR(__xludf.DUMMYFUNCTION("""COMPUTED_VALUE"""),"Account")</f>
        <v>Account</v>
      </c>
      <c r="L5" s="27" t="str">
        <f>IFERROR(__xludf.DUMMYFUNCTION("""COMPUTED_VALUE"""),"SettlementCurrency")</f>
        <v>SettlementCurrency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12" t="s">
        <v>16</v>
      </c>
      <c r="G6" s="12" t="s">
        <v>17</v>
      </c>
      <c r="H6" s="8"/>
      <c r="I6" s="8"/>
      <c r="J6" s="8"/>
      <c r="K6" s="12" t="s">
        <v>18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0"/>
      <c r="F6" s="8"/>
      <c r="G6" s="12" t="s">
        <v>23</v>
      </c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 t="str">
        <f>IFERROR(__xludf.DUMMYFUNCTION("""COMPUTED_VALUE"""),"ClearOldCA")</f>
        <v>ClearOldCA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500.0</v>
      </c>
      <c r="E6" s="30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21</v>
      </c>
      <c r="AJ6" s="9" t="s">
        <v>22</v>
      </c>
      <c r="AK6" s="9" t="s">
        <v>33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21</v>
      </c>
      <c r="AJ7" s="9" t="s">
        <v>22</v>
      </c>
      <c r="AK7" s="9" t="s">
        <v>33</v>
      </c>
      <c r="AL7" s="9">
        <v>600.0</v>
      </c>
      <c r="BB7" s="9" t="s">
        <v>34</v>
      </c>
      <c r="BC7" s="31" t="s">
        <v>35</v>
      </c>
      <c r="BD7" s="9">
        <v>600.0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