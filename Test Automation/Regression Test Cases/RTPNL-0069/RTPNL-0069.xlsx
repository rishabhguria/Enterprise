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OpenRTPNL" sheetId="4" r:id="rId6"/>
    <sheet state="visible" name="AddWidget" sheetId="5" r:id="rId7"/>
    <sheet state="visible" name="SavePage" sheetId="6" r:id="rId8"/>
    <sheet state="visible" name="LogOutSamsara" sheetId="7" r:id="rId9"/>
    <sheet state="visible" name="OpenRTPNL2" sheetId="8" r:id="rId10"/>
    <sheet state="visible" name="SavePage1" sheetId="9" r:id="rId11"/>
    <sheet state="visible" name="CloseRTPNL" sheetId="10" r:id="rId12"/>
    <sheet state="visible" name="OpenRTPNL1" sheetId="11" r:id="rId13"/>
  </sheets>
  <definedNames/>
  <calcPr/>
</workbook>
</file>

<file path=xl/sharedStrings.xml><?xml version="1.0" encoding="utf-8"?>
<sst xmlns="http://schemas.openxmlformats.org/spreadsheetml/2006/main" count="84" uniqueCount="31">
  <si>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</si>
  <si>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</si>
  <si>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</si>
  <si>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</si>
  <si>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</si>
  <si>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</si>
  <si>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</si>
  <si>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</si>
  <si>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</si>
  <si>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</si>
  <si>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</si>
  <si>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</si>
  <si>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RTPNL</t>
  </si>
  <si>
    <t>OpenRTPNL</t>
  </si>
  <si>
    <t>Data Format</t>
  </si>
  <si>
    <t>Input Format</t>
  </si>
  <si>
    <t>Nirvana</t>
  </si>
  <si>
    <t>Test</t>
  </si>
  <si>
    <t>AddWidget</t>
  </si>
  <si>
    <t>Aggregation</t>
  </si>
  <si>
    <t>Symbol</t>
  </si>
  <si>
    <t>SavePage</t>
  </si>
  <si>
    <t>Save</t>
  </si>
  <si>
    <t>OpenFin</t>
  </si>
  <si>
    <t>LogOutSamsara</t>
  </si>
  <si>
    <t>Don’t Save</t>
  </si>
  <si>
    <t>Nirvana,Test</t>
  </si>
  <si>
    <t>Rename and Save Page</t>
  </si>
  <si>
    <t>Test1</t>
  </si>
  <si>
    <t>CloseRTPNL</t>
  </si>
  <si>
    <t>Nirvana,Test1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</si>
</sst>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1F1F1F"/>
      <name val="&quot;Google Sans&quot;"/>
    </font>
    <font>
      <sz val="9.0"/>
      <color rgb="FF1F1F1F"/>
      <name val="Consolas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6" fontId="1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6" fontId="14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IFERROR(__xludf.DUMMYFUNCTION("""COMPUTED_VALUE"""),"WidgetName")</f>
        <v>WidgetName</v>
      </c>
      <c r="D5" s="27" t="str">
        <f>IFERROR(__xludf.DUMMYFUNCTION("""COMPUTED_VALUE"""),"ColumnsToAdd")</f>
        <v>ColumnsToAdd</v>
      </c>
      <c r="E5" s="27" t="str">
        <f>IFERROR(__xludf.DUMMYFUNCTION("""COMPUTED_VALUE"""),"DashBoardType")</f>
        <v>DashBoardType</v>
      </c>
      <c r="F5" s="28" t="str">
        <f>IFERROR(__xludf.DUMMYFUNCTION("""COMPUTED_VALUE"""),"DashBoardLevel")</f>
        <v>DashBoardLevel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4" t="s">
        <v>17</v>
      </c>
      <c r="D6" s="35"/>
      <c r="E6" s="36" t="s">
        <v>19</v>
      </c>
      <c r="F6" s="31" t="s">
        <v>20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AddWidget!$4:$4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12" t="s">
        <v>22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 t="str">
        <f>IFERROR(__xludf.DUMMYFUNCTION("""COMPUTED_VALUE"""),"VerifyDock")</f>
        <v>VerifyDock</v>
      </c>
      <c r="D5" s="27" t="str">
        <f>IFERROR(__xludf.DUMMYFUNCTION("""COMPUTED_VALUE"""),"VerifyTextOnLogoutDock")</f>
        <v>VerifyTextOnLogoutDock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8" t="s">
        <v>25</v>
      </c>
      <c r="C6" s="33" t="b">
        <v>0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LogOutSamsara!$4:$4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 t="s">
        <v>26</v>
      </c>
      <c r="C6" s="31" t="s">
        <v>17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OpenRTPNL2!$4:$4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 t="str">
        <f>IFERROR(__xludf.DUMMYFUNCTION("""COMPUTED_VALUE"""),"Action")</f>
        <v>Action</v>
      </c>
      <c r="D5" s="27" t="str">
        <f>IFERROR(__xludf.DUMMYFUNCTION("""COMPUTED_VALUE"""),"RenameTabName")</f>
        <v>RenameTabName</v>
      </c>
      <c r="E5" s="27" t="str">
        <f>IFERROR(__xludf.DUMMYFUNCTION("""COMPUTED_VALUE"""),"VerifyToast")</f>
        <v>VerifyToast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 t="s">
        <v>27</v>
      </c>
      <c r="D6" s="30" t="s">
        <v>28</v>
      </c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SavePage1!$4:$4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IFERROR(__xludf.DUMMYFUNCTION("""COMPUTED_VALUE"""),"DashboardName")</f>
        <v>DashboardName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CloseRTPNL!$4:$4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IFERROR(__xludf.DUMMYFUNCTION("IF(C3="""","""",Transpose(IMPORTRANGE('_Settings'!$B$3,C3&amp;""!A4:A1000"")))"),"CheckSummaryDashboard")</f>
        <v>CheckSummaryDashboard</v>
      </c>
      <c r="C4" s="24" t="str">
        <f>IFERROR(__xludf.DUMMYFUNCTION("""COMPUTED_VALUE"""),"CheckFundLevelAggregation")</f>
        <v>CheckFundLevelAggregation</v>
      </c>
      <c r="D4" s="24" t="str">
        <f>IFERROR(__xludf.DUMMYFUNCTION("""COMPUTED_VALUE"""),"CheckAccountLevelAggregation")</f>
        <v>CheckAccountLevelAggregation</v>
      </c>
      <c r="E4" s="24" t="str">
        <f>IFERROR(__xludf.DUMMYFUNCTION("""COMPUTED_VALUE"""),"CheckSymbolLevelAggregation")</f>
        <v>CheckSymbolLevelAggregation</v>
      </c>
      <c r="F4" s="24" t="str">
        <f>IFERROR(__xludf.DUMMYFUNCTION("""COMPUTED_VALUE"""),"CheckRealTimeSymbolFundMonitor")</f>
        <v>CheckRealTimeSymbolFundMonitor</v>
      </c>
      <c r="G4" s="24" t="str">
        <f>IFERROR(__xludf.DUMMYFUNCTION("""COMPUTED_VALUE"""),"CheckRealTimeSymAccountMonitor")</f>
        <v>CheckRealTimeSymAccountMonitor</v>
      </c>
      <c r="H4" s="24" t="str">
        <f>IFERROR(__xludf.DUMMYFUNCTION("""COMPUTED_VALUE"""),"CreateDashBoard")</f>
        <v>CreateDashBoard</v>
      </c>
      <c r="I4" s="24" t="str">
        <f>IFERROR(__xludf.DUMMYFUNCTION("""COMPUTED_VALUE"""),"UpdateDashboardName")</f>
        <v>UpdateDashboardName</v>
      </c>
      <c r="J4" s="24" t="str">
        <f>IFERROR(__xludf.DUMMYFUNCTION("""COMPUTED_VALUE"""),"AddWidget")</f>
        <v>AddWidget</v>
      </c>
      <c r="K4" s="24" t="str">
        <f>IFERROR(__xludf.DUMMYFUNCTION("""COMPUTED_VALUE"""),"CheckDashboardWidgetTitle")</f>
        <v>CheckDashboardWidgetTitle</v>
      </c>
      <c r="L4" s="24" t="str">
        <f>IFERROR(__xludf.DUMMYFUNCTION("""COMPUTED_VALUE"""),"updateWidget")</f>
        <v>updateWidget</v>
      </c>
      <c r="M4" s="24" t="str">
        <f>IFERROR(__xludf.DUMMYFUNCTION("""COMPUTED_VALUE"""),"OpenRTPNL")</f>
        <v>OpenRTPNL</v>
      </c>
      <c r="N4" s="24" t="str">
        <f>IFERROR(__xludf.DUMMYFUNCTION("""COMPUTED_VALUE"""),"LinkDashboardTabs")</f>
        <v>LinkDashboardTabs</v>
      </c>
      <c r="O4" s="24" t="str">
        <f>IFERROR(__xludf.DUMMYFUNCTION("""COMPUTED_VALUE"""),"SelectDashboardTabRow")</f>
        <v>SelectDashboardTabRow</v>
      </c>
      <c r="P4" s="25" t="str">
        <f>IFERROR(__xludf.DUMMYFUNCTION("""COMPUTED_VALUE"""),"SelectRowAtFLAggregation")</f>
        <v>SelectRowAtFLAggregation</v>
      </c>
      <c r="Q4" s="25" t="str">
        <f>IFERROR(__xludf.DUMMYFUNCTION("""COMPUTED_VALUE"""),"SelectRowAtALAggregation")</f>
        <v>SelectRowAtALAggregation</v>
      </c>
      <c r="R4" s="25" t="str">
        <f>IFERROR(__xludf.DUMMYFUNCTION("""COMPUTED_VALUE"""),"SelectRowAtSLAggregation")</f>
        <v>SelectRowAtSLAggregation</v>
      </c>
      <c r="S4" s="25" t="str">
        <f>IFERROR(__xludf.DUMMYFUNCTION("""COMPUTED_VALUE"""),"SelectRowAtRTSFundMonitor")</f>
        <v>SelectRowAtRTSFundMonitor</v>
      </c>
      <c r="T4" s="25" t="str">
        <f>IFERROR(__xludf.DUMMYFUNCTION("""COMPUTED_VALUE"""),"SelectRowAtRTSAccountMonitor")</f>
        <v>SelectRowAtRTSAccountMonitor</v>
      </c>
      <c r="U4" s="25" t="str">
        <f>IFERROR(__xludf.DUMMYFUNCTION("""COMPUTED_VALUE"""),"FilterOnPMGrid")</f>
        <v>FilterOnPMGrid</v>
      </c>
      <c r="V4" s="25" t="str">
        <f>IFERROR(__xludf.DUMMYFUNCTION("""COMPUTED_VALUE"""),"SortOnPMGrid")</f>
        <v>SortOnPMGrid</v>
      </c>
      <c r="W4" s="25" t="str">
        <f>IFERROR(__xludf.DUMMYFUNCTION("""COMPUTED_VALUE"""),"ExtractTabOutsidePMDashboard")</f>
        <v>ExtractTabOutsidePMDashboard</v>
      </c>
      <c r="X4" s="25" t="str">
        <f>IFERROR(__xludf.DUMMYFUNCTION("""COMPUTED_VALUE"""),"SortRTSFM")</f>
        <v>SortRTSFM</v>
      </c>
      <c r="Y4" s="25" t="str">
        <f>IFERROR(__xludf.DUMMYFUNCTION("""COMPUTED_VALUE"""),"SortSLA")</f>
        <v>SortSLA</v>
      </c>
      <c r="Z4" s="25" t="str">
        <f>IFERROR(__xludf.DUMMYFUNCTION("""COMPUTED_VALUE"""),"SortFLA")</f>
        <v>SortFLA</v>
      </c>
      <c r="AA4" s="25" t="str">
        <f>IFERROR(__xludf.DUMMYFUNCTION("""COMPUTED_VALUE"""),"SortALA")</f>
        <v>SortALA</v>
      </c>
      <c r="AB4" s="25" t="str">
        <f>IFERROR(__xludf.DUMMYFUNCTION("""COMPUTED_VALUE"""),"FilterSLA")</f>
        <v>FilterSLA</v>
      </c>
      <c r="AC4" s="25" t="str">
        <f>IFERROR(__xludf.DUMMYFUNCTION("""COMPUTED_VALUE"""),"FilterRTSFM")</f>
        <v>FilterRTSFM</v>
      </c>
      <c r="AD4" s="25" t="str">
        <f>IFERROR(__xludf.DUMMYFUNCTION("""COMPUTED_VALUE"""),"FilterALA")</f>
        <v>FilterALA</v>
      </c>
      <c r="AE4" s="25" t="str">
        <f>IFERROR(__xludf.DUMMYFUNCTION("""COMPUTED_VALUE"""),"FilterFLA")</f>
        <v>FilterFLA</v>
      </c>
      <c r="AF4" s="25" t="str">
        <f>IFERROR(__xludf.DUMMYFUNCTION("""COMPUTED_VALUE"""),"SortRTSAM")</f>
        <v>SortRTSAM</v>
      </c>
      <c r="AG4" s="25" t="str">
        <f>IFERROR(__xludf.DUMMYFUNCTION("""COMPUTED_VALUE"""),"FilterRTSAM")</f>
        <v>FilterRTSAM</v>
      </c>
      <c r="AH4" s="25" t="str">
        <f>IFERROR(__xludf.DUMMYFUNCTION("""COMPUTED_VALUE"""),"SortRTSAM")</f>
        <v>SortRTSAM</v>
      </c>
      <c r="AI4" s="25" t="str">
        <f>IFERROR(__xludf.DUMMYFUNCTION("""COMPUTED_VALUE"""),"IncreaseOrUnwindPositionRTPNL")</f>
        <v>IncreaseOrUnwindPositionRTPNL</v>
      </c>
      <c r="AJ4" s="25" t="str">
        <f>IFERROR(__xludf.DUMMYFUNCTION("""COMPUTED_VALUE"""),"SavePage")</f>
        <v>SavePage</v>
      </c>
      <c r="AK4" s="25" t="str">
        <f>IFERROR(__xludf.DUMMYFUNCTION("""COMPUTED_VALUE"""),"CloseRTPNL")</f>
        <v>CloseRTPNL</v>
      </c>
      <c r="AL4" s="25" t="str">
        <f>IFERROR(__xludf.DUMMYFUNCTION("""COMPUTED_VALUE"""),"VerifyColumns")</f>
        <v>VerifyColumns</v>
      </c>
      <c r="AM4" s="25" t="str">
        <f>IFERROR(__xludf.DUMMYFUNCTION("""COMPUTED_VALUE"""),"ConfigureWidget")</f>
        <v>ConfigureWidget</v>
      </c>
      <c r="AN4" s="25" t="str">
        <f>IFERROR(__xludf.DUMMYFUNCTION("""COMPUTED_VALUE"""),"ChangeWidgetView")</f>
        <v>ChangeWidgetView</v>
      </c>
      <c r="AO4" s="25" t="str">
        <f>IFERROR(__xludf.DUMMYFUNCTION("""COMPUTED_VALUE"""),"CreatePMTab")</f>
        <v>CreatePMTab</v>
      </c>
      <c r="AP4" s="25" t="str">
        <f>IFERROR(__xludf.DUMMYFUNCTION("""COMPUTED_VALUE"""),"CreatePMTab")</f>
        <v>CreatePMTab</v>
      </c>
      <c r="AQ4" s="25" t="str">
        <f>IFERROR(__xludf.DUMMYFUNCTION("""COMPUTED_VALUE"""),"ResizeEnsure")</f>
        <v>ResizeEnsure</v>
      </c>
      <c r="AR4" s="25" t="str">
        <f>IFERROR(__xludf.DUMMYFUNCTION("""COMPUTED_VALUE"""),"RenameTabs")</f>
        <v>RenameTabs</v>
      </c>
      <c r="AS4" s="25" t="str">
        <f>IFERROR(__xludf.DUMMYFUNCTION("""COMPUTED_VALUE"""),"AddTabRTPNL")</f>
        <v>AddTabRTPNL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 t="str">
        <f>IFERROR(__xludf.DUMMYFUNCTION("""COMPUTED_VALUE"""),"Description")</f>
        <v>Description</v>
      </c>
      <c r="E5" s="27" t="str">
        <f>IFERROR(__xludf.DUMMYFUNCTION("""COMPUTED_VALUE"""),"Save?")</f>
        <v>Save?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30</v>
      </c>
      <c r="C6" s="31" t="s">
        <v>28</v>
      </c>
      <c r="D6" s="12"/>
      <c r="E6" s="37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