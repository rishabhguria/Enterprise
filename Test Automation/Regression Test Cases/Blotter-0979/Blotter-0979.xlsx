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FillHBdetailsOnBlotter1" sheetId="9" r:id="rId11"/>
    <sheet state="visible" name="EnableOrVerifyHotButton1" sheetId="10" r:id="rId12"/>
    <sheet state="visible" name="CustomOrderTT" sheetId="11" r:id="rId13"/>
    <sheet state="visible" name="EnableOrVerifyHotButton2" sheetId="12" r:id="rId14"/>
    <sheet state="visible" name="CustomOrderTT1" sheetId="13" r:id="rId15"/>
    <sheet state="visible" name="ShortLocateFromTT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<sst xmlns="http://schemas.openxmlformats.org/spreadsheetml/2006/main" count="411" uniqueCount="59">
  <si>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</si>
  <si>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</si>
  <si>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</si>
  <si>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</si>
  <si>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</si>
  <si>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</si>
  <si>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</si>
  <si>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</si>
  <si>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</si>
  <si>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</si>
  <si>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</si>
  <si>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</si>
  <si>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</si>
  <si>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</si>
  <si>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</si>
  <si>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</si>
  <si>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New hotbutton custom</t>
  </si>
  <si>
    <t>Add Tab(Order)</t>
  </si>
  <si>
    <t>EnableOrVerifyHotButton</t>
  </si>
  <si>
    <t>CreateHotButtonOnBlotter</t>
  </si>
  <si>
    <t>HotB</t>
  </si>
  <si>
    <t>Create New Order</t>
  </si>
  <si>
    <t>Confirm on TT</t>
  </si>
  <si>
    <t>Next</t>
  </si>
  <si>
    <t>FillHBdetailsOnBlotter</t>
  </si>
  <si>
    <t>AAPL</t>
  </si>
  <si>
    <t>Allocation1</t>
  </si>
  <si>
    <t>MS</t>
  </si>
  <si>
    <t>Day</t>
  </si>
  <si>
    <t>Market</t>
  </si>
  <si>
    <t>Buy</t>
  </si>
  <si>
    <t>Manual</t>
  </si>
  <si>
    <t>HotBtn</t>
  </si>
  <si>
    <t>IBM</t>
  </si>
  <si>
    <t>Sell short</t>
  </si>
  <si>
    <t>Send</t>
  </si>
  <si>
    <t>favourite</t>
  </si>
  <si>
    <t>TradingTicket</t>
  </si>
  <si>
    <t>CustomOrderTT</t>
  </si>
  <si>
    <t>DoneAway</t>
  </si>
  <si>
    <t>Favorite</t>
  </si>
  <si>
    <t>ShortLocateFromTT</t>
  </si>
  <si>
    <t>kartik123</t>
  </si>
  <si>
    <t>VerifyOrder</t>
  </si>
  <si>
    <t/>
  </si>
  <si>
    <t>N.A.</t>
  </si>
  <si>
    <t>AAPL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</si>
  <si>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</si>
  <si>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</si>
  <si>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</si>
  <si>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</si>
  <si>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</si>
  <si>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</si>
  <si>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</si>
  <si>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</si>
  <si>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</si>
  <si>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Filled</t>
  </si>
  <si>
    <t>IBM US EQUITY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</si>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</sst>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20</v>
      </c>
      <c r="C6" s="31" t="s">
        <v>21</v>
      </c>
      <c r="D6" s="31" t="s">
        <v>22</v>
      </c>
      <c r="E6" s="35"/>
      <c r="F6" s="32" t="s">
        <v>23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 t="s">
        <v>26</v>
      </c>
      <c r="E6" s="13" t="s">
        <v>27</v>
      </c>
      <c r="F6" s="8"/>
      <c r="G6" s="13" t="s">
        <v>28</v>
      </c>
      <c r="H6" s="13" t="s">
        <v>29</v>
      </c>
      <c r="I6" s="13" t="s">
        <v>30</v>
      </c>
      <c r="J6" s="13" t="s">
        <v>31</v>
      </c>
      <c r="K6" s="13" t="b">
        <v>1</v>
      </c>
      <c r="L6" s="13" t="s">
        <v>23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32</v>
      </c>
      <c r="C6" s="31" t="s">
        <v>21</v>
      </c>
      <c r="D6" s="31" t="s">
        <v>22</v>
      </c>
      <c r="E6" s="35"/>
      <c r="F6" s="32" t="s">
        <v>23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100.0</v>
      </c>
      <c r="D6" s="13" t="s">
        <v>26</v>
      </c>
      <c r="E6" s="13" t="s">
        <v>27</v>
      </c>
      <c r="F6" s="8"/>
      <c r="G6" s="13" t="s">
        <v>28</v>
      </c>
      <c r="H6" s="13" t="s">
        <v>29</v>
      </c>
      <c r="I6" s="13" t="s">
        <v>34</v>
      </c>
      <c r="J6" s="13" t="s">
        <v>35</v>
      </c>
      <c r="K6" s="13" t="b">
        <v>1</v>
      </c>
      <c r="L6" s="13" t="s">
        <v>23</v>
      </c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13"/>
      <c r="H7" s="13"/>
      <c r="I7" s="13"/>
      <c r="J7" s="13"/>
      <c r="K7" s="13"/>
      <c r="L7" s="13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1" t="s">
        <v>20</v>
      </c>
      <c r="E6" s="36" t="b">
        <v>1</v>
      </c>
      <c r="F6" s="32" t="s">
        <v>36</v>
      </c>
      <c r="H6" s="37" t="b">
        <v>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39</v>
      </c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32</v>
      </c>
      <c r="E6" s="13" t="b">
        <v>1</v>
      </c>
      <c r="F6" s="13" t="s">
        <v>40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IFERROR(__xludf.DUMMYFUNCTION("""COMPUTED_VALUE"""),"Borrow Broker")</f>
        <v>Borrow Broker</v>
      </c>
      <c r="C5" s="28" t="str">
        <f>IFERROR(__xludf.DUMMYFUNCTION("""COMPUTED_VALUE"""),"Share Available")</f>
        <v>Share Available</v>
      </c>
      <c r="D5" s="28" t="str">
        <f>IFERROR(__xludf.DUMMYFUNCTION("""COMPUTED_VALUE"""),"Quantity")</f>
        <v>Quantity</v>
      </c>
      <c r="E5" s="28" t="str">
        <f>IFERROR(__xludf.DUMMYFUNCTION("""COMPUTED_VALUE"""),"Rate %")</f>
        <v>Rate %</v>
      </c>
      <c r="F5" s="29" t="str">
        <f>IFERROR(__xludf.DUMMYFUNCTION("""COMPUTED_VALUE"""),"ID")</f>
        <v>ID</v>
      </c>
      <c r="G5" s="28" t="str">
        <f>IFERROR(__xludf.DUMMYFUNCTION("""COMPUTED_VALUE"""),"Send")</f>
        <v>Send</v>
      </c>
      <c r="H5" s="28" t="str">
        <f>IFERROR(__xludf.DUMMYFUNCTION("""COMPUTED_VALUE"""),"TradeType")</f>
        <v>TradeType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27</v>
      </c>
      <c r="C6" s="39">
        <v>100.0</v>
      </c>
      <c r="D6" s="40">
        <v>100.0</v>
      </c>
      <c r="E6" s="39">
        <v>5.0</v>
      </c>
      <c r="F6" s="32" t="s">
        <v>42</v>
      </c>
      <c r="G6" s="41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44</v>
      </c>
      <c r="B6" s="42"/>
      <c r="C6" s="8" t="s">
        <v>45</v>
      </c>
      <c r="D6" s="42">
        <v>2.0</v>
      </c>
      <c r="E6" s="8" t="s">
        <v>46</v>
      </c>
      <c r="F6" s="8">
        <v>0.0</v>
      </c>
      <c r="G6" s="8"/>
      <c r="H6" s="8" t="s">
        <v>47</v>
      </c>
      <c r="I6" s="8" t="s">
        <v>48</v>
      </c>
      <c r="J6" s="8" t="s">
        <v>25</v>
      </c>
      <c r="K6" s="8" t="s">
        <v>49</v>
      </c>
      <c r="L6" s="8" t="s">
        <v>50</v>
      </c>
      <c r="M6" s="8" t="s">
        <v>44</v>
      </c>
      <c r="N6" s="8" t="s">
        <v>44</v>
      </c>
      <c r="O6" s="8" t="s">
        <v>44</v>
      </c>
      <c r="P6" t="s">
        <v>44</v>
      </c>
      <c r="Q6" t="s">
        <v>44</v>
      </c>
      <c r="R6" t="s">
        <v>44</v>
      </c>
      <c r="U6" t="s">
        <v>51</v>
      </c>
      <c r="V6" t="s">
        <v>52</v>
      </c>
      <c r="AA6" t="s">
        <v>53</v>
      </c>
      <c r="AB6">
        <v>100.0</v>
      </c>
      <c r="AD6">
        <v>1.0</v>
      </c>
      <c r="AF6" t="s">
        <v>54</v>
      </c>
      <c r="AG6">
        <v>2.0</v>
      </c>
      <c r="AH6" s="43" t="s">
        <v>55</v>
      </c>
      <c r="AI6" s="43" t="s">
        <v>25</v>
      </c>
      <c r="AJ6" s="43" t="s">
        <v>30</v>
      </c>
      <c r="AK6" s="43" t="s">
        <v>56</v>
      </c>
      <c r="AL6" s="43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27</v>
      </c>
      <c r="AT6" t="s">
        <v>26</v>
      </c>
      <c r="AU6" t="s">
        <v>29</v>
      </c>
      <c r="AV6">
        <v>200.0</v>
      </c>
      <c r="AW6">
        <v>200.0</v>
      </c>
      <c r="AX6" t="s">
        <v>31</v>
      </c>
      <c r="AY6" t="s">
        <v>44</v>
      </c>
      <c r="BA6" t="s">
        <v>48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37</v>
      </c>
      <c r="BH6" t="s">
        <v>28</v>
      </c>
      <c r="BK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 t="s">
        <v>44</v>
      </c>
      <c r="B7" s="8"/>
      <c r="C7" s="8" t="s">
        <v>45</v>
      </c>
      <c r="D7" s="8"/>
      <c r="E7" s="8" t="s">
        <v>57</v>
      </c>
      <c r="F7" s="8">
        <v>0.0</v>
      </c>
      <c r="G7" s="8">
        <v>100.0</v>
      </c>
      <c r="H7" s="8" t="s">
        <v>47</v>
      </c>
      <c r="I7" s="8" t="s">
        <v>48</v>
      </c>
      <c r="J7" s="8" t="s">
        <v>33</v>
      </c>
      <c r="K7" s="8" t="s">
        <v>49</v>
      </c>
      <c r="L7" s="8" t="s">
        <v>50</v>
      </c>
      <c r="M7" s="8" t="s">
        <v>44</v>
      </c>
      <c r="N7" s="8" t="s">
        <v>44</v>
      </c>
      <c r="O7" s="8" t="s">
        <v>44</v>
      </c>
      <c r="P7" t="s">
        <v>44</v>
      </c>
      <c r="Q7" t="s">
        <v>44</v>
      </c>
      <c r="R7" t="s">
        <v>44</v>
      </c>
      <c r="U7" t="s">
        <v>51</v>
      </c>
      <c r="V7" t="s">
        <v>52</v>
      </c>
      <c r="AA7" t="s">
        <v>53</v>
      </c>
      <c r="AD7">
        <v>1.0</v>
      </c>
      <c r="AF7" t="s">
        <v>54</v>
      </c>
      <c r="AH7" s="43" t="s">
        <v>55</v>
      </c>
      <c r="AI7" s="43" t="s">
        <v>33</v>
      </c>
      <c r="AJ7" s="43" t="s">
        <v>34</v>
      </c>
      <c r="AK7" s="43" t="s">
        <v>58</v>
      </c>
      <c r="AL7" s="43">
        <v>100.0</v>
      </c>
      <c r="AS7" t="s">
        <v>27</v>
      </c>
      <c r="AT7" t="s">
        <v>26</v>
      </c>
      <c r="AU7" t="s">
        <v>29</v>
      </c>
      <c r="AX7" t="s">
        <v>31</v>
      </c>
      <c r="AY7" t="s">
        <v>44</v>
      </c>
      <c r="AZ7">
        <v>100.0</v>
      </c>
      <c r="BA7" t="s">
        <v>48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37</v>
      </c>
      <c r="BH7" t="s">
        <v>28</v>
      </c>
      <c r="BK7" t="s">
        <v>44</v>
      </c>
      <c r="BM7" t="s">
        <v>42</v>
      </c>
      <c r="BN7">
        <v>5.0</v>
      </c>
      <c r="BO7" t="s">
        <v>27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