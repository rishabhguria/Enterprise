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GeneralPreferences" sheetId="6" r:id="rId8"/>
    <sheet state="visible" name="AddCalculatedPreferences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SelectUnallocatedGroup" sheetId="11" r:id="rId13"/>
    <sheet state="visible" name="EnterAllocatePreference" sheetId="12" r:id="rId14"/>
    <sheet state="visible" name="SelectAllocatedGroup" sheetId="13" r:id="rId15"/>
    <sheet state="visible" name="EnterAccountValuesToAllocate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<sst xmlns="http://schemas.openxmlformats.org/spreadsheetml/2006/main" count="124" uniqueCount="43">
  <si>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</si>
  <si>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</si>
  <si>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</si>
  <si>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</si>
  <si>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</si>
  <si>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</si>
  <si>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</si>
  <si>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</si>
  <si>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</si>
  <si>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</si>
  <si>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</si>
  <si>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</si>
  <si>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</si>
  <si>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</si>
  <si>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</si>
  <si>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</si>
  <si>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</si>
  <si>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</si>
  <si>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</si>
  <si>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</si>
  <si>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</t>
  </si>
  <si>
    <t>SetGeneralPreferences</t>
  </si>
  <si>
    <t>AddCalculatedPreferences</t>
  </si>
  <si>
    <t>Prorata</t>
  </si>
  <si>
    <t>SetDefaultRuleCalculatedPref</t>
  </si>
  <si>
    <t>Pro-rata (NAV)</t>
  </si>
  <si>
    <t>Allocation2,Allocation1</t>
  </si>
  <si>
    <t>TradingTicket</t>
  </si>
  <si>
    <t>CreateDoneAwayOrder</t>
  </si>
  <si>
    <t>AAPL</t>
  </si>
  <si>
    <t>Sell</t>
  </si>
  <si>
    <t>Unallocated</t>
  </si>
  <si>
    <t>MS</t>
  </si>
  <si>
    <t>GetDataAllocation</t>
  </si>
  <si>
    <t>Current</t>
  </si>
  <si>
    <t>SelectUnallocatedGroup</t>
  </si>
  <si>
    <t>EnterAllocatePreference</t>
  </si>
  <si>
    <t>Calculated</t>
  </si>
  <si>
    <t>SelectAllocatedGroup</t>
  </si>
  <si>
    <t>EnterAccountValuesToAllocate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</si>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</sst>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45102</v>
      </c>
      <c r="C6" s="32">
        <f>TODAY()</f>
        <v>45103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3000.0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6000.0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25</v>
      </c>
      <c r="E6" s="37" t="s">
        <v>26</v>
      </c>
      <c r="F6" s="33"/>
      <c r="G6" s="33"/>
      <c r="H6" s="33" t="s">
        <v>23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8" t="s">
        <v>30</v>
      </c>
      <c r="D6" s="39">
        <v>200.0</v>
      </c>
      <c r="E6" s="39">
        <v>200.0</v>
      </c>
      <c r="F6" s="33" t="s">
        <v>31</v>
      </c>
      <c r="G6" s="33" t="s">
        <v>32</v>
      </c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8" t="s">
        <v>30</v>
      </c>
      <c r="D6" s="40">
        <v>200.0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3" t="s">
        <v>23</v>
      </c>
      <c r="D6" s="31"/>
      <c r="E6" s="41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9">
        <v>200.0</v>
      </c>
      <c r="D6" s="31"/>
      <c r="E6" s="33"/>
      <c r="F6" s="38" t="s">
        <v>30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9">
        <v>133.0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/>
      <c r="D7" s="39">
        <v>67.0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62.3099665</v>
      </c>
      <c r="C6" s="42">
        <v>62.3099665</v>
      </c>
      <c r="D6" s="42">
        <v>67.0</v>
      </c>
      <c r="E6" s="42">
        <v>67.0</v>
      </c>
      <c r="F6" s="43" t="s">
        <v>41</v>
      </c>
      <c r="G6" s="42"/>
      <c r="H6" s="43" t="s">
        <v>18</v>
      </c>
      <c r="I6" s="8"/>
      <c r="J6" s="8"/>
      <c r="K6" s="8"/>
      <c r="L6" s="8"/>
      <c r="M6" s="8"/>
      <c r="N6" s="8"/>
      <c r="O6" s="43" t="s">
        <v>19</v>
      </c>
      <c r="P6" s="43" t="s">
        <v>42</v>
      </c>
      <c r="Q6" s="42">
        <v>33.5</v>
      </c>
      <c r="R6" s="42">
        <v>67.0</v>
      </c>
      <c r="AI6" s="42">
        <v>1.0</v>
      </c>
      <c r="AJ6" s="42"/>
      <c r="AK6" s="42">
        <v>1.0</v>
      </c>
      <c r="AL6" s="42">
        <v>3.0</v>
      </c>
    </row>
    <row r="7" ht="15.75" customHeight="1">
      <c r="A7" s="8"/>
      <c r="B7" s="42">
        <v>123.6899335</v>
      </c>
      <c r="C7" s="42">
        <v>123.6899335</v>
      </c>
      <c r="D7" s="42">
        <v>133.0</v>
      </c>
      <c r="E7" s="42">
        <v>133.0</v>
      </c>
      <c r="F7" s="43" t="s">
        <v>41</v>
      </c>
      <c r="G7" s="42"/>
      <c r="H7" s="43" t="s">
        <v>18</v>
      </c>
      <c r="I7" s="8"/>
      <c r="J7" s="8"/>
      <c r="K7" s="8"/>
      <c r="L7" s="8"/>
      <c r="M7" s="8"/>
      <c r="N7" s="8"/>
      <c r="O7" s="43" t="s">
        <v>17</v>
      </c>
      <c r="P7" s="43" t="s">
        <v>42</v>
      </c>
      <c r="Q7" s="42">
        <v>66.5</v>
      </c>
      <c r="R7" s="42">
        <v>133.0</v>
      </c>
      <c r="AI7" s="42">
        <v>1.0</v>
      </c>
      <c r="AJ7" s="42"/>
      <c r="AK7" s="42">
        <v>1.0</v>
      </c>
      <c r="AL7" s="42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4"/>
      <c r="AJ8" s="44"/>
      <c r="AK8" s="44"/>
      <c r="AL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