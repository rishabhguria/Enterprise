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GroupTrades" sheetId="6" r:id="rId8"/>
    <sheet state="visible" name="GetDataAllocation" sheetId="7" r:id="rId9"/>
    <sheet state="visible" name="SelectUnallocatedGroup" sheetId="8" r:id="rId10"/>
    <sheet state="visible" name="EditUnallocatedGroupSidePanel" sheetId="9" r:id="rId11"/>
    <sheet state="visible" name="EnterAccountValuesToAllocate" sheetId="10" r:id="rId12"/>
    <sheet state="visible" name="SaveAllocation" sheetId="11" r:id="rId13"/>
    <sheet state="visible" name="CheckAllocatedGroups" sheetId="12" r:id="rId14"/>
    <sheet state="visible" name="CheckPortfolioManagement" sheetId="13" r:id="rId15"/>
    <sheet state="visible" name="GetAccountBalance" sheetId="14" r:id="rId16"/>
    <sheet state="visible" name="VerifyAccountBalances" sheetId="15" r:id="rId17"/>
    <sheet state="visible" name="UngroupTrades" sheetId="16" r:id="rId18"/>
  </sheets>
  <calcPr fullCalcOnLoad="1" fullPrecision="1"/>
</workbook>
</file>

<file path=xl/sharedStrings.xml><?xml version="1.0" encoding="utf-8"?>
<sst xmlns="http://schemas.openxmlformats.org/spreadsheetml/2006/main" count="223" uniqueCount="223">
  <si>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</si>
  <si>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</si>
  <si>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</si>
  <si>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</si>
  <si>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</si>
  <si>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</si>
  <si>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</si>
  <si>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</si>
  <si>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</si>
  <si>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</si>
  <si>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</si>
  <si>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</si>
  <si>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</si>
  <si>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</si>
  <si>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</si>
  <si>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</si>
  <si>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</si>
  <si>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</si>
  <si>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</si>
  <si>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</si>
  <si>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</si>
  <si>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</si>
  <si>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</si>
  <si>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</si>
  <si>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</si>
  <si>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</si>
  <si>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</si>
  <si>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</si>
  <si>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</si>
  <si>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</si>
  <si>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</si>
  <si>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</si>
  <si>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</si>
  <si>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</si>
  <si>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</si>
  <si>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</si>
  <si>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</si>
  <si>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</si>
  <si>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</si>
  <si>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</si>
  <si>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</si>
  <si>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</si>
  <si>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</si>
  <si>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</si>
  <si>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</si>
  <si>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</si>
  <si>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</si>
  <si>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</si>
  <si>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</si>
  <si>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</si>
  <si>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</si>
  <si>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</si>
  <si>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</si>
  <si>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</si>
  <si>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</si>
  <si>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</si>
  <si>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</si>
  <si>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</si>
  <si>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</si>
  <si>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</si>
  <si>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</si>
  <si>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</si>
  <si>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</si>
  <si>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</si>
  <si>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</si>
  <si>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</si>
  <si>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</si>
  <si>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</si>
  <si>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</si>
  <si>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</si>
  <si>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</si>
  <si>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</si>
  <si>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</si>
  <si>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</si>
  <si>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</si>
  <si>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</si>
  <si>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</si>
  <si>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</si>
  <si>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</si>
  <si>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</si>
  <si>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</si>
  <si>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</si>
  <si>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Buy to Close</t>
  </si>
  <si>
    <t>Unallocated</t>
  </si>
  <si>
    <t>Market</t>
  </si>
  <si>
    <t>Allocation</t>
  </si>
  <si>
    <t>GroupTrades</t>
  </si>
  <si>
    <t>GetDataAllocation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</si>
  <si>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</si>
  <si>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</si>
  <si>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</si>
  <si>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</si>
  <si>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</si>
  <si>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</si>
  <si>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</si>
  <si>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</si>
  <si>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</si>
  <si>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</si>
  <si>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</si>
  <si>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</si>
  <si>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</si>
  <si>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</si>
  <si>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SelectUnallocatedGroup</t>
  </si>
  <si>
    <t>MS</t>
  </si>
  <si>
    <t>Equity</t>
  </si>
  <si>
    <t>EditUnallocatedGroupSidePanel</t>
  </si>
  <si>
    <t>Buy</t>
  </si>
  <si>
    <t>EnterAccountValuesToAllocate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</si>
  <si>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</si>
  <si>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</si>
  <si>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</si>
  <si>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</si>
  <si>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</si>
  <si>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</si>
  <si>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</si>
  <si>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</si>
  <si>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</si>
  <si>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</si>
  <si>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</si>
  <si>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</si>
  <si>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</si>
  <si>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</si>
  <si>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</si>
  <si>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</si>
  <si>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</si>
  <si>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</si>
  <si>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</si>
  <si>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</si>
  <si>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</si>
  <si>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</si>
  <si>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</si>
  <si>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</si>
  <si>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</si>
  <si>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</si>
  <si>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</si>
  <si>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</si>
  <si>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</si>
  <si>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</si>
  <si>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</si>
  <si>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</si>
  <si>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</si>
  <si>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</si>
  <si>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</si>
  <si>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</si>
  <si>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</si>
  <si>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</si>
  <si>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</si>
  <si>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</si>
  <si>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</si>
  <si>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</si>
  <si>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</si>
  <si>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</si>
  <si>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</si>
  <si>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</si>
  <si>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</si>
  <si>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</si>
  <si>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</si>
  <si>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</si>
  <si>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</si>
  <si>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</si>
  <si>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</si>
  <si>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</si>
  <si>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</si>
  <si>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</si>
  <si>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</si>
  <si>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</si>
  <si>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</si>
  <si>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</si>
  <si>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</si>
  <si>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</si>
  <si>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</si>
  <si>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</si>
  <si>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</si>
  <si>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</si>
  <si>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</si>
  <si>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</si>
  <si>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</si>
  <si>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</si>
  <si>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</si>
  <si>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</si>
  <si>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</si>
  <si>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</si>
  <si>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</si>
  <si>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</si>
  <si>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</si>
  <si>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</si>
  <si>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</si>
  <si>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</si>
  <si>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</si>
  <si>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</si>
  <si>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</si>
  <si>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</si>
  <si>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</si>
  <si>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</si>
  <si>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</si>
  <si>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</si>
  <si>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</si>
  <si>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</si>
  <si>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</si>
  <si>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</si>
  <si>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</si>
  <si>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</si>
  <si>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</si>
  <si>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</si>
  <si>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</si>
  <si>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</si>
  <si>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>PortfolioManagement</t>
  </si>
  <si>
    <t>CheckPortfolioManagement</t>
  </si>
  <si>
    <t>Long</t>
  </si>
  <si>
    <t>MICROSOFT INC</t>
  </si>
  <si>
    <t>Undefined</t>
  </si>
  <si>
    <t>Strategy Unallocated</t>
  </si>
  <si>
    <t>US</t>
  </si>
  <si>
    <t>NASDAQ</t>
  </si>
  <si>
    <t>USD</t>
  </si>
  <si>
    <t>BrokerNotes</t>
  </si>
  <si>
    <t>jpearce</t>
  </si>
  <si>
    <t>Default</t>
  </si>
  <si>
    <t>GeneralLedger</t>
  </si>
  <si>
    <t>GetAccountBalance</t>
  </si>
  <si>
    <t>Allocation1</t>
  </si>
  <si>
    <t>VerifyAccountBalances</t>
  </si>
  <si>
    <t>UngroupTrades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</si>
</sst>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4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14" applyNumberFormat="1" fontId="14" applyFont="1" fillId="6" applyFill="1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>
      <alignment horizontal="right"/>
    </xf>
    <xf numFmtId="0" fontId="3" applyFont="1" fillId="0" borderId="0" xfId="0" applyAlignment="1"/>
    <xf numFmtId="0" fontId="3" applyFont="1" fillId="0" borderId="5" applyBorder="1" xfId="0" applyAlignment="1"/>
    <xf numFmtId="164" applyNumberFormat="1" fontId="5" applyFont="1" fillId="0" borderId="6" applyBorder="1" xfId="0" applyAlignment="1">
      <alignment horizontal="right"/>
    </xf>
    <xf numFmtId="0" fontId="5" applyFont="1" fillId="0" borderId="6" applyBorder="1" xfId="0" applyAlignment="1">
      <alignment horizontal="center"/>
    </xf>
    <xf numFmtId="0" fontId="3" applyFont="1" fillId="0" borderId="6" applyBorder="1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16</v>
      </c>
      <c r="C6" s="8"/>
      <c r="D6" s="13" t="s">
        <v>17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F038EF1-6903-497B-BA0A-48B72A503FE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17FC5AC-0588-4489-96A6-CFE56AD2156B}">
          <x14:formula1>
            <xm:f>CleanUp!$4:$4</xm:f>
          </x14:formula1>
          <xm:sqref>E3</xm:sqref>
        </x14:dataValidation>
        <x14:dataValidation type="list" allowBlank="1" showInputMessage="1" showErrorMessage="1" prompt="Choose an available module" xr:uid="{4FAD7B23-3414-45BC-96D9-C89DCE3D9123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24</v>
      </c>
      <c r="I5" s="0" t="s">
        <v>25</v>
      </c>
      <c r="J5" s="0" t="s">
        <v>26</v>
      </c>
      <c r="K5" s="0" t="s">
        <v>27</v>
      </c>
      <c r="L5" s="0" t="s">
        <v>28</v>
      </c>
      <c r="M5" s="0" t="s">
        <v>29</v>
      </c>
      <c r="N5" s="0" t="s">
        <v>30</v>
      </c>
      <c r="O5" s="0" t="s">
        <v>31</v>
      </c>
      <c r="P5" s="0" t="s">
        <v>32</v>
      </c>
      <c r="Q5" s="0" t="s">
        <v>33</v>
      </c>
      <c r="R5" s="0" t="s">
        <v>34</v>
      </c>
      <c r="S5" s="0" t="s">
        <v>35</v>
      </c>
      <c r="T5" s="0" t="s">
        <v>36</v>
      </c>
      <c r="U5" s="0" t="s">
        <v>37</v>
      </c>
      <c r="V5" s="0" t="s">
        <v>38</v>
      </c>
      <c r="W5" s="0" t="s">
        <v>39</v>
      </c>
      <c r="X5" s="0" t="s">
        <v>40</v>
      </c>
      <c r="Y5" s="0" t="s">
        <v>41</v>
      </c>
      <c r="Z5" s="0" t="s">
        <v>42</v>
      </c>
      <c r="AA5" s="0" t="s">
        <v>43</v>
      </c>
      <c r="AB5" s="0" t="s">
        <v>44</v>
      </c>
      <c r="AC5" s="0" t="s">
        <v>45</v>
      </c>
      <c r="AD5" s="0" t="s">
        <v>46</v>
      </c>
      <c r="AE5" s="0" t="s">
        <v>47</v>
      </c>
      <c r="AF5" s="0" t="s">
        <v>48</v>
      </c>
      <c r="AG5" s="0" t="s">
        <v>49</v>
      </c>
      <c r="AH5" s="0" t="s">
        <v>50</v>
      </c>
      <c r="AI5" s="0" t="s">
        <v>51</v>
      </c>
      <c r="AJ5" s="0" t="s">
        <v>52</v>
      </c>
      <c r="AK5" s="0" t="s">
        <v>53</v>
      </c>
      <c r="AL5" s="0" t="s">
        <v>54</v>
      </c>
      <c r="AM5" s="0" t="s">
        <v>55</v>
      </c>
      <c r="AN5" s="0" t="s">
        <v>56</v>
      </c>
      <c r="AO5" s="0" t="s">
        <v>57</v>
      </c>
      <c r="AP5" s="0" t="s">
        <v>58</v>
      </c>
      <c r="AQ5" s="0" t="s">
        <v>59</v>
      </c>
      <c r="AR5" s="0" t="s">
        <v>60</v>
      </c>
      <c r="AS5" s="0" t="s">
        <v>61</v>
      </c>
      <c r="AT5" s="0" t="s">
        <v>62</v>
      </c>
      <c r="AU5" s="0" t="s">
        <v>63</v>
      </c>
      <c r="AV5" s="0" t="s">
        <v>64</v>
      </c>
      <c r="AW5" s="0" t="s">
        <v>65</v>
      </c>
      <c r="AX5" s="0" t="s">
        <v>66</v>
      </c>
      <c r="AY5" s="0" t="s">
        <v>67</v>
      </c>
      <c r="AZ5" s="0" t="s">
        <v>68</v>
      </c>
      <c r="BA5" s="0" t="s">
        <v>69</v>
      </c>
      <c r="BB5" s="0" t="s">
        <v>70</v>
      </c>
      <c r="BC5" s="0" t="s">
        <v>71</v>
      </c>
      <c r="BD5" s="0" t="s">
        <v>72</v>
      </c>
      <c r="BE5" s="0" t="s">
        <v>73</v>
      </c>
      <c r="BF5" s="0" t="s">
        <v>74</v>
      </c>
      <c r="BG5" s="0" t="s">
        <v>75</v>
      </c>
      <c r="BH5" s="0" t="s">
        <v>76</v>
      </c>
      <c r="BI5" s="0" t="s">
        <v>77</v>
      </c>
      <c r="BJ5" s="0" t="s">
        <v>78</v>
      </c>
      <c r="BK5" s="0" t="s">
        <v>79</v>
      </c>
      <c r="BL5" s="0" t="s">
        <v>80</v>
      </c>
    </row>
    <row r="6" ht="15.75" customHeight="1">
      <c r="A6" s="32"/>
      <c r="B6" s="32" t="s">
        <v>81</v>
      </c>
      <c r="C6" s="32" t="s">
        <v>82</v>
      </c>
      <c r="D6" s="33">
        <v>120</v>
      </c>
      <c r="E6" s="32"/>
      <c r="F6" s="32" t="s">
        <v>83</v>
      </c>
      <c r="G6" s="32"/>
      <c r="H6" s="32"/>
      <c r="I6" s="32" t="s">
        <v>84</v>
      </c>
      <c r="J6" s="33">
        <v>10</v>
      </c>
      <c r="K6" s="32"/>
      <c r="L6" s="32"/>
      <c r="M6" s="32"/>
      <c r="N6" s="34">
        <f ref="N6:N7" t="shared" si="1">TODAY()</f>
        <v>45855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81</v>
      </c>
      <c r="C7" s="32" t="s">
        <v>82</v>
      </c>
      <c r="D7" s="33">
        <v>80</v>
      </c>
      <c r="E7" s="32"/>
      <c r="F7" s="32" t="s">
        <v>83</v>
      </c>
      <c r="G7" s="32"/>
      <c r="H7" s="32"/>
      <c r="I7" s="32" t="s">
        <v>84</v>
      </c>
      <c r="J7" s="33">
        <v>10</v>
      </c>
      <c r="K7" s="32"/>
      <c r="L7" s="32"/>
      <c r="M7" s="32"/>
      <c r="N7" s="34">
        <f t="shared" si="1"/>
        <v>45855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7635AC7-9164-4355-ABD4-BC163F546D8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A60AA25-78F2-45A5-AD94-9394E26AC250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ADE5F7BD-CE49-461B-82C4-4CD378998F49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81</v>
      </c>
      <c r="C6" s="32" t="s">
        <v>82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1560677-C826-4831-AB79-705CDA57E1D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E97E151-20E7-4910-B9EB-B8DC6FF80C3F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9B769485-9D55-4EFE-AACA-265C8757E2AE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88</v>
      </c>
      <c r="C5" s="0" t="s">
        <v>89</v>
      </c>
      <c r="D5" s="0" t="s">
        <v>90</v>
      </c>
      <c r="E5" s="0" t="s">
        <v>91</v>
      </c>
      <c r="F5" s="0" t="s">
        <v>18</v>
      </c>
      <c r="G5" s="0" t="s">
        <v>92</v>
      </c>
      <c r="H5" s="0" t="s">
        <v>93</v>
      </c>
      <c r="I5" s="0" t="s">
        <v>53</v>
      </c>
      <c r="J5" s="0" t="s">
        <v>23</v>
      </c>
      <c r="K5" s="0" t="s">
        <v>94</v>
      </c>
      <c r="L5" s="0" t="s">
        <v>95</v>
      </c>
      <c r="M5" s="0" t="s">
        <v>96</v>
      </c>
      <c r="N5" s="0" t="s">
        <v>97</v>
      </c>
      <c r="O5" s="0" t="s">
        <v>44</v>
      </c>
      <c r="P5" s="0" t="s">
        <v>98</v>
      </c>
      <c r="Q5" s="0" t="s">
        <v>99</v>
      </c>
      <c r="R5" s="0" t="s">
        <v>100</v>
      </c>
    </row>
    <row r="6" ht="15.75" customHeight="1">
      <c r="A6" s="8"/>
      <c r="B6" s="13" t="s">
        <v>101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49A5B98-10F9-48B8-A8A4-5240AD3F228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C5A0264-936A-410C-8D93-A3D76C69C6BD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FF56C18-9D49-4585-BFE8-175CE844766E}">
          <x14:formula1>
            <xm:f>GetDataAllocation!$4:$4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102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81</v>
      </c>
      <c r="C6" s="32" t="s">
        <v>82</v>
      </c>
      <c r="D6" s="33">
        <v>200</v>
      </c>
      <c r="E6" s="33">
        <v>200</v>
      </c>
      <c r="F6" s="32"/>
      <c r="G6" s="32"/>
      <c r="H6" s="32"/>
      <c r="I6" s="32"/>
      <c r="J6" s="32"/>
      <c r="K6" s="32"/>
      <c r="L6" s="32"/>
      <c r="M6" s="32"/>
      <c r="N6" s="33">
        <v>10</v>
      </c>
      <c r="O6" s="33">
        <v>10</v>
      </c>
      <c r="P6" s="32" t="s">
        <v>103</v>
      </c>
      <c r="Q6" s="36">
        <v>1</v>
      </c>
      <c r="R6" s="32"/>
      <c r="S6" s="32"/>
      <c r="T6" s="32"/>
      <c r="U6" s="32" t="s">
        <v>104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54EE14C-5A43-41C1-95BA-422DF89AF41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11EAC77-42E1-46D7-A0B7-78A4EC24B2FC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44F740BC-0D6A-4CAB-ACB9-91F78B6EB24C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7" t="s">
        <v>106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694EE3F-40B2-4207-BE04-C24709C2F0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85B4339-2955-4E85-8322-97BAA7D54C7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D69A4FC-3557-4536-B502-6C144FD9D12C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1703449-6260-4772-9143-D7BDAB1C6F3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15E3CEE-7422-4F86-BFE2-C06E149B13B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AE8A89E-0B4E-4EB7-9F81-323520747FE2}">
          <x14:formula1>
            <xm:f>EnterAccountValuesToAllocate!$4:$4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/>
    <row r="6" ht="15.75" customHeight="1">
      <c r="A6" s="13"/>
      <c r="B6" s="13" t="s">
        <v>16</v>
      </c>
      <c r="C6" s="8"/>
      <c r="D6" s="13" t="s">
        <v>17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B99CB0-8A08-4CC8-8A5D-337C682B61F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F6C6E87-B594-4816-B012-D4DF7C5D2EE1}">
          <x14:formula1>
            <xm:f>SaveAllocation!$4:$4</xm:f>
          </x14:formula1>
          <xm:sqref>E3</xm:sqref>
        </x14:dataValidation>
        <x14:dataValidation type="list" allowBlank="1" showInputMessage="1" showErrorMessage="1" prompt="Choose an available module" xr:uid="{53BCE990-9FC5-4501-8C3D-58099EDFEFBE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109</v>
      </c>
      <c r="C5" s="0" t="s">
        <v>110</v>
      </c>
      <c r="D5" s="0" t="s">
        <v>111</v>
      </c>
      <c r="E5" s="0" t="s">
        <v>112</v>
      </c>
      <c r="F5" s="0" t="s">
        <v>113</v>
      </c>
      <c r="G5" s="0" t="s">
        <v>114</v>
      </c>
      <c r="H5" s="0" t="s">
        <v>115</v>
      </c>
      <c r="I5" s="0" t="s">
        <v>116</v>
      </c>
      <c r="J5" s="0" t="s">
        <v>117</v>
      </c>
      <c r="K5" s="0" t="s">
        <v>118</v>
      </c>
      <c r="L5" s="0" t="s">
        <v>119</v>
      </c>
      <c r="M5" s="0" t="s">
        <v>120</v>
      </c>
      <c r="N5" s="0" t="s">
        <v>121</v>
      </c>
      <c r="O5" s="0" t="s">
        <v>23</v>
      </c>
      <c r="P5" s="0" t="s">
        <v>122</v>
      </c>
      <c r="Q5" s="0" t="s">
        <v>123</v>
      </c>
      <c r="R5" s="0" t="s">
        <v>124</v>
      </c>
      <c r="S5" s="0" t="s">
        <v>125</v>
      </c>
      <c r="T5" s="0" t="s">
        <v>126</v>
      </c>
      <c r="U5" s="0" t="s">
        <v>127</v>
      </c>
      <c r="V5" s="0" t="s">
        <v>128</v>
      </c>
      <c r="W5" s="0" t="s">
        <v>129</v>
      </c>
      <c r="X5" s="0" t="s">
        <v>130</v>
      </c>
      <c r="Y5" s="0" t="s">
        <v>131</v>
      </c>
      <c r="Z5" s="0" t="s">
        <v>94</v>
      </c>
      <c r="AA5" s="0" t="s">
        <v>132</v>
      </c>
      <c r="AB5" s="0" t="s">
        <v>133</v>
      </c>
      <c r="AC5" s="0" t="s">
        <v>134</v>
      </c>
      <c r="AD5" s="0" t="s">
        <v>95</v>
      </c>
      <c r="AE5" s="0" t="s">
        <v>135</v>
      </c>
      <c r="AF5" s="0" t="s">
        <v>136</v>
      </c>
      <c r="AG5" s="0" t="s">
        <v>137</v>
      </c>
      <c r="AH5" s="0" t="s">
        <v>138</v>
      </c>
      <c r="AI5" s="0" t="s">
        <v>139</v>
      </c>
      <c r="AJ5" s="0" t="s">
        <v>140</v>
      </c>
      <c r="AK5" s="0" t="s">
        <v>141</v>
      </c>
      <c r="AL5" s="0" t="s">
        <v>142</v>
      </c>
      <c r="AM5" s="0" t="s">
        <v>143</v>
      </c>
      <c r="AN5" s="0" t="s">
        <v>144</v>
      </c>
      <c r="AO5" s="0" t="s">
        <v>145</v>
      </c>
      <c r="AP5" s="0" t="s">
        <v>146</v>
      </c>
      <c r="AQ5" s="0" t="s">
        <v>147</v>
      </c>
      <c r="AR5" s="0" t="s">
        <v>148</v>
      </c>
      <c r="AS5" s="0" t="s">
        <v>149</v>
      </c>
      <c r="AT5" s="0" t="s">
        <v>150</v>
      </c>
      <c r="AU5" s="0" t="s">
        <v>151</v>
      </c>
      <c r="AV5" s="0" t="s">
        <v>152</v>
      </c>
      <c r="AW5" s="0" t="s">
        <v>153</v>
      </c>
      <c r="AX5" s="0" t="s">
        <v>154</v>
      </c>
      <c r="AY5" s="0" t="s">
        <v>25</v>
      </c>
      <c r="AZ5" s="0" t="s">
        <v>155</v>
      </c>
      <c r="BA5" s="0" t="s">
        <v>156</v>
      </c>
      <c r="BB5" s="0" t="s">
        <v>157</v>
      </c>
      <c r="BC5" s="0" t="s">
        <v>158</v>
      </c>
      <c r="BD5" s="0" t="s">
        <v>159</v>
      </c>
      <c r="BE5" s="0" t="s">
        <v>160</v>
      </c>
      <c r="BF5" s="0" t="s">
        <v>161</v>
      </c>
      <c r="BG5" s="0" t="s">
        <v>162</v>
      </c>
      <c r="BH5" s="0" t="s">
        <v>163</v>
      </c>
      <c r="BI5" s="0" t="s">
        <v>164</v>
      </c>
      <c r="BJ5" s="0" t="s">
        <v>20</v>
      </c>
      <c r="BK5" s="0" t="s">
        <v>165</v>
      </c>
      <c r="BL5" s="0" t="s">
        <v>166</v>
      </c>
      <c r="BM5" s="0" t="s">
        <v>167</v>
      </c>
      <c r="BN5" s="0" t="s">
        <v>168</v>
      </c>
      <c r="BO5" s="0" t="s">
        <v>93</v>
      </c>
      <c r="BP5" s="0" t="s">
        <v>169</v>
      </c>
      <c r="BQ5" s="0" t="s">
        <v>170</v>
      </c>
      <c r="BR5" s="0" t="s">
        <v>171</v>
      </c>
      <c r="BS5" s="0" t="s">
        <v>172</v>
      </c>
      <c r="BT5" s="0" t="s">
        <v>18</v>
      </c>
      <c r="BU5" s="0" t="s">
        <v>173</v>
      </c>
      <c r="BV5" s="0" t="s">
        <v>174</v>
      </c>
      <c r="BW5" s="0" t="s">
        <v>175</v>
      </c>
      <c r="BX5" s="0" t="s">
        <v>176</v>
      </c>
      <c r="BY5" s="0" t="s">
        <v>177</v>
      </c>
      <c r="BZ5" s="0" t="s">
        <v>178</v>
      </c>
      <c r="CA5" s="0" t="s">
        <v>179</v>
      </c>
      <c r="CB5" s="0" t="s">
        <v>180</v>
      </c>
      <c r="CC5" s="0" t="s">
        <v>181</v>
      </c>
      <c r="CD5" s="0" t="s">
        <v>182</v>
      </c>
      <c r="CE5" s="0" t="s">
        <v>30</v>
      </c>
      <c r="CF5" s="0" t="s">
        <v>183</v>
      </c>
      <c r="CG5" s="0" t="s">
        <v>184</v>
      </c>
      <c r="CH5" s="0" t="s">
        <v>185</v>
      </c>
      <c r="CI5" s="0" t="s">
        <v>186</v>
      </c>
      <c r="CJ5" s="0" t="s">
        <v>187</v>
      </c>
      <c r="CK5" s="0" t="s">
        <v>97</v>
      </c>
      <c r="CL5" s="0" t="s">
        <v>188</v>
      </c>
      <c r="CM5" s="0" t="s">
        <v>189</v>
      </c>
      <c r="CN5" s="0" t="s">
        <v>190</v>
      </c>
      <c r="CO5" s="0" t="s">
        <v>44</v>
      </c>
      <c r="CP5" s="0" t="s">
        <v>191</v>
      </c>
      <c r="CQ5" s="0" t="s">
        <v>192</v>
      </c>
      <c r="CR5" s="0" t="s">
        <v>193</v>
      </c>
      <c r="CS5" s="0" t="s">
        <v>194</v>
      </c>
      <c r="CT5" s="0" t="s">
        <v>195</v>
      </c>
      <c r="CU5" s="0" t="s">
        <v>196</v>
      </c>
      <c r="CV5" s="0" t="s">
        <v>197</v>
      </c>
      <c r="CW5" s="0" t="s">
        <v>198</v>
      </c>
      <c r="CX5" s="0" t="s">
        <v>199</v>
      </c>
      <c r="CY5" s="0" t="s">
        <v>200</v>
      </c>
      <c r="CZ5" s="0" t="s">
        <v>201</v>
      </c>
      <c r="DA5" s="0" t="s">
        <v>202</v>
      </c>
      <c r="DB5" s="0" t="s">
        <v>203</v>
      </c>
      <c r="DC5" s="0" t="s">
        <v>204</v>
      </c>
      <c r="DD5" s="0" t="s">
        <v>205</v>
      </c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051BA75-93E5-46CE-BE4A-03C28984926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D7D5224-246C-45F5-A007-814DB9AF9A3B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3DED6C1F-2068-47A8-A185-B919D38B6745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T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206</v>
      </c>
      <c r="D3" s="5" t="s">
        <v>9</v>
      </c>
      <c r="E3" s="23" t="s">
        <v>207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81</v>
      </c>
      <c r="D6" s="13">
        <v>120</v>
      </c>
      <c r="E6" s="8"/>
      <c r="F6" s="8"/>
      <c r="G6" s="13">
        <v>10</v>
      </c>
      <c r="H6" s="13" t="s">
        <v>208</v>
      </c>
      <c r="I6" s="13"/>
      <c r="J6" s="13"/>
      <c r="K6" s="13"/>
      <c r="L6" s="13"/>
      <c r="M6" s="13"/>
      <c r="N6" s="13"/>
      <c r="O6" s="13" t="s">
        <v>209</v>
      </c>
      <c r="P6" s="9" t="s">
        <v>210</v>
      </c>
      <c r="S6" s="9" t="s">
        <v>211</v>
      </c>
      <c r="T6" s="9" t="s">
        <v>104</v>
      </c>
      <c r="U6" s="9" t="s">
        <v>212</v>
      </c>
      <c r="V6" s="9" t="s">
        <v>213</v>
      </c>
      <c r="W6" s="9" t="s">
        <v>214</v>
      </c>
      <c r="X6" s="9">
        <v>1</v>
      </c>
      <c r="Y6" s="9">
        <v>1</v>
      </c>
      <c r="AF6" s="9">
        <v>120</v>
      </c>
      <c r="AK6" s="9">
        <v>-1200</v>
      </c>
      <c r="AL6" s="9">
        <v>1</v>
      </c>
      <c r="AM6" s="9">
        <v>1</v>
      </c>
      <c r="AN6" s="9" t="s">
        <v>106</v>
      </c>
      <c r="AP6" s="9" t="s">
        <v>208</v>
      </c>
      <c r="AQ6" s="9" t="s">
        <v>81</v>
      </c>
      <c r="AU6" s="9" t="s">
        <v>215</v>
      </c>
      <c r="AV6" s="9">
        <v>1</v>
      </c>
      <c r="BC6" s="9">
        <v>1</v>
      </c>
      <c r="BE6" s="9" t="s">
        <v>104</v>
      </c>
      <c r="BQ6" s="9" t="s">
        <v>216</v>
      </c>
      <c r="BR6" s="9" t="s">
        <v>103</v>
      </c>
      <c r="BU6" s="9" t="s">
        <v>104</v>
      </c>
      <c r="CD6" s="9">
        <v>-1200</v>
      </c>
      <c r="CH6" s="9">
        <v>-100</v>
      </c>
      <c r="CK6" s="9" t="b">
        <v>0</v>
      </c>
      <c r="CZ6" s="9" t="s">
        <v>217</v>
      </c>
      <c r="DD6" s="9">
        <v>120</v>
      </c>
      <c r="DJ6" s="9" t="s">
        <v>106</v>
      </c>
      <c r="DM6" s="9">
        <v>1</v>
      </c>
    </row>
    <row r="7" ht="15.75" customHeight="1">
      <c r="A7" s="8"/>
      <c r="B7" s="8"/>
      <c r="C7" s="13" t="s">
        <v>81</v>
      </c>
      <c r="D7" s="13">
        <v>80</v>
      </c>
      <c r="E7" s="8"/>
      <c r="F7" s="8"/>
      <c r="G7" s="13">
        <v>10</v>
      </c>
      <c r="H7" s="13" t="s">
        <v>208</v>
      </c>
      <c r="I7" s="13"/>
      <c r="J7" s="13"/>
      <c r="K7" s="13"/>
      <c r="L7" s="13"/>
      <c r="M7" s="13"/>
      <c r="N7" s="13"/>
      <c r="O7" s="13" t="s">
        <v>209</v>
      </c>
      <c r="P7" s="9" t="s">
        <v>210</v>
      </c>
      <c r="S7" s="9" t="s">
        <v>211</v>
      </c>
      <c r="T7" s="9" t="s">
        <v>104</v>
      </c>
      <c r="U7" s="9" t="s">
        <v>212</v>
      </c>
      <c r="V7" s="9" t="s">
        <v>213</v>
      </c>
      <c r="W7" s="9" t="s">
        <v>214</v>
      </c>
      <c r="X7" s="9">
        <v>1</v>
      </c>
      <c r="Y7" s="9">
        <v>1</v>
      </c>
      <c r="AF7" s="9">
        <v>80</v>
      </c>
      <c r="AK7" s="9">
        <v>-800</v>
      </c>
      <c r="AL7" s="9">
        <v>1</v>
      </c>
      <c r="AM7" s="9">
        <v>1</v>
      </c>
      <c r="AN7" s="9" t="s">
        <v>106</v>
      </c>
      <c r="AP7" s="9" t="s">
        <v>208</v>
      </c>
      <c r="AQ7" s="9" t="s">
        <v>81</v>
      </c>
      <c r="AU7" s="9" t="s">
        <v>215</v>
      </c>
      <c r="AV7" s="9">
        <v>1</v>
      </c>
      <c r="BC7" s="9">
        <v>1</v>
      </c>
      <c r="BE7" s="9" t="s">
        <v>104</v>
      </c>
      <c r="BQ7" s="9" t="s">
        <v>216</v>
      </c>
      <c r="BR7" s="9" t="s">
        <v>103</v>
      </c>
      <c r="BU7" s="9" t="s">
        <v>104</v>
      </c>
      <c r="CD7" s="9">
        <v>-800</v>
      </c>
      <c r="CH7" s="9">
        <v>-100</v>
      </c>
      <c r="CK7" s="9" t="b">
        <v>0</v>
      </c>
      <c r="CZ7" s="9" t="s">
        <v>217</v>
      </c>
      <c r="DD7" s="9">
        <v>80</v>
      </c>
      <c r="DJ7" s="9" t="s">
        <v>106</v>
      </c>
      <c r="DM7" s="9">
        <v>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50FA21B-B0C0-44C9-AD00-867E0D3649D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5C8488B-05AC-4E7A-86E7-F328F13F0716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55580575-B23F-411C-9564-5427EC991605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218</v>
      </c>
      <c r="D3" s="5" t="s">
        <v>9</v>
      </c>
      <c r="E3" s="23" t="s">
        <v>219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/>
      <c r="C6" s="35" t="s">
        <v>220</v>
      </c>
      <c r="D6" s="39">
        <f>TODAY()</f>
        <v>45855</v>
      </c>
      <c r="E6" s="40" t="b">
        <v>1</v>
      </c>
      <c r="F6" s="41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E1A0D05-AA48-4B06-A328-AE22DBBD5C3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C5DB283-B944-4A4A-B247-C0B90DCA9A9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BA4627D-5DD5-466D-B236-31F00B8AC43F}">
          <x14:formula1>
            <xm:f>GetAccountBalance!$4:$4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218</v>
      </c>
      <c r="D3" s="5" t="s">
        <v>9</v>
      </c>
      <c r="E3" s="23" t="s">
        <v>221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IFERROR(__xludf.DUMMYFUNCTION("""COMPUTED_VALUE"""),"A/c")</f>
        <v>A/c</v>
      </c>
      <c r="D5" s="28" t="str">
        <f>IFERROR(__xludf.DUMMYFUNCTION("""COMPUTED_VALUE"""),"Master A/c")</f>
        <v>Master A/c</v>
      </c>
      <c r="E5" s="28" t="str">
        <f>IFERROR(__xludf.DUMMYFUNCTION("""COMPUTED_VALUE"""),"A/c Type")</f>
        <v>A/c Type</v>
      </c>
      <c r="F5" s="29" t="str">
        <f>IFERROR(__xludf.DUMMYFUNCTION("""COMPUTED_VALUE"""),"Currency")</f>
        <v>Currency</v>
      </c>
      <c r="G5" s="28" t="str">
        <f>IFERROR(__xludf.DUMMYFUNCTION("""COMPUTED_VALUE"""),"Closing Balance (Dr)")</f>
        <v>Closing Balance (Dr)</v>
      </c>
      <c r="H5" s="28" t="str">
        <f>IFERROR(__xludf.DUMMYFUNCTION("""COMPUTED_VALUE"""),"Closing Balance (Cr)")</f>
        <v>Closing Balance (Cr)</v>
      </c>
      <c r="I5" s="28" t="str">
        <f>IFERROR(__xludf.DUMMYFUNCTION("""COMPUTED_VALUE"""),"Closing Balance Base (Dr)")</f>
        <v>Closing Balance Base (Dr)</v>
      </c>
      <c r="J5" s="28" t="str">
        <f>IFERROR(__xludf.DUMMYFUNCTION("""COMPUTED_VALUE"""),"Closing Balance Base (Cr)")</f>
        <v>Closing Balance Base (Cr)</v>
      </c>
      <c r="K5" s="28" t="str">
        <f>IFERROR(__xludf.DUMMYFUNCTION("""COMPUTED_VALUE"""),"SubCategory A/c")</f>
        <v>SubCategory A/c</v>
      </c>
      <c r="L5" s="28" t="str">
        <f>IFERROR(__xludf.DUMMYFUNCTION("""COMPUTED_VALUE"""),"Opening Balance Date")</f>
        <v>Opening Balance Date</v>
      </c>
      <c r="M5" s="28" t="str">
        <f>IFERROR(__xludf.DUMMYFUNCTION("""COMPUTED_VALUE"""),"TransactionDate")</f>
        <v>TransactionDate</v>
      </c>
      <c r="N5" s="28" t="str">
        <f>IFERROR(__xludf.DUMMYFUNCTION("""COMPUTED_VALUE"""),"Opening Balance (Dr)")</f>
        <v>Opening Balance (Dr)</v>
      </c>
      <c r="O5" s="28" t="str">
        <f>IFERROR(__xludf.DUMMYFUNCTION("""COMPUTED_VALUE"""),"Opening Balance (Cr)")</f>
        <v>Opening Balance (Cr)</v>
      </c>
      <c r="P5" s="28" t="str">
        <f>IFERROR(__xludf.DUMMYFUNCTION("""COMPUTED_VALUE"""),"Day Balance (Dr)")</f>
        <v>Day Balance (Dr)</v>
      </c>
      <c r="Q5" s="28" t="str">
        <f>IFERROR(__xludf.DUMMYFUNCTION("""COMPUTED_VALUE"""),"Day Balance (Cr)")</f>
        <v>Day Balance (Cr)</v>
      </c>
      <c r="R5" s="28" t="str">
        <f>IFERROR(__xludf.DUMMYFUNCTION("""COMPUTED_VALUE"""),"Opening Balance Base (Dr)")</f>
        <v>Opening Balance Base (Dr)</v>
      </c>
      <c r="S5" s="28" t="str">
        <f>IFERROR(__xludf.DUMMYFUNCTION("""COMPUTED_VALUE"""),"Opening Balance Base (Cr)")</f>
        <v>Opening Balance Base (Cr)</v>
      </c>
      <c r="T5" s="30" t="str">
        <f>IFERROR(__xludf.DUMMYFUNCTION("""COMPUTED_VALUE"""),"Day Balance Base (Dr)")</f>
        <v>Day Balance Base (Dr)</v>
      </c>
      <c r="U5" s="30" t="str">
        <f>IFERROR(__xludf.DUMMYFUNCTION("""COMPUTED_VALUE"""),"Day Balance Base (Cr)")</f>
        <v>Day Balance Base (Cr)</v>
      </c>
      <c r="V5" s="30" t="str">
        <f>IFERROR(__xludf.DUMMYFUNCTION("""COMPUTED_VALUE"""),"Base Currency")</f>
        <v>Base Currency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F73DDF5-4636-4725-A193-561CC95B023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7A70257-47F8-4802-AE91-D7EC2805DC5F}">
          <x14:formula1>
            <xm:f>VerifyAccountBalances!$4:$4</xm:f>
          </x14:formula1>
          <xm:sqref>E3</xm:sqref>
        </x14:dataValidation>
        <x14:dataValidation type="list" allowBlank="1" showInputMessage="1" showErrorMessage="1" prompt="Choose an available module" xr:uid="{CAC4A1D9-D5CC-4DBD-A2F4-988B32E1FC67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85</v>
      </c>
      <c r="D3" s="5" t="s">
        <v>9</v>
      </c>
      <c r="E3" s="23" t="s">
        <v>222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81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635AFDB-D58F-40F7-A946-472597C1A74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90A5C53-4D52-4366-A529-37DD8C67DA53}">
          <x14:formula1>
            <xm:f>UngroupTrades!$4:$4</xm:f>
          </x14:formula1>
          <xm:sqref>E3</xm:sqref>
        </x14:dataValidation>
        <x14:dataValidation type="list" allowBlank="1" showInputMessage="1" showErrorMessage="1" prompt="Choose an available module" xr:uid="{E62A3D41-39BE-4725-9BAD-D0AA77C0276D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