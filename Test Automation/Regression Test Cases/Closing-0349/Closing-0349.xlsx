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VerifyExpiredSettledGrid" sheetId="13" r:id="rId15"/>
    <sheet name="CheckAllocatedGroup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<sst xmlns="http://schemas.openxmlformats.org/spreadsheetml/2006/main" count="72" uniqueCount="72">
  <si>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</si>
  <si>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</si>
  <si>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</si>
  <si>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</si>
  <si>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</si>
  <si>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</si>
  <si>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</si>
  <si>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</si>
  <si>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</si>
  <si>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</si>
  <si>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</si>
  <si>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</si>
  <si>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</si>
  <si>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</si>
  <si>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</si>
  <si>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</si>
  <si>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</si>
  <si>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</si>
  <si>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</si>
  <si>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</si>
  <si>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</si>
  <si>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</si>
  <si>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</si>
  <si>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</si>
  <si>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Sell short</t>
  </si>
  <si>
    <t>Allocation1</t>
  </si>
  <si>
    <t>Buy to Open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</si>
  <si>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</si>
  <si>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</si>
  <si>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</si>
  <si>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</si>
  <si>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</si>
  <si>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</si>
  <si>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</si>
  <si>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</si>
  <si>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</si>
  <si>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AAPL OPTION</t>
  </si>
  <si>
    <t>ExerciseAssignment</t>
  </si>
  <si>
    <t>Allocation</t>
  </si>
  <si>
    <t>GetDataAllocation</t>
  </si>
  <si>
    <t>VerifyExpiredSettledGrid</t>
  </si>
  <si>
    <t>Exercise</t>
  </si>
  <si>
    <t>CheckAllocatedGroups</t>
  </si>
  <si>
    <t>Manual</t>
  </si>
  <si>
    <t>Equity</t>
  </si>
  <si>
    <t>MS</t>
  </si>
  <si>
    <t>Open</t>
  </si>
  <si>
    <t>APPLE</t>
  </si>
  <si>
    <t>USD</t>
  </si>
  <si>
    <t>NASDAQ</t>
  </si>
  <si>
    <t>M</t>
  </si>
  <si>
    <t>None</t>
  </si>
  <si>
    <t>Closed</t>
  </si>
  <si>
    <t>OPTS</t>
  </si>
  <si>
    <t>IsExercised</t>
  </si>
  <si>
    <t>Sell to Close</t>
  </si>
  <si>
    <t>Buy to Close</t>
  </si>
  <si>
    <t>D</t>
  </si>
  <si>
    <t>Exercise/Assign</t>
  </si>
  <si>
    <t>Buy</t>
  </si>
  <si>
    <t>PortfolioManagement</t>
  </si>
  <si>
    <t>CheckPortfolioManagement</t>
  </si>
  <si>
    <t>NewMF</t>
  </si>
  <si>
    <t>Long</t>
  </si>
  <si>
    <t>FIMAT</t>
  </si>
  <si>
    <t>Strategy Unallocated</t>
  </si>
  <si>
    <t>US</t>
  </si>
  <si>
    <t>Short</t>
  </si>
  <si>
    <t>Equity Call</t>
  </si>
  <si>
    <t>CALL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</si>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</sst>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9"/>
      <color rgb="FF000000"/>
      <name val="&quot;Google Sans Mono&quot;"/>
    </font>
    <font>
      <color rgb="FF000000"/>
      <name val="Calibri"/>
    </font>
    <font>
      <sz val="9"/>
      <color rgb="FF1155CC"/>
      <name val="&quot;Google Sans Mono&quot;"/>
    </font>
    <font>
      <color rgb="FF000000"/>
      <name val="Arial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15" applyFont="1" fillId="6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6" applyFont="1" fillId="6" applyFill="1" borderId="0" applyBorder="1" xfId="0"/>
    <xf numFmtId="14" applyNumberFormat="1" fontId="17" applyFont="1" fillId="6" applyFill="1" borderId="0" applyBorder="1" xfId="0">
      <alignment horizontal="right"/>
    </xf>
    <xf fontId="18" applyFont="1" fillId="6" applyFill="1" borderId="0" applyBorder="1" xfId="0"/>
    <xf fontId="18" applyFont="1" fillId="6" applyFill="1" borderId="0" applyBorder="1" xfId="0"/>
    <xf fontId="19" applyFont="1" fillId="6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6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20" applyFont="1" fillId="0" applyFill="1" borderId="0" applyBorder="1" xfId="0">
      <alignment horizontal="right"/>
    </xf>
    <xf fontId="20" applyFont="1" fillId="0" applyFill="1" borderId="0" applyBorder="1" xfId="0"/>
    <xf numFmtId="4" applyNumberFormat="1" fontId="20" applyFont="1" fillId="0" applyFill="1" borderId="0" applyBorder="1" xfId="0">
      <alignment horizontal="right"/>
    </xf>
    <xf fontId="20" applyFont="1" fillId="0" applyFill="1" borderId="0" applyBorder="1" xfId="0"/>
    <xf numFmtId="3" applyNumberFormat="1" fontId="20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7" t="shared" si="1">TODAY()</f>
        <v>45053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45053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7">
        <v>100</v>
      </c>
      <c r="E6" s="38">
        <v>100</v>
      </c>
      <c r="F6" s="39" t="s">
        <v>25</v>
      </c>
      <c r="G6" s="34"/>
      <c r="H6" s="34"/>
      <c r="I6" s="34"/>
      <c r="J6" s="38">
        <v>1</v>
      </c>
      <c r="K6" s="34"/>
      <c r="L6" s="34"/>
      <c r="M6" s="34"/>
      <c r="N6" s="40">
        <f>TODAY()-10</f>
        <v>45043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41" t="s">
        <v>26</v>
      </c>
      <c r="D7" s="38">
        <v>10</v>
      </c>
      <c r="E7" s="34"/>
      <c r="F7" s="34" t="s">
        <v>25</v>
      </c>
      <c r="G7" s="34"/>
      <c r="H7" s="34"/>
      <c r="I7" s="34"/>
      <c r="J7" s="38">
        <v>1</v>
      </c>
      <c r="K7" s="34"/>
      <c r="L7" s="34"/>
      <c r="M7" s="34"/>
      <c r="N7" s="40">
        <f ref="N7:N8" t="shared" si="1">TODAY()-8</f>
        <v>45045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42" t="s">
        <v>27</v>
      </c>
      <c r="D8" s="38">
        <v>10</v>
      </c>
      <c r="E8" s="34"/>
      <c r="F8" s="43" t="s">
        <v>25</v>
      </c>
      <c r="G8" s="34"/>
      <c r="H8" s="34"/>
      <c r="I8" s="34"/>
      <c r="J8" s="38">
        <v>1</v>
      </c>
      <c r="K8" s="34"/>
      <c r="L8" s="34"/>
      <c r="M8" s="34"/>
      <c r="N8" s="40">
        <f t="shared" si="1"/>
        <v>45045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>
        <f>today()-1</f>
        <v>45052</v>
      </c>
      <c r="C6" s="44">
        <f>today()</f>
        <v>45053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32</v>
      </c>
      <c r="C6" s="46" t="s">
        <v>33</v>
      </c>
      <c r="D6" s="46">
        <f>TODAY()</f>
        <v>45053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25</v>
      </c>
      <c r="C6" s="34"/>
      <c r="D6" s="31"/>
      <c r="E6" s="47" t="s">
        <v>35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9">
        <v>10</v>
      </c>
      <c r="CH6" s="34"/>
      <c r="CI6" s="34"/>
      <c r="CJ6" s="34"/>
      <c r="CK6" s="34"/>
      <c r="CL6" s="34"/>
      <c r="CM6" s="34" t="s">
        <v>36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50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25</v>
      </c>
      <c r="C7" s="34"/>
      <c r="D7" s="34"/>
      <c r="E7" s="47" t="s">
        <v>35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9">
        <v>10</v>
      </c>
      <c r="CH7" s="34"/>
      <c r="CI7" s="34"/>
      <c r="CJ7" s="34"/>
      <c r="CK7" s="34"/>
      <c r="CL7" s="34"/>
      <c r="CM7" s="34" t="s">
        <v>36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50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32</v>
      </c>
      <c r="C6" s="46" t="s">
        <v>33</v>
      </c>
      <c r="D6" s="46">
        <f>TODAY()</f>
        <v>45053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 t="s">
        <v>35</v>
      </c>
      <c r="D6" s="31"/>
      <c r="E6" s="34"/>
      <c r="F6" s="34"/>
      <c r="G6" s="38">
        <v>10</v>
      </c>
      <c r="H6" s="34"/>
      <c r="I6" s="34"/>
      <c r="J6" s="34" t="s">
        <v>41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41" t="s">
        <v>26</v>
      </c>
      <c r="AA6" s="34"/>
      <c r="AB6" s="50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35</v>
      </c>
      <c r="D7" s="34"/>
      <c r="E7" s="34"/>
      <c r="F7" s="34"/>
      <c r="G7" s="38">
        <v>10</v>
      </c>
      <c r="H7" s="34"/>
      <c r="I7" s="34"/>
      <c r="J7" s="34" t="s">
        <v>41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42" t="s">
        <v>27</v>
      </c>
      <c r="AA7" s="34"/>
      <c r="AB7" s="50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2">
        <v>100</v>
      </c>
      <c r="F6" s="53" t="s">
        <v>43</v>
      </c>
      <c r="G6" s="53" t="s">
        <v>44</v>
      </c>
      <c r="H6" s="8"/>
      <c r="I6" s="8"/>
      <c r="J6" s="52">
        <v>1</v>
      </c>
      <c r="K6" s="8"/>
      <c r="L6" s="8"/>
      <c r="M6" s="8"/>
      <c r="N6" s="8"/>
      <c r="O6" s="53" t="s">
        <v>45</v>
      </c>
      <c r="S6" s="53" t="s">
        <v>46</v>
      </c>
      <c r="V6" s="53" t="s">
        <v>47</v>
      </c>
      <c r="Z6" s="53" t="s">
        <v>48</v>
      </c>
      <c r="AD6" s="53" t="s">
        <v>49</v>
      </c>
      <c r="AH6" s="53" t="s">
        <v>50</v>
      </c>
      <c r="AJ6" s="53" t="s">
        <v>51</v>
      </c>
      <c r="BJ6" s="52">
        <v>100</v>
      </c>
      <c r="BO6" s="53" t="s">
        <v>24</v>
      </c>
      <c r="BT6" s="53" t="s">
        <v>23</v>
      </c>
    </row>
    <row r="7" ht="15.75" customHeight="1">
      <c r="A7" s="8"/>
      <c r="B7" s="8"/>
      <c r="C7" s="8"/>
      <c r="D7" s="8"/>
      <c r="E7" s="52">
        <v>10</v>
      </c>
      <c r="F7" s="53" t="s">
        <v>43</v>
      </c>
      <c r="G7" s="53" t="s">
        <v>35</v>
      </c>
      <c r="H7" s="8"/>
      <c r="I7" s="8"/>
      <c r="J7" s="52">
        <v>12</v>
      </c>
      <c r="K7" s="8"/>
      <c r="L7" s="8"/>
      <c r="M7" s="8"/>
      <c r="N7" s="8"/>
      <c r="O7" s="53" t="s">
        <v>45</v>
      </c>
      <c r="S7" s="53" t="s">
        <v>52</v>
      </c>
      <c r="V7" s="53" t="s">
        <v>36</v>
      </c>
      <c r="Z7" s="53" t="s">
        <v>48</v>
      </c>
      <c r="AD7" s="53" t="s">
        <v>53</v>
      </c>
      <c r="AH7" s="53" t="s">
        <v>50</v>
      </c>
      <c r="AJ7" s="53" t="s">
        <v>54</v>
      </c>
      <c r="BJ7" s="52">
        <v>10</v>
      </c>
      <c r="BO7" s="53" t="s">
        <v>26</v>
      </c>
      <c r="BT7" s="53" t="s">
        <v>16</v>
      </c>
    </row>
    <row r="8" ht="15.75" customHeight="1">
      <c r="A8" s="8"/>
      <c r="B8" s="8"/>
      <c r="C8" s="8"/>
      <c r="D8" s="8"/>
      <c r="E8" s="52">
        <v>10</v>
      </c>
      <c r="F8" s="53" t="s">
        <v>43</v>
      </c>
      <c r="G8" s="53" t="s">
        <v>35</v>
      </c>
      <c r="H8" s="8"/>
      <c r="I8" s="8"/>
      <c r="J8" s="52">
        <v>12</v>
      </c>
      <c r="K8" s="8"/>
      <c r="L8" s="8"/>
      <c r="M8" s="8"/>
      <c r="N8" s="8"/>
      <c r="O8" s="53" t="s">
        <v>45</v>
      </c>
      <c r="S8" s="53" t="s">
        <v>52</v>
      </c>
      <c r="V8" s="53" t="s">
        <v>36</v>
      </c>
      <c r="Z8" s="53" t="s">
        <v>48</v>
      </c>
      <c r="AD8" s="53" t="s">
        <v>53</v>
      </c>
      <c r="AH8" s="53" t="s">
        <v>50</v>
      </c>
      <c r="AJ8" s="53" t="s">
        <v>54</v>
      </c>
      <c r="BJ8" s="52">
        <v>10</v>
      </c>
      <c r="BO8" s="53" t="s">
        <v>55</v>
      </c>
      <c r="BT8" s="53" t="s">
        <v>16</v>
      </c>
    </row>
    <row r="9" ht="15.75" customHeight="1">
      <c r="A9" s="8"/>
      <c r="B9" s="8"/>
      <c r="C9" s="8"/>
      <c r="D9" s="8"/>
      <c r="E9" s="52">
        <v>10</v>
      </c>
      <c r="F9" s="53" t="s">
        <v>43</v>
      </c>
      <c r="G9" s="53" t="s">
        <v>35</v>
      </c>
      <c r="H9" s="8"/>
      <c r="I9" s="8"/>
      <c r="J9" s="52">
        <v>12</v>
      </c>
      <c r="K9" s="8"/>
      <c r="L9" s="8"/>
      <c r="M9" s="8"/>
      <c r="N9" s="8"/>
      <c r="O9" s="53" t="s">
        <v>45</v>
      </c>
      <c r="S9" s="53" t="s">
        <v>52</v>
      </c>
      <c r="V9" s="53" t="s">
        <v>36</v>
      </c>
      <c r="Z9" s="53" t="s">
        <v>48</v>
      </c>
      <c r="AD9" s="53" t="s">
        <v>53</v>
      </c>
      <c r="AH9" s="53" t="s">
        <v>50</v>
      </c>
      <c r="AJ9" s="53" t="s">
        <v>54</v>
      </c>
      <c r="BJ9" s="52">
        <v>10</v>
      </c>
      <c r="BO9" s="53" t="s">
        <v>56</v>
      </c>
      <c r="BT9" s="53" t="s">
        <v>17</v>
      </c>
    </row>
    <row r="10" ht="15.75" customHeight="1">
      <c r="A10" s="8"/>
      <c r="B10" s="8"/>
      <c r="C10" s="8"/>
      <c r="D10" s="8"/>
      <c r="E10" s="52">
        <v>10</v>
      </c>
      <c r="F10" s="53" t="s">
        <v>43</v>
      </c>
      <c r="G10" s="53" t="s">
        <v>35</v>
      </c>
      <c r="H10" s="8"/>
      <c r="I10" s="8"/>
      <c r="J10" s="52">
        <v>12</v>
      </c>
      <c r="K10" s="8"/>
      <c r="L10" s="8"/>
      <c r="M10" s="8"/>
      <c r="N10" s="8"/>
      <c r="O10" s="53" t="s">
        <v>45</v>
      </c>
      <c r="S10" s="53" t="s">
        <v>52</v>
      </c>
      <c r="V10" s="53" t="s">
        <v>36</v>
      </c>
      <c r="Z10" s="53" t="s">
        <v>48</v>
      </c>
      <c r="AD10" s="53" t="s">
        <v>53</v>
      </c>
      <c r="AH10" s="53" t="s">
        <v>50</v>
      </c>
      <c r="AJ10" s="53" t="s">
        <v>54</v>
      </c>
      <c r="BJ10" s="52">
        <v>10</v>
      </c>
      <c r="BO10" s="53" t="s">
        <v>27</v>
      </c>
      <c r="BT10" s="53" t="s">
        <v>17</v>
      </c>
    </row>
    <row r="11" ht="15.75" customHeight="1">
      <c r="A11" s="8"/>
      <c r="B11" s="8"/>
      <c r="C11" s="8"/>
      <c r="D11" s="8"/>
      <c r="E11" s="54">
        <v>1000</v>
      </c>
      <c r="F11" s="53" t="s">
        <v>43</v>
      </c>
      <c r="G11" s="53" t="s">
        <v>44</v>
      </c>
      <c r="H11" s="8"/>
      <c r="I11" s="8"/>
      <c r="J11" s="52">
        <v>1</v>
      </c>
      <c r="K11" s="8"/>
      <c r="L11" s="8"/>
      <c r="M11" s="8"/>
      <c r="N11" s="8"/>
      <c r="O11" s="53" t="s">
        <v>45</v>
      </c>
      <c r="S11" s="53" t="s">
        <v>46</v>
      </c>
      <c r="V11" s="53" t="s">
        <v>47</v>
      </c>
      <c r="Z11" s="53" t="s">
        <v>48</v>
      </c>
      <c r="AD11" s="53" t="s">
        <v>49</v>
      </c>
      <c r="AH11" s="53" t="s">
        <v>57</v>
      </c>
      <c r="AJ11" s="53" t="s">
        <v>58</v>
      </c>
      <c r="BJ11" s="54">
        <v>1000</v>
      </c>
      <c r="BO11" s="53" t="s">
        <v>59</v>
      </c>
      <c r="BT11" s="53" t="s">
        <v>23</v>
      </c>
    </row>
    <row r="12" ht="15.75" customHeight="1">
      <c r="A12" s="8"/>
      <c r="B12" s="8"/>
      <c r="C12" s="8"/>
      <c r="D12" s="8"/>
      <c r="E12" s="52">
        <v>100</v>
      </c>
      <c r="F12" s="53" t="s">
        <v>43</v>
      </c>
      <c r="G12" s="53" t="s">
        <v>44</v>
      </c>
      <c r="H12" s="8"/>
      <c r="I12" s="8"/>
      <c r="J12" s="52">
        <v>1</v>
      </c>
      <c r="K12" s="8"/>
      <c r="L12" s="8"/>
      <c r="M12" s="8"/>
      <c r="N12" s="8"/>
      <c r="O12" s="53" t="s">
        <v>45</v>
      </c>
      <c r="S12" s="53" t="s">
        <v>46</v>
      </c>
      <c r="V12" s="53" t="s">
        <v>47</v>
      </c>
      <c r="Z12" s="53" t="s">
        <v>48</v>
      </c>
      <c r="AD12" s="53" t="s">
        <v>49</v>
      </c>
      <c r="AH12" s="53" t="s">
        <v>57</v>
      </c>
      <c r="AJ12" s="53" t="s">
        <v>58</v>
      </c>
      <c r="BJ12" s="52">
        <v>100</v>
      </c>
      <c r="BO12" s="53" t="s">
        <v>56</v>
      </c>
      <c r="BT12" s="53" t="s">
        <v>23</v>
      </c>
    </row>
    <row r="13" ht="15.75" customHeight="1">
      <c r="A13" s="8"/>
      <c r="B13" s="8"/>
      <c r="C13" s="8"/>
      <c r="D13" s="8"/>
      <c r="E13" s="52">
        <v>900</v>
      </c>
      <c r="F13" s="53" t="s">
        <v>43</v>
      </c>
      <c r="G13" s="53" t="s">
        <v>44</v>
      </c>
      <c r="H13" s="8"/>
      <c r="I13" s="8"/>
      <c r="J13" s="52">
        <v>1</v>
      </c>
      <c r="K13" s="8"/>
      <c r="L13" s="8"/>
      <c r="M13" s="8"/>
      <c r="N13" s="8"/>
      <c r="O13" s="53" t="s">
        <v>45</v>
      </c>
      <c r="S13" s="53" t="s">
        <v>46</v>
      </c>
      <c r="V13" s="53" t="s">
        <v>47</v>
      </c>
      <c r="Z13" s="53" t="s">
        <v>48</v>
      </c>
      <c r="AD13" s="53" t="s">
        <v>49</v>
      </c>
      <c r="AH13" s="53" t="s">
        <v>50</v>
      </c>
      <c r="AJ13" s="53" t="s">
        <v>58</v>
      </c>
      <c r="BJ13" s="52">
        <v>900</v>
      </c>
      <c r="BO13" s="53" t="s">
        <v>59</v>
      </c>
      <c r="BT13" s="53" t="s">
        <v>23</v>
      </c>
    </row>
    <row r="14" ht="15.75" customHeight="1">
      <c r="A14" s="8"/>
      <c r="B14" s="8"/>
      <c r="C14" s="8"/>
      <c r="D14" s="8"/>
      <c r="E14" s="55"/>
      <c r="F14" s="55"/>
      <c r="G14" s="55"/>
      <c r="H14" s="8"/>
      <c r="I14" s="8"/>
      <c r="J14" s="55"/>
      <c r="K14" s="8"/>
      <c r="L14" s="8"/>
      <c r="M14" s="8"/>
      <c r="N14" s="8"/>
      <c r="O14" s="55"/>
      <c r="S14" s="55"/>
      <c r="V14" s="55"/>
      <c r="Z14" s="55"/>
      <c r="AD14" s="55"/>
      <c r="AH14" s="55"/>
      <c r="AJ14" s="55"/>
      <c r="BJ14" s="55"/>
      <c r="BO14" s="55"/>
      <c r="BT14" s="5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55"/>
      <c r="S15" s="55"/>
      <c r="Z15" s="55"/>
      <c r="AD15" s="55"/>
      <c r="BT15" s="5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D16" s="5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3" t="s">
        <v>23</v>
      </c>
      <c r="D6" s="52">
        <v>-100</v>
      </c>
      <c r="E6" s="53" t="s">
        <v>25</v>
      </c>
      <c r="F6" s="53" t="s">
        <v>62</v>
      </c>
      <c r="G6" s="52">
        <v>1</v>
      </c>
      <c r="H6" s="53" t="s">
        <v>63</v>
      </c>
      <c r="I6" s="8"/>
      <c r="J6" s="8"/>
      <c r="K6" s="8"/>
      <c r="L6" s="8"/>
      <c r="M6" s="8"/>
      <c r="N6" s="8"/>
      <c r="O6" s="53" t="s">
        <v>47</v>
      </c>
      <c r="R6" s="53" t="s">
        <v>64</v>
      </c>
      <c r="S6" s="53" t="s">
        <v>65</v>
      </c>
      <c r="T6" s="53" t="s">
        <v>44</v>
      </c>
      <c r="U6" s="53" t="s">
        <v>66</v>
      </c>
      <c r="V6" s="53" t="s">
        <v>49</v>
      </c>
      <c r="W6" s="53" t="s">
        <v>48</v>
      </c>
      <c r="X6" s="52">
        <v>1</v>
      </c>
      <c r="Y6" s="52">
        <v>1</v>
      </c>
      <c r="AN6" s="53" t="s">
        <v>24</v>
      </c>
      <c r="AP6" s="53" t="s">
        <v>67</v>
      </c>
      <c r="AQ6" s="53" t="s">
        <v>23</v>
      </c>
      <c r="BE6" s="53" t="s">
        <v>44</v>
      </c>
      <c r="BU6" s="53" t="s">
        <v>44</v>
      </c>
    </row>
    <row r="7" ht="15.75" customHeight="1">
      <c r="A7" s="8"/>
      <c r="B7" s="8"/>
      <c r="C7" s="53" t="s">
        <v>16</v>
      </c>
      <c r="D7" s="52">
        <v>10</v>
      </c>
      <c r="E7" s="53" t="s">
        <v>25</v>
      </c>
      <c r="F7" s="53" t="s">
        <v>62</v>
      </c>
      <c r="G7" s="52">
        <v>1</v>
      </c>
      <c r="H7" s="53" t="s">
        <v>63</v>
      </c>
      <c r="I7" s="8"/>
      <c r="J7" s="8"/>
      <c r="K7" s="8"/>
      <c r="L7" s="8"/>
      <c r="M7" s="8"/>
      <c r="N7" s="8"/>
      <c r="O7" s="53" t="s">
        <v>36</v>
      </c>
      <c r="R7" s="53" t="s">
        <v>64</v>
      </c>
      <c r="S7" s="53" t="s">
        <v>65</v>
      </c>
      <c r="T7" s="53" t="s">
        <v>35</v>
      </c>
      <c r="U7" s="53" t="s">
        <v>66</v>
      </c>
      <c r="V7" s="53" t="s">
        <v>53</v>
      </c>
      <c r="W7" s="53" t="s">
        <v>48</v>
      </c>
      <c r="X7" s="52">
        <v>100</v>
      </c>
      <c r="Y7" s="52">
        <v>1</v>
      </c>
      <c r="AN7" s="53" t="s">
        <v>26</v>
      </c>
      <c r="AP7" s="53" t="s">
        <v>63</v>
      </c>
      <c r="AQ7" s="53" t="s">
        <v>23</v>
      </c>
      <c r="BE7" s="53" t="s">
        <v>68</v>
      </c>
      <c r="BU7" s="53" t="s">
        <v>69</v>
      </c>
    </row>
    <row r="8" ht="15.75" customHeight="1">
      <c r="A8" s="8"/>
      <c r="B8" s="8"/>
      <c r="C8" s="53" t="s">
        <v>17</v>
      </c>
      <c r="D8" s="52">
        <v>-10</v>
      </c>
      <c r="E8" s="53" t="s">
        <v>25</v>
      </c>
      <c r="F8" s="53" t="s">
        <v>62</v>
      </c>
      <c r="G8" s="52">
        <v>1</v>
      </c>
      <c r="H8" s="53" t="s">
        <v>67</v>
      </c>
      <c r="I8" s="8"/>
      <c r="J8" s="8"/>
      <c r="K8" s="8"/>
      <c r="L8" s="8"/>
      <c r="M8" s="8"/>
      <c r="N8" s="8"/>
      <c r="O8" s="53" t="s">
        <v>36</v>
      </c>
      <c r="R8" s="53" t="s">
        <v>64</v>
      </c>
      <c r="S8" s="53" t="s">
        <v>65</v>
      </c>
      <c r="T8" s="53" t="s">
        <v>35</v>
      </c>
      <c r="U8" s="53" t="s">
        <v>66</v>
      </c>
      <c r="V8" s="53" t="s">
        <v>53</v>
      </c>
      <c r="W8" s="53" t="s">
        <v>48</v>
      </c>
      <c r="X8" s="52">
        <v>100</v>
      </c>
      <c r="Y8" s="52">
        <v>1</v>
      </c>
      <c r="AN8" s="53" t="s">
        <v>27</v>
      </c>
      <c r="AP8" s="53" t="s">
        <v>63</v>
      </c>
      <c r="AQ8" s="53" t="s">
        <v>23</v>
      </c>
      <c r="BE8" s="53" t="s">
        <v>70</v>
      </c>
      <c r="BU8" s="53" t="s">
        <v>71</v>
      </c>
    </row>
    <row r="9" ht="15.75" customHeight="1">
      <c r="A9" s="8"/>
      <c r="B9" s="8"/>
      <c r="C9" s="53" t="s">
        <v>16</v>
      </c>
      <c r="D9" s="52">
        <v>-10</v>
      </c>
      <c r="E9" s="53" t="s">
        <v>25</v>
      </c>
      <c r="F9" s="53" t="s">
        <v>62</v>
      </c>
      <c r="G9" s="52">
        <v>0</v>
      </c>
      <c r="H9" s="53" t="s">
        <v>63</v>
      </c>
      <c r="I9" s="8"/>
      <c r="J9" s="8"/>
      <c r="K9" s="8"/>
      <c r="L9" s="8"/>
      <c r="M9" s="8"/>
      <c r="N9" s="8"/>
      <c r="O9" s="53" t="s">
        <v>36</v>
      </c>
      <c r="R9" s="53" t="s">
        <v>64</v>
      </c>
      <c r="S9" s="53" t="s">
        <v>65</v>
      </c>
      <c r="T9" s="53" t="s">
        <v>35</v>
      </c>
      <c r="U9" s="53" t="s">
        <v>66</v>
      </c>
      <c r="V9" s="53" t="s">
        <v>53</v>
      </c>
      <c r="W9" s="53" t="s">
        <v>48</v>
      </c>
      <c r="X9" s="52">
        <v>100</v>
      </c>
      <c r="Y9" s="52">
        <v>1</v>
      </c>
      <c r="AN9" s="53" t="s">
        <v>55</v>
      </c>
      <c r="AP9" s="53" t="s">
        <v>63</v>
      </c>
      <c r="AQ9" s="53" t="s">
        <v>23</v>
      </c>
      <c r="BE9" s="53" t="s">
        <v>68</v>
      </c>
      <c r="BU9" s="53" t="s">
        <v>69</v>
      </c>
    </row>
    <row r="10" ht="15.75" customHeight="1">
      <c r="A10" s="8"/>
      <c r="B10" s="8"/>
      <c r="C10" s="53" t="s">
        <v>17</v>
      </c>
      <c r="D10" s="52">
        <v>10</v>
      </c>
      <c r="E10" s="53" t="s">
        <v>25</v>
      </c>
      <c r="F10" s="53" t="s">
        <v>62</v>
      </c>
      <c r="G10" s="52">
        <v>0</v>
      </c>
      <c r="H10" s="53" t="s">
        <v>67</v>
      </c>
      <c r="I10" s="8"/>
      <c r="J10" s="8"/>
      <c r="K10" s="8"/>
      <c r="L10" s="8"/>
      <c r="M10" s="8"/>
      <c r="N10" s="8"/>
      <c r="O10" s="53" t="s">
        <v>36</v>
      </c>
      <c r="R10" s="53" t="s">
        <v>64</v>
      </c>
      <c r="S10" s="53" t="s">
        <v>65</v>
      </c>
      <c r="T10" s="53" t="s">
        <v>35</v>
      </c>
      <c r="U10" s="53" t="s">
        <v>66</v>
      </c>
      <c r="V10" s="53" t="s">
        <v>53</v>
      </c>
      <c r="W10" s="53" t="s">
        <v>48</v>
      </c>
      <c r="X10" s="52">
        <v>100</v>
      </c>
      <c r="Y10" s="52">
        <v>1</v>
      </c>
      <c r="AN10" s="53" t="s">
        <v>56</v>
      </c>
      <c r="AP10" s="53" t="s">
        <v>63</v>
      </c>
      <c r="AQ10" s="53" t="s">
        <v>23</v>
      </c>
      <c r="BE10" s="53" t="s">
        <v>70</v>
      </c>
      <c r="BU10" s="53" t="s">
        <v>71</v>
      </c>
    </row>
    <row r="11" ht="15.75" customHeight="1">
      <c r="A11" s="8"/>
      <c r="B11" s="8"/>
      <c r="C11" s="53" t="s">
        <v>23</v>
      </c>
      <c r="D11" s="56">
        <v>1000</v>
      </c>
      <c r="E11" s="53" t="s">
        <v>25</v>
      </c>
      <c r="F11" s="53" t="s">
        <v>62</v>
      </c>
      <c r="G11" s="52">
        <v>110</v>
      </c>
      <c r="H11" s="53" t="s">
        <v>63</v>
      </c>
      <c r="I11" s="8"/>
      <c r="J11" s="8"/>
      <c r="K11" s="8"/>
      <c r="L11" s="8"/>
      <c r="M11" s="8"/>
      <c r="N11" s="8"/>
      <c r="O11" s="53" t="s">
        <v>47</v>
      </c>
      <c r="R11" s="53" t="s">
        <v>64</v>
      </c>
      <c r="S11" s="53" t="s">
        <v>65</v>
      </c>
      <c r="T11" s="53" t="s">
        <v>44</v>
      </c>
      <c r="U11" s="53" t="s">
        <v>66</v>
      </c>
      <c r="V11" s="53" t="s">
        <v>49</v>
      </c>
      <c r="W11" s="53" t="s">
        <v>48</v>
      </c>
      <c r="X11" s="52">
        <v>1</v>
      </c>
      <c r="Y11" s="52">
        <v>1</v>
      </c>
      <c r="AN11" s="53" t="s">
        <v>59</v>
      </c>
      <c r="AP11" s="53" t="s">
        <v>63</v>
      </c>
      <c r="AQ11" s="53" t="s">
        <v>23</v>
      </c>
      <c r="BE11" s="53" t="s">
        <v>44</v>
      </c>
      <c r="BU11" s="53" t="s">
        <v>44</v>
      </c>
    </row>
    <row r="12" ht="15.75" customHeight="1">
      <c r="A12" s="8"/>
      <c r="B12" s="8"/>
      <c r="C12" s="53" t="s">
        <v>23</v>
      </c>
      <c r="D12" s="52">
        <v>100</v>
      </c>
      <c r="E12" s="53" t="s">
        <v>25</v>
      </c>
      <c r="F12" s="53" t="s">
        <v>62</v>
      </c>
      <c r="G12" s="52">
        <v>90</v>
      </c>
      <c r="H12" s="53" t="s">
        <v>63</v>
      </c>
      <c r="I12" s="8"/>
      <c r="J12" s="8"/>
      <c r="K12" s="8"/>
      <c r="L12" s="8"/>
      <c r="M12" s="8"/>
      <c r="N12" s="8"/>
      <c r="O12" s="53" t="s">
        <v>47</v>
      </c>
      <c r="R12" s="53" t="s">
        <v>64</v>
      </c>
      <c r="S12" s="53" t="s">
        <v>65</v>
      </c>
      <c r="T12" s="53" t="s">
        <v>44</v>
      </c>
      <c r="U12" s="53" t="s">
        <v>66</v>
      </c>
      <c r="V12" s="53" t="s">
        <v>49</v>
      </c>
      <c r="W12" s="53" t="s">
        <v>48</v>
      </c>
      <c r="X12" s="52">
        <v>1</v>
      </c>
      <c r="Y12" s="52">
        <v>1</v>
      </c>
      <c r="AN12" s="53" t="s">
        <v>56</v>
      </c>
      <c r="AP12" s="53" t="s">
        <v>67</v>
      </c>
      <c r="AQ12" s="53" t="s">
        <v>23</v>
      </c>
      <c r="BE12" s="53" t="s">
        <v>44</v>
      </c>
      <c r="BU12" s="53" t="s">
        <v>44</v>
      </c>
    </row>
    <row r="13" ht="15.75" customHeight="1">
      <c r="A13" s="8"/>
      <c r="B13" s="8"/>
      <c r="C13" s="53" t="s">
        <v>23</v>
      </c>
      <c r="D13" s="52">
        <v>900</v>
      </c>
      <c r="E13" s="53" t="s">
        <v>25</v>
      </c>
      <c r="F13" s="53" t="s">
        <v>62</v>
      </c>
      <c r="G13" s="52">
        <v>90</v>
      </c>
      <c r="H13" s="53" t="s">
        <v>63</v>
      </c>
      <c r="I13" s="8"/>
      <c r="J13" s="8"/>
      <c r="K13" s="8"/>
      <c r="L13" s="8"/>
      <c r="M13" s="8"/>
      <c r="N13" s="8"/>
      <c r="O13" s="53" t="s">
        <v>47</v>
      </c>
      <c r="R13" s="53" t="s">
        <v>64</v>
      </c>
      <c r="S13" s="53" t="s">
        <v>65</v>
      </c>
      <c r="T13" s="53" t="s">
        <v>44</v>
      </c>
      <c r="U13" s="53" t="s">
        <v>66</v>
      </c>
      <c r="V13" s="53" t="s">
        <v>49</v>
      </c>
      <c r="W13" s="53" t="s">
        <v>48</v>
      </c>
      <c r="X13" s="52">
        <v>1</v>
      </c>
      <c r="Y13" s="52">
        <v>1</v>
      </c>
      <c r="AN13" s="53" t="s">
        <v>59</v>
      </c>
      <c r="AP13" s="53" t="s">
        <v>63</v>
      </c>
      <c r="AQ13" s="53" t="s">
        <v>23</v>
      </c>
      <c r="BE13" s="53" t="s">
        <v>44</v>
      </c>
      <c r="BU13" s="53" t="s">
        <v>44</v>
      </c>
    </row>
    <row r="14" ht="15.75" customHeight="1">
      <c r="A14" s="8"/>
      <c r="B14" s="8"/>
      <c r="C14" s="55"/>
      <c r="D14" s="55"/>
      <c r="E14" s="55"/>
      <c r="F14" s="55"/>
      <c r="G14" s="55"/>
      <c r="H14" s="55"/>
      <c r="I14" s="8"/>
      <c r="J14" s="8"/>
      <c r="K14" s="8"/>
      <c r="L14" s="8"/>
      <c r="M14" s="8"/>
      <c r="N14" s="8"/>
      <c r="O14" s="55"/>
      <c r="R14" s="55"/>
      <c r="S14" s="55"/>
      <c r="T14" s="55"/>
      <c r="U14" s="55"/>
      <c r="V14" s="55"/>
      <c r="W14" s="55"/>
      <c r="X14" s="55"/>
      <c r="Y14" s="55"/>
      <c r="AN14" s="55"/>
      <c r="AP14" s="55"/>
      <c r="AQ14" s="55"/>
      <c r="BE14" s="55"/>
      <c r="BU14" s="55"/>
    </row>
    <row r="15" ht="15.75" customHeight="1">
      <c r="A15" s="8"/>
      <c r="B15" s="8"/>
      <c r="C15" s="8"/>
      <c r="D15" s="8"/>
      <c r="E15" s="8"/>
      <c r="F15" s="55"/>
      <c r="G15" s="55"/>
      <c r="H15" s="55"/>
      <c r="I15" s="8"/>
      <c r="J15" s="8"/>
      <c r="K15" s="8"/>
      <c r="L15" s="8"/>
      <c r="M15" s="8"/>
      <c r="N15" s="8"/>
      <c r="O15" s="8"/>
      <c r="BE15" s="5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