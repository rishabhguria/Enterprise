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UnExpiredUnSettledGrid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<sst xmlns="http://schemas.openxmlformats.org/spreadsheetml/2006/main" count="279" uniqueCount="80">
  <si>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</si>
  <si>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</si>
  <si>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</si>
  <si>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</si>
  <si>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</si>
  <si>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</si>
  <si>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</si>
  <si>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</si>
  <si>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</si>
  <si>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</si>
  <si>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</si>
  <si>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</si>
  <si>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</si>
  <si>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</si>
  <si>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</si>
  <si>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</si>
  <si>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</si>
  <si>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</si>
  <si>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</si>
  <si>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Buy to Open</t>
  </si>
  <si>
    <t>Allocation1</t>
  </si>
  <si>
    <t>Market</t>
  </si>
  <si>
    <t>RIG</t>
  </si>
  <si>
    <t>Buy</t>
  </si>
  <si>
    <t>Allocation2</t>
  </si>
  <si>
    <t>DailyValuation</t>
  </si>
  <si>
    <t>GetMarkPriceData</t>
  </si>
  <si>
    <t>UpdateMarkPrice</t>
  </si>
  <si>
    <t>Closing</t>
  </si>
  <si>
    <t>GetDataClosing</t>
  </si>
  <si>
    <t>Current</t>
  </si>
  <si>
    <t>AutoExercise</t>
  </si>
  <si>
    <t>EquityOption</t>
  </si>
  <si>
    <t>Buy To Open</t>
  </si>
  <si>
    <t>VerifyUnExpiredUnSettledGrid</t>
  </si>
  <si>
    <t>RIG US 08/21/10 C75 Equity</t>
  </si>
  <si>
    <t>MS</t>
  </si>
  <si>
    <t>Auto</t>
  </si>
  <si>
    <t>Open</t>
  </si>
  <si>
    <t>USD</t>
  </si>
  <si>
    <t>Undefined</t>
  </si>
  <si>
    <t>OPTS</t>
  </si>
  <si>
    <t>M</t>
  </si>
  <si>
    <t>VerifyExpiredSettledGrid</t>
  </si>
  <si>
    <t>Exercise</t>
  </si>
  <si>
    <t>Allocation</t>
  </si>
  <si>
    <t>GetDataAllocation</t>
  </si>
  <si>
    <t>Historical</t>
  </si>
  <si>
    <t>01/01/1800</t>
  </si>
  <si>
    <t>CheckAllocatedGroups</t>
  </si>
  <si>
    <t>Manual</t>
  </si>
  <si>
    <t>Closed</t>
  </si>
  <si>
    <t>RIG AUG 2010 75 CALL</t>
  </si>
  <si>
    <t>BrokerNotes</t>
  </si>
  <si>
    <t>IsExercised</t>
  </si>
  <si>
    <t>DefaultNotes</t>
  </si>
  <si>
    <t>InternalOrder</t>
  </si>
  <si>
    <t>C</t>
  </si>
  <si>
    <t>Strategy Unallocated</t>
  </si>
  <si>
    <t>GCCAP1</t>
  </si>
  <si>
    <t>BuytoOpen</t>
  </si>
  <si>
    <t>US</t>
  </si>
  <si>
    <t>jpearce</t>
  </si>
  <si>
    <t>NASDAQ</t>
  </si>
  <si>
    <t>NONE</t>
  </si>
  <si>
    <t>Equity</t>
  </si>
  <si>
    <t>RIG US EQUITY</t>
  </si>
  <si>
    <t>TRANSOCEAN INC</t>
  </si>
  <si>
    <t>NYSE</t>
  </si>
  <si>
    <t>None</t>
  </si>
  <si>
    <t>Exercise/Assign</t>
  </si>
  <si>
    <t>-Select-</t>
  </si>
  <si>
    <t>Sell to Close</t>
  </si>
  <si>
    <t>PortfolioManagement</t>
  </si>
  <si>
    <t>CheckPortfolioManagement</t>
  </si>
  <si>
    <t>NewMF1</t>
  </si>
  <si>
    <t>Long</t>
  </si>
  <si>
    <t>KYG900781090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</si>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</sst>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 h:mm:ss am/pm"/>
    <numFmt numFmtId="166" formatCode="m/d/yyyy h:mm"/>
    <numFmt numFmtId="167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color rgb="FF333333"/>
    </font>
    <font>
      <u/>
      <color rgb="FFD9D9D9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5" fillId="0" fontId="5" numFmtId="1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6" fontId="15" numFmtId="0" xfId="0" applyAlignment="1" applyFill="1" applyFont="1">
      <alignment readingOrder="0" shrinkToFit="0" wrapText="1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readingOrder="0" vertical="bottom"/>
    </xf>
    <xf borderId="0" fillId="0" fontId="14" numFmtId="0" xfId="0" applyAlignment="1" applyFont="1">
      <alignment horizontal="right" vertical="bottom"/>
    </xf>
    <xf borderId="0" fillId="4" fontId="16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3" numFmtId="4" xfId="0" applyAlignment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6" fontId="3" numFmtId="166" xfId="0" applyAlignment="1" applyFont="1" applyNumberFormat="1">
      <alignment vertical="bottom"/>
    </xf>
    <xf borderId="0" fillId="6" fontId="3" numFmtId="165" xfId="0" applyAlignment="1" applyFont="1" applyNumberFormat="1">
      <alignment vertical="bottom"/>
    </xf>
    <xf borderId="0" fillId="6" fontId="3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6" fontId="3" numFmtId="167" xfId="0" applyAlignment="1" applyFont="1" applyNumberFormat="1">
      <alignment vertical="bottom"/>
    </xf>
    <xf borderId="0" fillId="6" fontId="5" numFmtId="0" xfId="0" applyAlignment="1" applyFont="1">
      <alignment shrinkToFit="0" wrapText="0"/>
    </xf>
    <xf borderId="0" fillId="6" fontId="2" numFmtId="0" xfId="0" applyFont="1"/>
    <xf borderId="0" fillId="0" fontId="17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5" fillId="0" fontId="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7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0" fillId="0" fontId="14" numFmtId="3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44586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16</v>
      </c>
      <c r="C6" s="36" t="s">
        <v>19</v>
      </c>
      <c r="D6" s="37">
        <v>100.0</v>
      </c>
      <c r="E6" s="37">
        <v>100.0</v>
      </c>
      <c r="F6" s="35" t="s">
        <v>20</v>
      </c>
      <c r="G6" s="38"/>
      <c r="H6" s="38"/>
      <c r="I6" s="39" t="s">
        <v>21</v>
      </c>
      <c r="J6" s="37">
        <v>10.0</v>
      </c>
      <c r="K6" s="38"/>
      <c r="L6" s="38"/>
      <c r="M6" s="38"/>
      <c r="N6" s="40">
        <f>today()-10</f>
        <v>44577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13" t="s">
        <v>22</v>
      </c>
      <c r="C7" s="13" t="s">
        <v>23</v>
      </c>
      <c r="D7" s="37">
        <v>100.0</v>
      </c>
      <c r="E7" s="37">
        <v>100.0</v>
      </c>
      <c r="F7" s="41" t="s">
        <v>24</v>
      </c>
      <c r="G7" s="8"/>
      <c r="H7" s="8"/>
      <c r="I7" s="39" t="s">
        <v>21</v>
      </c>
      <c r="J7" s="37">
        <v>10.0</v>
      </c>
      <c r="K7" s="8"/>
      <c r="L7" s="8"/>
      <c r="M7" s="8"/>
      <c r="N7" s="42">
        <f>TODAY()-3</f>
        <v>44584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>TODAY()-1</f>
        <v>44586</v>
      </c>
      <c r="C6" s="43">
        <f>TODAY()</f>
        <v>44587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44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 t="s">
        <v>20</v>
      </c>
      <c r="C6" s="8"/>
      <c r="D6" s="8"/>
      <c r="E6" s="13" t="s">
        <v>32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W6" s="9">
        <v>10000.0</v>
      </c>
      <c r="BE6" s="9" t="s">
        <v>33</v>
      </c>
      <c r="BK6" s="9">
        <v>75.0</v>
      </c>
      <c r="BL6" s="35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Underlying Price")</f>
        <v>% of Underlying Price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6" t="s">
        <v>20</v>
      </c>
      <c r="C6" s="47"/>
      <c r="D6" s="48"/>
      <c r="E6" s="49" t="s">
        <v>32</v>
      </c>
      <c r="F6" s="47"/>
      <c r="G6" s="47"/>
      <c r="H6" s="47"/>
      <c r="I6" s="50">
        <v>10.0</v>
      </c>
      <c r="J6" s="49" t="s">
        <v>35</v>
      </c>
      <c r="K6" s="49" t="s">
        <v>36</v>
      </c>
      <c r="L6" s="47" t="s">
        <v>37</v>
      </c>
      <c r="M6" s="50">
        <v>0.0</v>
      </c>
      <c r="N6" s="47"/>
      <c r="O6" s="47"/>
      <c r="P6" s="51">
        <v>0.0</v>
      </c>
      <c r="Q6" s="47"/>
      <c r="R6" s="51">
        <v>0.0</v>
      </c>
      <c r="S6" s="51">
        <v>0.0</v>
      </c>
      <c r="T6" s="38"/>
      <c r="U6" s="38" t="s">
        <v>38</v>
      </c>
      <c r="V6" s="52">
        <v>0.0</v>
      </c>
      <c r="W6" s="52">
        <v>0.0</v>
      </c>
      <c r="X6" s="38"/>
      <c r="Y6" s="38"/>
      <c r="Z6" s="38"/>
      <c r="AA6" s="38"/>
      <c r="AB6" s="38"/>
      <c r="AC6" s="38"/>
      <c r="AD6" s="38"/>
      <c r="AE6" s="38" t="s">
        <v>39</v>
      </c>
      <c r="AF6" s="38"/>
      <c r="AG6" s="53" t="s">
        <v>40</v>
      </c>
      <c r="AH6" s="53" t="s">
        <v>40</v>
      </c>
      <c r="AI6" s="53" t="s">
        <v>40</v>
      </c>
      <c r="AJ6" s="53" t="s">
        <v>40</v>
      </c>
      <c r="AK6" s="53" t="s">
        <v>40</v>
      </c>
      <c r="AL6" s="53" t="s">
        <v>40</v>
      </c>
      <c r="AM6" s="53" t="s">
        <v>40</v>
      </c>
      <c r="AN6" s="54">
        <v>0.0</v>
      </c>
      <c r="AO6" s="38"/>
      <c r="AP6" s="38" t="s">
        <v>41</v>
      </c>
      <c r="AQ6" s="55">
        <v>100.0</v>
      </c>
      <c r="AR6" s="38"/>
      <c r="AS6" s="38"/>
      <c r="AT6" s="38" t="s">
        <v>42</v>
      </c>
      <c r="AU6" s="54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54">
        <v>0.0</v>
      </c>
      <c r="BL6" s="38"/>
      <c r="BM6" s="38"/>
      <c r="BN6" s="38"/>
      <c r="BO6" s="54">
        <v>100000.0</v>
      </c>
      <c r="BP6" s="38"/>
      <c r="BQ6" s="38"/>
      <c r="BR6" s="38"/>
      <c r="BS6" s="38"/>
      <c r="BT6" s="38"/>
      <c r="BU6" s="38"/>
      <c r="BV6" s="53" t="s">
        <v>19</v>
      </c>
      <c r="BW6" s="38"/>
      <c r="BX6" s="38"/>
      <c r="BY6" s="38"/>
      <c r="BZ6" s="38"/>
      <c r="CA6" s="38"/>
      <c r="CB6" s="38"/>
      <c r="CC6" s="38"/>
      <c r="CD6" s="38"/>
      <c r="CE6" s="38"/>
      <c r="CF6" s="53"/>
      <c r="CG6" s="52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54">
        <v>0.0</v>
      </c>
      <c r="DC6" s="38"/>
      <c r="DD6" s="54"/>
      <c r="DE6" s="38"/>
      <c r="DF6" s="38"/>
      <c r="DG6" s="53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3" t="s">
        <v>22</v>
      </c>
      <c r="EE6" s="38"/>
      <c r="EF6" s="38"/>
      <c r="EG6" s="38"/>
      <c r="EH6" s="38"/>
      <c r="EI6" s="38"/>
      <c r="EJ6" s="54">
        <v>10.0</v>
      </c>
      <c r="EK6" s="53"/>
      <c r="EL6" s="53"/>
      <c r="EM6" s="38"/>
      <c r="EN6" s="52"/>
      <c r="EO6" s="52"/>
      <c r="EP6" s="52"/>
      <c r="EQ6" s="56"/>
      <c r="ER6" s="47"/>
      <c r="ES6" s="49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EJ8" s="5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6" t="s">
        <v>20</v>
      </c>
      <c r="C6" s="58" t="s">
        <v>32</v>
      </c>
      <c r="D6" s="48"/>
      <c r="E6" s="49"/>
      <c r="F6" s="47"/>
      <c r="G6" s="58">
        <v>100.0</v>
      </c>
      <c r="H6" s="47"/>
      <c r="I6" s="50"/>
      <c r="J6" s="59" t="s">
        <v>44</v>
      </c>
      <c r="K6" s="49"/>
      <c r="L6" s="58"/>
      <c r="M6" s="50"/>
      <c r="N6" s="47"/>
      <c r="O6" s="47"/>
      <c r="P6" s="51"/>
      <c r="Q6" s="47"/>
      <c r="R6" s="51"/>
      <c r="S6" s="51"/>
      <c r="T6" s="38"/>
      <c r="U6" s="38"/>
      <c r="V6" s="60"/>
      <c r="W6" s="60"/>
      <c r="X6" s="38"/>
      <c r="Y6" s="38"/>
      <c r="Z6" s="39" t="s">
        <v>33</v>
      </c>
      <c r="AA6" s="38"/>
      <c r="AB6" s="53" t="s">
        <v>16</v>
      </c>
      <c r="AC6" s="38"/>
      <c r="AD6" s="38"/>
      <c r="AE6" s="38"/>
      <c r="AF6" s="38"/>
      <c r="AG6" s="53"/>
      <c r="AH6" s="53"/>
      <c r="AI6" s="53"/>
      <c r="AJ6" s="53"/>
      <c r="AK6" s="53"/>
      <c r="AL6" s="53"/>
      <c r="AM6" s="53"/>
      <c r="AN6" s="54"/>
      <c r="AO6" s="38"/>
      <c r="AP6" s="38"/>
      <c r="AQ6" s="54"/>
      <c r="AR6" s="38"/>
      <c r="AS6" s="38"/>
      <c r="AT6" s="38"/>
      <c r="AU6" s="54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54"/>
      <c r="BL6" s="38"/>
      <c r="BM6" s="38"/>
      <c r="BN6" s="38"/>
      <c r="BO6" s="54"/>
      <c r="BP6" s="38"/>
      <c r="BQ6" s="38"/>
      <c r="BR6" s="38"/>
      <c r="BS6" s="38"/>
      <c r="BT6" s="38"/>
      <c r="BU6" s="38"/>
      <c r="BV6" s="53"/>
      <c r="BW6" s="38"/>
      <c r="BX6" s="38"/>
      <c r="BY6" s="38"/>
      <c r="BZ6" s="38"/>
      <c r="CA6" s="38"/>
      <c r="CB6" s="38"/>
      <c r="CC6" s="38"/>
      <c r="CD6" s="38"/>
      <c r="CE6" s="38"/>
      <c r="CF6" s="53"/>
      <c r="CG6" s="52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54"/>
      <c r="DC6" s="38"/>
      <c r="DD6" s="54"/>
      <c r="DE6" s="38"/>
      <c r="DF6" s="38"/>
      <c r="DG6" s="53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3" t="s">
        <v>22</v>
      </c>
      <c r="EE6" s="38"/>
      <c r="EF6" s="38"/>
      <c r="EG6" s="38"/>
      <c r="EH6" s="38"/>
      <c r="EI6" s="38"/>
      <c r="EJ6" s="54">
        <v>10.0</v>
      </c>
      <c r="EK6" s="53"/>
      <c r="EL6" s="53"/>
      <c r="EM6" s="38"/>
      <c r="EN6" s="52">
        <v>0.0</v>
      </c>
      <c r="EO6" s="52">
        <v>20.0</v>
      </c>
      <c r="EP6" s="52">
        <v>20.0</v>
      </c>
      <c r="EQ6" s="56">
        <v>100000.0</v>
      </c>
      <c r="ER6" s="47"/>
      <c r="ES6" s="49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62" t="s">
        <v>48</v>
      </c>
      <c r="D6" s="63">
        <f>TODAY()</f>
        <v>44587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6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4"/>
      <c r="B6" s="58" t="s">
        <v>20</v>
      </c>
      <c r="C6" s="65"/>
      <c r="D6" s="66">
        <v>0.0</v>
      </c>
      <c r="E6" s="67">
        <v>100.0</v>
      </c>
      <c r="F6" s="58" t="s">
        <v>50</v>
      </c>
      <c r="G6" s="58" t="s">
        <v>32</v>
      </c>
      <c r="H6" s="67">
        <v>0.0</v>
      </c>
      <c r="I6" s="67">
        <v>0.0</v>
      </c>
      <c r="J6" s="67">
        <v>12.0</v>
      </c>
      <c r="K6" s="67">
        <v>10.0</v>
      </c>
      <c r="L6" s="67">
        <v>10.0</v>
      </c>
      <c r="M6" s="58" t="s">
        <v>35</v>
      </c>
      <c r="N6" s="47"/>
      <c r="O6" s="58" t="s">
        <v>36</v>
      </c>
      <c r="P6" s="47"/>
      <c r="Q6" s="67">
        <v>3.0</v>
      </c>
      <c r="R6" s="67">
        <v>0.0</v>
      </c>
      <c r="S6" s="58" t="s">
        <v>51</v>
      </c>
      <c r="T6" s="55">
        <v>0.0</v>
      </c>
      <c r="U6" s="55">
        <v>0.0</v>
      </c>
      <c r="V6" s="39" t="s">
        <v>52</v>
      </c>
      <c r="W6" s="55">
        <v>100.0</v>
      </c>
      <c r="X6" s="38"/>
      <c r="Y6" s="38"/>
      <c r="Z6" s="39" t="s">
        <v>39</v>
      </c>
      <c r="AA6" s="38"/>
      <c r="AB6" s="55">
        <v>1.0</v>
      </c>
      <c r="AC6" s="39" t="s">
        <v>53</v>
      </c>
      <c r="AD6" s="39" t="s">
        <v>41</v>
      </c>
      <c r="AE6" s="55">
        <v>100.0</v>
      </c>
      <c r="AF6" s="68"/>
      <c r="AG6" s="55"/>
      <c r="AH6" s="39" t="s">
        <v>42</v>
      </c>
      <c r="AI6" s="55">
        <v>1.0</v>
      </c>
      <c r="AJ6" s="39" t="s">
        <v>54</v>
      </c>
      <c r="AK6" s="39"/>
      <c r="AL6" s="38"/>
      <c r="AM6" s="39" t="s">
        <v>55</v>
      </c>
      <c r="AN6" s="69" t="b">
        <v>0</v>
      </c>
      <c r="AO6" s="38"/>
      <c r="AP6" s="69" t="b">
        <v>1</v>
      </c>
      <c r="AQ6" s="69" t="b">
        <v>0</v>
      </c>
      <c r="AR6" s="69" t="b">
        <v>1</v>
      </c>
      <c r="AS6" s="55">
        <v>0.0</v>
      </c>
      <c r="AT6" s="70">
        <v>100000.0</v>
      </c>
      <c r="AU6" s="70">
        <v>100000.0</v>
      </c>
      <c r="AV6" s="55"/>
      <c r="AW6" s="55">
        <v>0.0</v>
      </c>
      <c r="AX6" s="70">
        <v>0.0</v>
      </c>
      <c r="AY6" s="39" t="s">
        <v>21</v>
      </c>
      <c r="AZ6" s="55">
        <v>0.0</v>
      </c>
      <c r="BA6" s="55"/>
      <c r="BB6" s="39"/>
      <c r="BC6" s="55">
        <v>0.0</v>
      </c>
      <c r="BD6" s="39" t="s">
        <v>56</v>
      </c>
      <c r="BE6" s="70">
        <v>100000.0</v>
      </c>
      <c r="BF6" s="70">
        <v>100000.0</v>
      </c>
      <c r="BG6" s="55"/>
      <c r="BH6" s="38"/>
      <c r="BI6" s="39" t="s">
        <v>57</v>
      </c>
      <c r="BJ6" s="55">
        <v>100.0</v>
      </c>
      <c r="BK6" s="55">
        <v>0.0</v>
      </c>
      <c r="BL6" s="38"/>
      <c r="BM6" s="39" t="s">
        <v>39</v>
      </c>
      <c r="BN6" s="55"/>
      <c r="BO6" s="39" t="s">
        <v>19</v>
      </c>
      <c r="BP6" s="55">
        <v>0.0</v>
      </c>
      <c r="BQ6" s="55">
        <v>0.0</v>
      </c>
      <c r="BR6" s="55">
        <v>0.0</v>
      </c>
      <c r="BS6" s="39" t="s">
        <v>58</v>
      </c>
      <c r="BT6" s="39" t="s">
        <v>16</v>
      </c>
      <c r="BU6" s="55">
        <v>0.0</v>
      </c>
      <c r="BV6" s="55">
        <v>0.0</v>
      </c>
      <c r="BW6" s="70">
        <v>0.0</v>
      </c>
      <c r="BX6" s="55">
        <v>0.0</v>
      </c>
      <c r="BY6" s="38"/>
      <c r="BZ6" s="38"/>
      <c r="CA6" s="38"/>
      <c r="CB6" s="38"/>
      <c r="CC6" s="38"/>
      <c r="CD6" s="38"/>
      <c r="CE6" s="55"/>
      <c r="CF6" s="39" t="s">
        <v>59</v>
      </c>
      <c r="CG6" s="55">
        <v>0.0</v>
      </c>
      <c r="CH6" s="39" t="s">
        <v>17</v>
      </c>
      <c r="CI6" s="39" t="s">
        <v>60</v>
      </c>
      <c r="CJ6" s="55">
        <v>0.0</v>
      </c>
      <c r="CK6" s="39" t="s">
        <v>61</v>
      </c>
      <c r="CL6" s="55">
        <v>1.0</v>
      </c>
      <c r="CM6" s="39" t="s">
        <v>22</v>
      </c>
      <c r="CN6" s="39" t="s">
        <v>62</v>
      </c>
      <c r="CO6" s="39" t="s">
        <v>63</v>
      </c>
      <c r="CP6" s="39" t="s">
        <v>64</v>
      </c>
      <c r="CQ6" s="55"/>
      <c r="CR6" s="55"/>
      <c r="CS6" s="38"/>
      <c r="CT6" s="38"/>
      <c r="CU6" s="71"/>
      <c r="CV6" s="72"/>
      <c r="CW6" s="73"/>
      <c r="CX6" s="73"/>
      <c r="CY6" s="74"/>
      <c r="CZ6" s="73"/>
      <c r="DA6" s="74"/>
      <c r="DB6" s="73"/>
      <c r="DC6" s="75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</row>
    <row r="7" ht="15.75" customHeight="1">
      <c r="A7" s="73"/>
      <c r="B7" s="39" t="s">
        <v>24</v>
      </c>
      <c r="C7" s="38"/>
      <c r="D7" s="55">
        <v>0.0</v>
      </c>
      <c r="E7" s="55">
        <v>100.0</v>
      </c>
      <c r="F7" s="39" t="s">
        <v>50</v>
      </c>
      <c r="G7" s="39" t="s">
        <v>65</v>
      </c>
      <c r="H7" s="55">
        <v>9.0</v>
      </c>
      <c r="I7" s="55">
        <v>0.0</v>
      </c>
      <c r="J7" s="55">
        <v>15.0</v>
      </c>
      <c r="K7" s="55">
        <v>10.0</v>
      </c>
      <c r="L7" s="55">
        <v>10.0</v>
      </c>
      <c r="M7" s="39" t="s">
        <v>66</v>
      </c>
      <c r="N7" s="38"/>
      <c r="O7" s="39" t="s">
        <v>36</v>
      </c>
      <c r="P7" s="38"/>
      <c r="Q7" s="55">
        <v>3.0</v>
      </c>
      <c r="R7" s="55">
        <v>0.0</v>
      </c>
      <c r="S7" s="39" t="s">
        <v>38</v>
      </c>
      <c r="T7" s="55">
        <v>0.0</v>
      </c>
      <c r="U7" s="55">
        <v>0.0</v>
      </c>
      <c r="V7" s="39" t="s">
        <v>67</v>
      </c>
      <c r="W7" s="55">
        <v>1.0</v>
      </c>
      <c r="X7" s="38"/>
      <c r="Y7" s="38"/>
      <c r="Z7" s="39" t="s">
        <v>39</v>
      </c>
      <c r="AA7" s="39"/>
      <c r="AB7" s="55">
        <v>1.0</v>
      </c>
      <c r="AC7" s="39" t="s">
        <v>53</v>
      </c>
      <c r="AD7" s="39" t="s">
        <v>68</v>
      </c>
      <c r="AE7" s="55">
        <v>100.0</v>
      </c>
      <c r="AF7" s="68"/>
      <c r="AG7" s="55"/>
      <c r="AH7" s="39" t="s">
        <v>42</v>
      </c>
      <c r="AI7" s="55">
        <v>1.0</v>
      </c>
      <c r="AJ7" s="39" t="s">
        <v>69</v>
      </c>
      <c r="AK7" s="38"/>
      <c r="AL7" s="38"/>
      <c r="AM7" s="39" t="s">
        <v>55</v>
      </c>
      <c r="AN7" s="69" t="b">
        <v>0</v>
      </c>
      <c r="AO7" s="39"/>
      <c r="AP7" s="69" t="b">
        <v>1</v>
      </c>
      <c r="AQ7" s="69" t="b">
        <v>0</v>
      </c>
      <c r="AR7" s="69" t="b">
        <v>1</v>
      </c>
      <c r="AS7" s="55">
        <v>0.0</v>
      </c>
      <c r="AT7" s="70">
        <v>1010.175</v>
      </c>
      <c r="AU7" s="70">
        <v>1010.175</v>
      </c>
      <c r="AV7" s="55"/>
      <c r="AW7" s="55">
        <v>0.0</v>
      </c>
      <c r="AX7" s="70">
        <v>0.0</v>
      </c>
      <c r="AY7" s="39" t="s">
        <v>21</v>
      </c>
      <c r="AZ7" s="55">
        <v>0.0</v>
      </c>
      <c r="BA7" s="55"/>
      <c r="BB7" s="38"/>
      <c r="BC7" s="55">
        <v>0.0</v>
      </c>
      <c r="BD7" s="39" t="s">
        <v>56</v>
      </c>
      <c r="BE7" s="70">
        <v>1000.0</v>
      </c>
      <c r="BF7" s="70">
        <v>1000.0</v>
      </c>
      <c r="BG7" s="55"/>
      <c r="BH7" s="38"/>
      <c r="BI7" s="34"/>
      <c r="BJ7" s="55">
        <v>100.0</v>
      </c>
      <c r="BK7" s="55">
        <v>0.0</v>
      </c>
      <c r="BL7" s="38"/>
      <c r="BM7" s="39" t="s">
        <v>39</v>
      </c>
      <c r="BN7" s="55"/>
      <c r="BO7" s="39" t="s">
        <v>23</v>
      </c>
      <c r="BP7" s="55">
        <v>0.0</v>
      </c>
      <c r="BQ7" s="55">
        <v>0.0</v>
      </c>
      <c r="BR7" s="55">
        <v>0.175</v>
      </c>
      <c r="BS7" s="39" t="s">
        <v>58</v>
      </c>
      <c r="BT7" s="39" t="s">
        <v>22</v>
      </c>
      <c r="BU7" s="55">
        <v>1.0</v>
      </c>
      <c r="BV7" s="55">
        <v>0.0</v>
      </c>
      <c r="BW7" s="70">
        <v>10.175</v>
      </c>
      <c r="BX7" s="55">
        <v>0.0</v>
      </c>
      <c r="BY7" s="38"/>
      <c r="BZ7" s="38"/>
      <c r="CA7" s="38"/>
      <c r="CB7" s="38"/>
      <c r="CC7" s="38"/>
      <c r="CD7" s="38"/>
      <c r="CE7" s="55"/>
      <c r="CF7" s="39" t="s">
        <v>59</v>
      </c>
      <c r="CG7" s="55">
        <v>0.0</v>
      </c>
      <c r="CH7" s="39" t="s">
        <v>17</v>
      </c>
      <c r="CI7" s="39" t="s">
        <v>23</v>
      </c>
      <c r="CJ7" s="55">
        <v>0.0</v>
      </c>
      <c r="CK7" s="39" t="s">
        <v>61</v>
      </c>
      <c r="CL7" s="55">
        <v>1.0</v>
      </c>
      <c r="CM7" s="39" t="s">
        <v>22</v>
      </c>
      <c r="CN7" s="39" t="s">
        <v>62</v>
      </c>
      <c r="CO7" s="39" t="s">
        <v>63</v>
      </c>
      <c r="CP7" s="39" t="s">
        <v>64</v>
      </c>
      <c r="CQ7" s="55"/>
      <c r="CR7" s="55"/>
      <c r="CS7" s="38"/>
      <c r="CT7" s="38"/>
      <c r="CU7" s="76"/>
      <c r="CV7" s="72"/>
      <c r="CW7" s="73"/>
      <c r="CX7" s="73"/>
      <c r="CY7" s="73"/>
      <c r="CZ7" s="73"/>
      <c r="DA7" s="73"/>
      <c r="DB7" s="73"/>
      <c r="DC7" s="75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</row>
    <row r="8" ht="15.75" customHeight="1">
      <c r="A8" s="73"/>
      <c r="B8" s="39" t="s">
        <v>20</v>
      </c>
      <c r="C8" s="38"/>
      <c r="D8" s="55">
        <v>0.0</v>
      </c>
      <c r="E8" s="55">
        <v>10000.0</v>
      </c>
      <c r="F8" s="39" t="s">
        <v>50</v>
      </c>
      <c r="G8" s="39" t="s">
        <v>65</v>
      </c>
      <c r="H8" s="55">
        <v>0.0</v>
      </c>
      <c r="I8" s="55">
        <v>0.0</v>
      </c>
      <c r="J8" s="55">
        <v>15.0</v>
      </c>
      <c r="K8" s="55">
        <v>10.0</v>
      </c>
      <c r="L8" s="55">
        <v>10.0</v>
      </c>
      <c r="M8" s="39" t="s">
        <v>66</v>
      </c>
      <c r="N8" s="38"/>
      <c r="O8" s="39" t="s">
        <v>36</v>
      </c>
      <c r="P8" s="38"/>
      <c r="Q8" s="55">
        <v>3.0</v>
      </c>
      <c r="R8" s="55">
        <v>0.0</v>
      </c>
      <c r="S8" s="39" t="s">
        <v>38</v>
      </c>
      <c r="T8" s="55">
        <v>0.0</v>
      </c>
      <c r="U8" s="55">
        <v>0.0</v>
      </c>
      <c r="V8" s="39" t="s">
        <v>67</v>
      </c>
      <c r="W8" s="55">
        <v>1.0</v>
      </c>
      <c r="X8" s="38"/>
      <c r="Y8" s="38"/>
      <c r="Z8" s="39" t="s">
        <v>39</v>
      </c>
      <c r="AA8" s="39"/>
      <c r="AB8" s="55">
        <v>1.0</v>
      </c>
      <c r="AC8" s="38"/>
      <c r="AD8" s="39" t="s">
        <v>68</v>
      </c>
      <c r="AE8" s="55">
        <v>10000.0</v>
      </c>
      <c r="AF8" s="38"/>
      <c r="AG8" s="55"/>
      <c r="AH8" s="39" t="s">
        <v>42</v>
      </c>
      <c r="AI8" s="55">
        <v>1.0</v>
      </c>
      <c r="AJ8" s="39" t="s">
        <v>70</v>
      </c>
      <c r="AK8" s="34"/>
      <c r="AL8" s="38"/>
      <c r="AM8" s="38"/>
      <c r="AN8" s="69" t="b">
        <v>0</v>
      </c>
      <c r="AO8" s="39"/>
      <c r="AP8" s="69" t="b">
        <v>1</v>
      </c>
      <c r="AQ8" s="69" t="b">
        <v>0</v>
      </c>
      <c r="AR8" s="69" t="b">
        <v>1</v>
      </c>
      <c r="AS8" s="55">
        <v>0.0</v>
      </c>
      <c r="AT8" s="70">
        <v>200000.0</v>
      </c>
      <c r="AU8" s="70">
        <v>200000.0</v>
      </c>
      <c r="AV8" s="55"/>
      <c r="AW8" s="55">
        <v>0.0</v>
      </c>
      <c r="AX8" s="70">
        <v>100000.0</v>
      </c>
      <c r="AY8" s="34"/>
      <c r="AZ8" s="55">
        <v>0.0</v>
      </c>
      <c r="BA8" s="55"/>
      <c r="BB8" s="34"/>
      <c r="BC8" s="55">
        <v>0.0</v>
      </c>
      <c r="BD8" s="39" t="s">
        <v>56</v>
      </c>
      <c r="BE8" s="55">
        <v>100000.0</v>
      </c>
      <c r="BF8" s="55">
        <v>100000.0</v>
      </c>
      <c r="BG8" s="55"/>
      <c r="BH8" s="38"/>
      <c r="BI8" s="34"/>
      <c r="BJ8" s="55">
        <v>10000.0</v>
      </c>
      <c r="BK8" s="55">
        <v>0.0</v>
      </c>
      <c r="BL8" s="38"/>
      <c r="BM8" s="39" t="s">
        <v>39</v>
      </c>
      <c r="BN8" s="55"/>
      <c r="BO8" s="39" t="s">
        <v>23</v>
      </c>
      <c r="BP8" s="55">
        <v>0.0</v>
      </c>
      <c r="BQ8" s="55">
        <v>0.0</v>
      </c>
      <c r="BR8" s="55">
        <v>0.0</v>
      </c>
      <c r="BS8" s="39" t="s">
        <v>58</v>
      </c>
      <c r="BT8" s="39" t="s">
        <v>22</v>
      </c>
      <c r="BU8" s="55">
        <v>0.0</v>
      </c>
      <c r="BV8" s="55">
        <v>0.0</v>
      </c>
      <c r="BW8" s="55">
        <v>100000.0</v>
      </c>
      <c r="BX8" s="55">
        <v>0.0</v>
      </c>
      <c r="BY8" s="38"/>
      <c r="BZ8" s="38"/>
      <c r="CA8" s="38"/>
      <c r="CB8" s="38"/>
      <c r="CC8" s="38"/>
      <c r="CD8" s="38"/>
      <c r="CE8" s="55"/>
      <c r="CF8" s="39" t="s">
        <v>59</v>
      </c>
      <c r="CG8" s="55">
        <v>0.0</v>
      </c>
      <c r="CH8" s="39" t="s">
        <v>28</v>
      </c>
      <c r="CI8" s="39" t="s">
        <v>44</v>
      </c>
      <c r="CJ8" s="55">
        <v>0.0</v>
      </c>
      <c r="CK8" s="39" t="s">
        <v>61</v>
      </c>
      <c r="CL8" s="55">
        <v>1.0</v>
      </c>
      <c r="CM8" s="39" t="s">
        <v>22</v>
      </c>
      <c r="CN8" s="39" t="s">
        <v>62</v>
      </c>
      <c r="CO8" s="39" t="s">
        <v>71</v>
      </c>
      <c r="CP8" s="39" t="s">
        <v>64</v>
      </c>
      <c r="CQ8" s="55"/>
      <c r="CR8" s="55"/>
      <c r="CS8" s="38"/>
      <c r="CT8" s="38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</row>
    <row r="9" ht="15.75" customHeight="1">
      <c r="A9" s="77"/>
      <c r="B9" s="39" t="s">
        <v>20</v>
      </c>
      <c r="C9" s="38"/>
      <c r="D9" s="55">
        <v>0.0</v>
      </c>
      <c r="E9" s="70">
        <v>100.0</v>
      </c>
      <c r="F9" s="39" t="s">
        <v>50</v>
      </c>
      <c r="G9" s="39" t="s">
        <v>32</v>
      </c>
      <c r="H9" s="55">
        <v>0.0</v>
      </c>
      <c r="I9" s="55">
        <v>0.0</v>
      </c>
      <c r="J9" s="55">
        <v>12.0</v>
      </c>
      <c r="K9" s="55">
        <v>0.0</v>
      </c>
      <c r="L9" s="55">
        <v>0.0</v>
      </c>
      <c r="M9" s="39" t="s">
        <v>35</v>
      </c>
      <c r="N9" s="38"/>
      <c r="O9" s="39" t="s">
        <v>36</v>
      </c>
      <c r="P9" s="38"/>
      <c r="Q9" s="55">
        <v>3.0</v>
      </c>
      <c r="R9" s="55">
        <v>0.0</v>
      </c>
      <c r="S9" s="39" t="s">
        <v>51</v>
      </c>
      <c r="T9" s="55">
        <v>0.0</v>
      </c>
      <c r="U9" s="55">
        <v>0.0</v>
      </c>
      <c r="V9" s="39" t="s">
        <v>52</v>
      </c>
      <c r="W9" s="55">
        <v>100.0</v>
      </c>
      <c r="X9" s="38"/>
      <c r="Y9" s="38"/>
      <c r="Z9" s="39" t="s">
        <v>39</v>
      </c>
      <c r="AA9" s="34"/>
      <c r="AB9" s="55">
        <v>1.0</v>
      </c>
      <c r="AC9" s="38"/>
      <c r="AD9" s="39" t="s">
        <v>41</v>
      </c>
      <c r="AE9" s="70">
        <v>100.0</v>
      </c>
      <c r="AF9" s="38"/>
      <c r="AG9" s="55"/>
      <c r="AH9" s="39" t="s">
        <v>42</v>
      </c>
      <c r="AI9" s="55">
        <v>1.0</v>
      </c>
      <c r="AJ9" s="39" t="s">
        <v>54</v>
      </c>
      <c r="AK9" s="39"/>
      <c r="AL9" s="38"/>
      <c r="AM9" s="38"/>
      <c r="AN9" s="69" t="b">
        <v>0</v>
      </c>
      <c r="AO9" s="34"/>
      <c r="AP9" s="69" t="b">
        <v>0</v>
      </c>
      <c r="AQ9" s="69" t="b">
        <v>0</v>
      </c>
      <c r="AR9" s="69" t="b">
        <v>1</v>
      </c>
      <c r="AS9" s="55">
        <v>0.0</v>
      </c>
      <c r="AT9" s="70">
        <v>100000.0</v>
      </c>
      <c r="AU9" s="70">
        <v>100000.0</v>
      </c>
      <c r="AV9" s="55"/>
      <c r="AW9" s="55">
        <v>0.0</v>
      </c>
      <c r="AX9" s="55">
        <v>-100000.0</v>
      </c>
      <c r="AY9" s="39" t="s">
        <v>21</v>
      </c>
      <c r="AZ9" s="55">
        <v>0.0</v>
      </c>
      <c r="BA9" s="55"/>
      <c r="BB9" s="39"/>
      <c r="BC9" s="55">
        <v>0.0</v>
      </c>
      <c r="BD9" s="39" t="s">
        <v>56</v>
      </c>
      <c r="BE9" s="70">
        <v>0.0</v>
      </c>
      <c r="BF9" s="70">
        <v>0.0</v>
      </c>
      <c r="BG9" s="55"/>
      <c r="BH9" s="38"/>
      <c r="BI9" s="39" t="s">
        <v>57</v>
      </c>
      <c r="BJ9" s="70">
        <v>100.0</v>
      </c>
      <c r="BK9" s="55">
        <v>0.0</v>
      </c>
      <c r="BL9" s="38"/>
      <c r="BM9" s="39" t="s">
        <v>39</v>
      </c>
      <c r="BN9" s="55"/>
      <c r="BO9" s="39" t="s">
        <v>72</v>
      </c>
      <c r="BP9" s="55">
        <v>0.0</v>
      </c>
      <c r="BQ9" s="55">
        <v>0.0</v>
      </c>
      <c r="BR9" s="55">
        <v>0.0</v>
      </c>
      <c r="BS9" s="39" t="s">
        <v>58</v>
      </c>
      <c r="BT9" s="39" t="s">
        <v>16</v>
      </c>
      <c r="BU9" s="55">
        <v>0.0</v>
      </c>
      <c r="BV9" s="55">
        <v>0.0</v>
      </c>
      <c r="BW9" s="55">
        <v>-100000.0</v>
      </c>
      <c r="BX9" s="55">
        <v>0.0</v>
      </c>
      <c r="BY9" s="38"/>
      <c r="BZ9" s="38"/>
      <c r="CA9" s="38"/>
      <c r="CB9" s="38"/>
      <c r="CC9" s="38"/>
      <c r="CD9" s="38"/>
      <c r="CE9" s="55"/>
      <c r="CF9" s="34"/>
      <c r="CG9" s="55">
        <v>0.0</v>
      </c>
      <c r="CH9" s="39" t="s">
        <v>28</v>
      </c>
      <c r="CI9" s="39" t="s">
        <v>44</v>
      </c>
      <c r="CJ9" s="55">
        <v>0.0</v>
      </c>
      <c r="CK9" s="39" t="s">
        <v>61</v>
      </c>
      <c r="CL9" s="55">
        <v>1.0</v>
      </c>
      <c r="CM9" s="39" t="s">
        <v>22</v>
      </c>
      <c r="CN9" s="34"/>
      <c r="CO9" s="39" t="s">
        <v>63</v>
      </c>
      <c r="CP9" s="39" t="s">
        <v>64</v>
      </c>
      <c r="CQ9" s="55"/>
      <c r="CR9" s="55"/>
      <c r="CS9" s="38"/>
      <c r="CT9" s="3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</row>
    <row r="14" ht="15.75" customHeight="1">
      <c r="A14" s="8"/>
      <c r="B14" s="80"/>
      <c r="C14" s="80"/>
      <c r="D14" s="80"/>
      <c r="E14" s="80"/>
      <c r="F14" s="81"/>
      <c r="G14" s="81"/>
      <c r="H14" s="82"/>
      <c r="I14" s="81"/>
      <c r="J14" s="81"/>
      <c r="K14" s="83"/>
      <c r="L14" s="81"/>
      <c r="M14" s="83"/>
      <c r="N14" s="83"/>
      <c r="O14" s="81"/>
      <c r="P14" s="81"/>
      <c r="Q14" s="81"/>
      <c r="R14" s="81"/>
      <c r="S14" s="81"/>
      <c r="T14" s="81"/>
      <c r="U14" s="83"/>
      <c r="V14" s="83"/>
      <c r="W14" s="83"/>
      <c r="X14" s="83"/>
      <c r="Y14" s="83"/>
      <c r="Z14" s="84"/>
      <c r="AA14" s="84"/>
      <c r="AB14" s="81"/>
      <c r="AC14" s="83"/>
      <c r="AD14" s="84"/>
      <c r="AE14" s="83"/>
      <c r="AF14" s="81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3"/>
      <c r="AW14" s="84"/>
      <c r="AX14" s="84"/>
      <c r="AY14" s="84"/>
      <c r="AZ14" s="84"/>
      <c r="BA14" s="83"/>
      <c r="BB14" s="83"/>
      <c r="BC14" s="83"/>
      <c r="BD14" s="81"/>
      <c r="BE14" s="83"/>
      <c r="BF14" s="83"/>
      <c r="BG14" s="83"/>
      <c r="BH14" s="84"/>
      <c r="BI14" s="84"/>
      <c r="BJ14" s="84"/>
      <c r="BK14" s="83"/>
      <c r="BL14" s="83"/>
      <c r="BM14" s="83"/>
      <c r="BN14" s="84"/>
      <c r="BO14" s="83"/>
      <c r="BP14" s="83"/>
      <c r="BQ14" s="81"/>
      <c r="BR14" s="83"/>
      <c r="BS14" s="84"/>
      <c r="BT14" s="84"/>
      <c r="BU14" s="83"/>
      <c r="BV14" s="85"/>
      <c r="BW14" s="85"/>
      <c r="BX14" s="85"/>
      <c r="BY14" s="85"/>
      <c r="BZ14" s="82"/>
      <c r="CA14" s="85"/>
      <c r="CB14" s="82"/>
      <c r="CC14" s="83"/>
      <c r="CD14" s="83"/>
      <c r="CE14" s="84"/>
      <c r="CF14" s="84"/>
      <c r="CG14" s="84"/>
      <c r="CH14" s="83"/>
      <c r="CI14" s="83"/>
      <c r="CJ14" s="83"/>
      <c r="CK14" s="83"/>
      <c r="CL14" s="81"/>
      <c r="CM14" s="81"/>
      <c r="CN14" s="84"/>
      <c r="CO14" s="83"/>
      <c r="CP14" s="81"/>
      <c r="CQ14" s="83"/>
      <c r="CR14" s="84"/>
      <c r="CS14" s="84"/>
      <c r="CT14" s="81"/>
      <c r="CU14" s="84"/>
      <c r="CV14" s="81"/>
      <c r="CW14" s="83"/>
      <c r="CX14" s="81"/>
      <c r="CY14" s="83"/>
      <c r="CZ14" s="83"/>
      <c r="DA14" s="83"/>
    </row>
    <row r="15" ht="15.75" customHeight="1">
      <c r="A15" s="8"/>
      <c r="B15" s="80"/>
      <c r="C15" s="80"/>
      <c r="D15" s="80"/>
      <c r="E15" s="80"/>
      <c r="F15" s="81"/>
      <c r="G15" s="81"/>
      <c r="H15" s="82"/>
      <c r="I15" s="81"/>
      <c r="J15" s="81"/>
      <c r="K15" s="83"/>
      <c r="L15" s="81"/>
      <c r="M15" s="83"/>
      <c r="N15" s="83"/>
      <c r="O15" s="81"/>
      <c r="P15" s="81"/>
      <c r="Q15" s="81"/>
      <c r="R15" s="81"/>
      <c r="S15" s="81"/>
      <c r="T15" s="81"/>
      <c r="U15" s="83"/>
      <c r="V15" s="83"/>
      <c r="W15" s="83"/>
      <c r="X15" s="83"/>
      <c r="Y15" s="83"/>
      <c r="Z15" s="84"/>
      <c r="AA15" s="84"/>
      <c r="AB15" s="83"/>
      <c r="AC15" s="83"/>
      <c r="AD15" s="84"/>
      <c r="AE15" s="83"/>
      <c r="AF15" s="81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3"/>
      <c r="AW15" s="84"/>
      <c r="AX15" s="84"/>
      <c r="AY15" s="84"/>
      <c r="AZ15" s="84"/>
      <c r="BA15" s="83"/>
      <c r="BB15" s="83"/>
      <c r="BC15" s="83"/>
      <c r="BD15" s="81"/>
      <c r="BE15" s="83"/>
      <c r="BF15" s="83"/>
      <c r="BG15" s="83"/>
      <c r="BH15" s="84"/>
      <c r="BI15" s="84"/>
      <c r="BJ15" s="84"/>
      <c r="BK15" s="83"/>
      <c r="BL15" s="83"/>
      <c r="BM15" s="83"/>
      <c r="BN15" s="84"/>
      <c r="BO15" s="83"/>
      <c r="BP15" s="83"/>
      <c r="BQ15" s="81"/>
      <c r="BR15" s="83"/>
      <c r="BS15" s="84"/>
      <c r="BT15" s="84"/>
      <c r="BU15" s="83"/>
      <c r="BV15" s="85"/>
      <c r="BW15" s="85"/>
      <c r="BX15" s="85"/>
      <c r="BY15" s="85"/>
      <c r="BZ15" s="82"/>
      <c r="CA15" s="85"/>
      <c r="CB15" s="86"/>
      <c r="CC15" s="83"/>
      <c r="CD15" s="83"/>
      <c r="CE15" s="84"/>
      <c r="CF15" s="84"/>
      <c r="CG15" s="84"/>
      <c r="CH15" s="83"/>
      <c r="CI15" s="81"/>
      <c r="CJ15" s="81"/>
      <c r="CK15" s="81"/>
      <c r="CL15" s="83"/>
      <c r="CM15" s="83"/>
      <c r="CN15" s="84"/>
      <c r="CO15" s="83"/>
      <c r="CP15" s="81"/>
      <c r="CQ15" s="83"/>
      <c r="CR15" s="84"/>
      <c r="CS15" s="84"/>
      <c r="CT15" s="81"/>
      <c r="CU15" s="84"/>
      <c r="CV15" s="81"/>
      <c r="CW15" s="83"/>
      <c r="CX15" s="81"/>
      <c r="CY15" s="83"/>
      <c r="CZ15" s="83"/>
      <c r="DA15" s="83"/>
    </row>
    <row r="16" ht="15.75" customHeight="1">
      <c r="A16" s="8"/>
      <c r="B16" s="80"/>
      <c r="C16" s="80"/>
      <c r="D16" s="84"/>
      <c r="E16" s="84"/>
      <c r="F16" s="81"/>
      <c r="G16" s="81"/>
      <c r="H16" s="82"/>
      <c r="I16" s="81"/>
      <c r="J16" s="81"/>
      <c r="K16" s="83"/>
      <c r="L16" s="81"/>
      <c r="M16" s="83"/>
      <c r="N16" s="83"/>
      <c r="O16" s="81"/>
      <c r="P16" s="81"/>
      <c r="Q16" s="81"/>
      <c r="R16" s="81"/>
      <c r="S16" s="81"/>
      <c r="T16" s="81"/>
      <c r="U16" s="83"/>
      <c r="V16" s="83"/>
      <c r="W16" s="83"/>
      <c r="X16" s="83"/>
      <c r="Y16" s="83"/>
      <c r="Z16" s="84"/>
      <c r="AA16" s="84"/>
      <c r="AB16" s="83"/>
      <c r="AC16" s="83"/>
      <c r="AD16" s="84"/>
      <c r="AE16" s="83"/>
      <c r="AF16" s="81"/>
      <c r="AG16" s="84"/>
      <c r="AH16" s="84"/>
      <c r="AI16" s="84"/>
      <c r="AJ16" s="84"/>
      <c r="AK16" s="84"/>
      <c r="AL16" s="80"/>
      <c r="AM16" s="84"/>
      <c r="AN16" s="84"/>
      <c r="AO16" s="84"/>
      <c r="AP16" s="84"/>
      <c r="AQ16" s="84"/>
      <c r="AR16" s="84"/>
      <c r="AS16" s="84"/>
      <c r="AT16" s="84"/>
      <c r="AU16" s="80"/>
      <c r="AV16" s="83"/>
      <c r="AW16" s="84"/>
      <c r="AX16" s="84"/>
      <c r="AY16" s="84"/>
      <c r="AZ16" s="84"/>
      <c r="BA16" s="83"/>
      <c r="BB16" s="83"/>
      <c r="BC16" s="83"/>
      <c r="BD16" s="81"/>
      <c r="BE16" s="83"/>
      <c r="BF16" s="83"/>
      <c r="BG16" s="83"/>
      <c r="BH16" s="84"/>
      <c r="BI16" s="84"/>
      <c r="BJ16" s="84"/>
      <c r="BK16" s="83"/>
      <c r="BL16" s="83"/>
      <c r="BM16" s="83"/>
      <c r="BN16" s="84"/>
      <c r="BO16" s="81"/>
      <c r="BP16" s="83"/>
      <c r="BQ16" s="81"/>
      <c r="BR16" s="83"/>
      <c r="BS16" s="84"/>
      <c r="BT16" s="84"/>
      <c r="BU16" s="83"/>
      <c r="BV16" s="82"/>
      <c r="BW16" s="85"/>
      <c r="BX16" s="86"/>
      <c r="BY16" s="86"/>
      <c r="BZ16" s="82"/>
      <c r="CA16" s="86"/>
      <c r="CB16" s="86"/>
      <c r="CC16" s="81"/>
      <c r="CD16" s="83"/>
      <c r="CE16" s="84"/>
      <c r="CF16" s="84"/>
      <c r="CG16" s="84"/>
      <c r="CH16" s="83"/>
      <c r="CI16" s="81"/>
      <c r="CJ16" s="81"/>
      <c r="CK16" s="81"/>
      <c r="CL16" s="83"/>
      <c r="CM16" s="83"/>
      <c r="CN16" s="84"/>
      <c r="CO16" s="81"/>
      <c r="CP16" s="81"/>
      <c r="CQ16" s="83"/>
      <c r="CR16" s="84"/>
      <c r="CS16" s="84"/>
      <c r="CT16" s="81"/>
      <c r="CU16" s="84"/>
      <c r="CV16" s="81"/>
      <c r="CW16" s="83"/>
      <c r="CX16" s="81"/>
      <c r="CY16" s="83"/>
      <c r="CZ16" s="83"/>
      <c r="DA16" s="83"/>
    </row>
    <row r="17" ht="15.75" customHeight="1">
      <c r="A17" s="8"/>
      <c r="B17" s="80"/>
      <c r="C17" s="80"/>
      <c r="D17" s="80"/>
      <c r="E17" s="80"/>
      <c r="F17" s="81"/>
      <c r="G17" s="81"/>
      <c r="H17" s="82"/>
      <c r="I17" s="81"/>
      <c r="J17" s="81"/>
      <c r="K17" s="83"/>
      <c r="L17" s="81"/>
      <c r="M17" s="83"/>
      <c r="N17" s="83"/>
      <c r="O17" s="81"/>
      <c r="P17" s="81"/>
      <c r="Q17" s="81"/>
      <c r="R17" s="81"/>
      <c r="S17" s="81"/>
      <c r="T17" s="81"/>
      <c r="U17" s="83"/>
      <c r="V17" s="83"/>
      <c r="W17" s="83"/>
      <c r="X17" s="83"/>
      <c r="Y17" s="83"/>
      <c r="Z17" s="84"/>
      <c r="AA17" s="84"/>
      <c r="AB17" s="81"/>
      <c r="AC17" s="83"/>
      <c r="AD17" s="80"/>
      <c r="AE17" s="83"/>
      <c r="AF17" s="81"/>
      <c r="AG17" s="84"/>
      <c r="AH17" s="84"/>
      <c r="AI17" s="84"/>
      <c r="AJ17" s="84"/>
      <c r="AK17" s="84"/>
      <c r="AL17" s="80"/>
      <c r="AM17" s="84"/>
      <c r="AN17" s="84"/>
      <c r="AO17" s="84"/>
      <c r="AP17" s="84"/>
      <c r="AQ17" s="84"/>
      <c r="AR17" s="84"/>
      <c r="AS17" s="84"/>
      <c r="AT17" s="84"/>
      <c r="AU17" s="80"/>
      <c r="AV17" s="83"/>
      <c r="AW17" s="84"/>
      <c r="AX17" s="84"/>
      <c r="AY17" s="84"/>
      <c r="AZ17" s="84"/>
      <c r="BA17" s="83"/>
      <c r="BB17" s="83"/>
      <c r="BC17" s="83"/>
      <c r="BD17" s="81"/>
      <c r="BE17" s="83"/>
      <c r="BF17" s="81"/>
      <c r="BG17" s="83"/>
      <c r="BH17" s="80"/>
      <c r="BI17" s="84"/>
      <c r="BJ17" s="84"/>
      <c r="BK17" s="83"/>
      <c r="BL17" s="83"/>
      <c r="BM17" s="83"/>
      <c r="BN17" s="84"/>
      <c r="BO17" s="83"/>
      <c r="BP17" s="83"/>
      <c r="BQ17" s="81"/>
      <c r="BR17" s="83"/>
      <c r="BS17" s="80"/>
      <c r="BT17" s="84"/>
      <c r="BU17" s="83"/>
      <c r="BV17" s="86"/>
      <c r="BW17" s="86"/>
      <c r="BX17" s="86"/>
      <c r="BY17" s="86"/>
      <c r="BZ17" s="82"/>
      <c r="CA17" s="86"/>
      <c r="CB17" s="85"/>
      <c r="CC17" s="81"/>
      <c r="CD17" s="83"/>
      <c r="CE17" s="84"/>
      <c r="CF17" s="84"/>
      <c r="CG17" s="84"/>
      <c r="CH17" s="83"/>
      <c r="CI17" s="83"/>
      <c r="CJ17" s="83"/>
      <c r="CK17" s="83"/>
      <c r="CL17" s="81"/>
      <c r="CM17" s="81"/>
      <c r="CN17" s="84"/>
      <c r="CO17" s="81"/>
      <c r="CP17" s="81"/>
      <c r="CQ17" s="83"/>
      <c r="CR17" s="84"/>
      <c r="CS17" s="84"/>
      <c r="CT17" s="81"/>
      <c r="CU17" s="84"/>
      <c r="CV17" s="81"/>
      <c r="CW17" s="83"/>
      <c r="CX17" s="81"/>
      <c r="CY17" s="83"/>
      <c r="CZ17" s="83"/>
      <c r="DA17" s="8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4"/>
      <c r="B6" s="67"/>
      <c r="C6" s="58" t="s">
        <v>22</v>
      </c>
      <c r="D6" s="67">
        <v>100.0</v>
      </c>
      <c r="E6" s="58" t="s">
        <v>24</v>
      </c>
      <c r="F6" s="58" t="s">
        <v>75</v>
      </c>
      <c r="G6" s="67">
        <v>10.0</v>
      </c>
      <c r="H6" s="58" t="s">
        <v>76</v>
      </c>
      <c r="I6" s="87">
        <v>0.0</v>
      </c>
      <c r="J6" s="67">
        <v>0.0</v>
      </c>
      <c r="K6" s="87">
        <v>0.0</v>
      </c>
      <c r="L6" s="87">
        <v>0.0</v>
      </c>
      <c r="M6" s="87">
        <v>0.0</v>
      </c>
      <c r="N6" s="87">
        <v>-12000.0</v>
      </c>
      <c r="O6" s="58"/>
      <c r="P6" s="67"/>
      <c r="Q6" s="87">
        <v>-1000.0</v>
      </c>
      <c r="R6" s="58" t="s">
        <v>36</v>
      </c>
      <c r="S6" s="58" t="s">
        <v>58</v>
      </c>
      <c r="T6" s="39" t="s">
        <v>65</v>
      </c>
      <c r="U6" s="39" t="s">
        <v>61</v>
      </c>
      <c r="V6" s="39" t="s">
        <v>68</v>
      </c>
      <c r="W6" s="39" t="s">
        <v>39</v>
      </c>
      <c r="X6" s="55">
        <v>1.0</v>
      </c>
      <c r="Y6" s="55">
        <v>1.0</v>
      </c>
      <c r="Z6" s="38"/>
      <c r="AA6" s="38"/>
      <c r="AB6" s="55"/>
      <c r="AC6" s="55">
        <v>-100.0</v>
      </c>
      <c r="AD6" s="88"/>
      <c r="AE6" s="88"/>
      <c r="AF6" s="88">
        <v>100.0</v>
      </c>
      <c r="AG6" s="88"/>
      <c r="AH6" s="88"/>
      <c r="AI6" s="88"/>
      <c r="AJ6" s="88"/>
      <c r="AK6" s="88">
        <v>-12000.0</v>
      </c>
      <c r="AL6" s="55">
        <v>1.0</v>
      </c>
      <c r="AM6" s="55">
        <v>1.0</v>
      </c>
      <c r="AN6" s="39" t="s">
        <v>23</v>
      </c>
      <c r="AO6" s="38"/>
      <c r="AP6" s="39" t="s">
        <v>76</v>
      </c>
      <c r="AQ6" s="39" t="s">
        <v>22</v>
      </c>
      <c r="AR6" s="55"/>
      <c r="AS6" s="55"/>
      <c r="AT6" s="39"/>
      <c r="AU6" s="39"/>
      <c r="AV6" s="55"/>
      <c r="AW6" s="88">
        <v>-1000.0</v>
      </c>
      <c r="AX6" s="55"/>
      <c r="AY6" s="55"/>
      <c r="AZ6" s="88"/>
      <c r="BA6" s="55">
        <v>-1200.0</v>
      </c>
      <c r="BB6" s="55"/>
      <c r="BC6" s="55">
        <v>1.0</v>
      </c>
      <c r="BD6" s="88">
        <v>0.0</v>
      </c>
      <c r="BE6" s="39" t="s">
        <v>65</v>
      </c>
      <c r="BF6" s="39"/>
      <c r="BG6" s="39"/>
      <c r="BH6" s="39"/>
      <c r="BI6" s="39"/>
      <c r="BJ6" s="55">
        <v>0.0</v>
      </c>
      <c r="BK6" s="55">
        <v>0.0</v>
      </c>
      <c r="BL6" s="55">
        <v>0.0</v>
      </c>
      <c r="BM6" s="55"/>
      <c r="BN6" s="55"/>
      <c r="BO6" s="88"/>
      <c r="BP6" s="55"/>
      <c r="BQ6" s="39" t="s">
        <v>62</v>
      </c>
      <c r="BR6" s="39" t="s">
        <v>36</v>
      </c>
      <c r="BS6" s="55"/>
      <c r="BT6" s="88"/>
      <c r="BU6" s="39"/>
      <c r="BV6" s="39"/>
      <c r="BW6" s="55"/>
      <c r="BX6" s="88">
        <v>0.0</v>
      </c>
      <c r="BY6" s="88">
        <v>0.0</v>
      </c>
      <c r="BZ6" s="55">
        <v>0.0</v>
      </c>
      <c r="CA6" s="55">
        <v>0.0</v>
      </c>
      <c r="CB6" s="55"/>
      <c r="CC6" s="55">
        <v>0.0</v>
      </c>
      <c r="CD6" s="88">
        <v>-12000.0</v>
      </c>
      <c r="CE6" s="55">
        <v>0.0</v>
      </c>
      <c r="CF6" s="55">
        <v>0.0</v>
      </c>
      <c r="CG6" s="88">
        <v>-1000.0</v>
      </c>
      <c r="CH6" s="55">
        <v>-100.0</v>
      </c>
      <c r="CI6" s="88">
        <v>0.0</v>
      </c>
      <c r="CJ6" s="55">
        <v>0.0</v>
      </c>
      <c r="CK6" s="69" t="b">
        <v>0</v>
      </c>
      <c r="CL6" s="38"/>
      <c r="CM6" s="38"/>
      <c r="CN6" s="39"/>
      <c r="CO6" s="39"/>
      <c r="CP6" s="39" t="s">
        <v>66</v>
      </c>
      <c r="CQ6" s="39" t="s">
        <v>77</v>
      </c>
      <c r="CR6" s="55"/>
      <c r="CS6" s="55">
        <v>10.0</v>
      </c>
      <c r="CT6" s="38"/>
      <c r="CU6" s="38"/>
      <c r="CV6" s="38"/>
      <c r="CW6" s="38"/>
      <c r="CX6" s="38"/>
      <c r="CY6" s="39"/>
      <c r="CZ6" s="39"/>
      <c r="DA6" s="88"/>
      <c r="DB6" s="55"/>
      <c r="DC6" s="55"/>
      <c r="DD6" s="88">
        <v>100.0</v>
      </c>
      <c r="DE6" s="55"/>
      <c r="DF6" s="88"/>
      <c r="DG6" s="55"/>
      <c r="DH6" s="55">
        <v>120.0</v>
      </c>
      <c r="DI6" s="55">
        <v>-100.0</v>
      </c>
      <c r="DJ6" s="39" t="s">
        <v>23</v>
      </c>
      <c r="DK6" s="55">
        <v>12000.0</v>
      </c>
      <c r="DL6" s="55">
        <v>12000.0</v>
      </c>
      <c r="DM6" s="55"/>
      <c r="DN6" s="55"/>
      <c r="DO6" s="39"/>
      <c r="DP6" s="39" t="s">
        <v>76</v>
      </c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 t="s">
        <v>39</v>
      </c>
      <c r="EE6" s="39"/>
      <c r="EF6" s="55"/>
      <c r="EG6" s="88"/>
      <c r="EH6" s="88"/>
      <c r="EI6" s="88"/>
      <c r="EJ6" s="88"/>
      <c r="EK6" s="88"/>
      <c r="EL6" s="39" t="s">
        <v>76</v>
      </c>
      <c r="EM6" s="88"/>
      <c r="EN6" s="88"/>
      <c r="EO6" s="55"/>
      <c r="EP6" s="88">
        <v>1212000.0</v>
      </c>
      <c r="EQ6" s="88"/>
      <c r="ER6" s="88"/>
      <c r="ES6" s="88"/>
      <c r="ET6" s="88"/>
      <c r="EU6" s="88"/>
      <c r="EV6" s="39" t="s">
        <v>76</v>
      </c>
      <c r="EW6" s="88"/>
      <c r="EX6" s="89"/>
      <c r="EY6" s="38"/>
      <c r="EZ6" s="38"/>
      <c r="FA6" s="38"/>
      <c r="FB6" s="38"/>
      <c r="FC6" s="39"/>
      <c r="FD6" s="55"/>
      <c r="FE6" s="38"/>
      <c r="FF6" s="55"/>
      <c r="FG6" s="88"/>
      <c r="FH6" s="67"/>
      <c r="FI6" s="38"/>
      <c r="FJ6" s="38"/>
      <c r="FK6" s="38"/>
      <c r="FL6" s="38"/>
      <c r="FM6" s="38"/>
      <c r="FN6" s="52"/>
      <c r="FO6" s="38"/>
      <c r="FP6" s="38"/>
      <c r="FQ6" s="38"/>
    </row>
    <row r="7" ht="15.75" customHeight="1">
      <c r="A7" s="8"/>
      <c r="B7" s="55"/>
      <c r="C7" s="39" t="s">
        <v>22</v>
      </c>
      <c r="D7" s="88">
        <v>10000.0</v>
      </c>
      <c r="E7" s="39" t="s">
        <v>20</v>
      </c>
      <c r="F7" s="39" t="s">
        <v>78</v>
      </c>
      <c r="G7" s="55">
        <v>10.0</v>
      </c>
      <c r="H7" s="39" t="s">
        <v>76</v>
      </c>
      <c r="I7" s="55">
        <v>0.0</v>
      </c>
      <c r="J7" s="55">
        <v>0.0</v>
      </c>
      <c r="K7" s="55">
        <v>0.0</v>
      </c>
      <c r="L7" s="55">
        <v>0.0</v>
      </c>
      <c r="M7" s="55">
        <v>0.0</v>
      </c>
      <c r="N7" s="55">
        <v>-1200000.0</v>
      </c>
      <c r="O7" s="39"/>
      <c r="P7" s="55"/>
      <c r="Q7" s="55">
        <v>-100000.0</v>
      </c>
      <c r="R7" s="39" t="s">
        <v>79</v>
      </c>
      <c r="S7" s="39" t="s">
        <v>58</v>
      </c>
      <c r="T7" s="39" t="s">
        <v>65</v>
      </c>
      <c r="U7" s="39" t="s">
        <v>61</v>
      </c>
      <c r="V7" s="39" t="s">
        <v>68</v>
      </c>
      <c r="W7" s="39" t="s">
        <v>39</v>
      </c>
      <c r="X7" s="55">
        <v>1.0</v>
      </c>
      <c r="Y7" s="55">
        <v>1.0</v>
      </c>
      <c r="Z7" s="38"/>
      <c r="AA7" s="38"/>
      <c r="AB7" s="55"/>
      <c r="AC7" s="55">
        <v>-100.0</v>
      </c>
      <c r="AD7" s="55"/>
      <c r="AE7" s="55"/>
      <c r="AF7" s="55">
        <v>10000.0</v>
      </c>
      <c r="AG7" s="55"/>
      <c r="AH7" s="55"/>
      <c r="AI7" s="55"/>
      <c r="AJ7" s="55"/>
      <c r="AK7" s="55">
        <v>-1200000.0</v>
      </c>
      <c r="AL7" s="55">
        <v>1.0</v>
      </c>
      <c r="AM7" s="55">
        <v>1.0</v>
      </c>
      <c r="AN7" s="39" t="s">
        <v>23</v>
      </c>
      <c r="AO7" s="38"/>
      <c r="AP7" s="39" t="s">
        <v>76</v>
      </c>
      <c r="AQ7" s="39" t="s">
        <v>22</v>
      </c>
      <c r="AR7" s="55"/>
      <c r="AS7" s="55"/>
      <c r="AT7" s="38"/>
      <c r="AU7" s="38"/>
      <c r="AV7" s="55"/>
      <c r="AW7" s="55">
        <v>-100000.0</v>
      </c>
      <c r="AX7" s="55"/>
      <c r="AY7" s="55"/>
      <c r="AZ7" s="55"/>
      <c r="BA7" s="55">
        <v>-1200.0</v>
      </c>
      <c r="BB7" s="55"/>
      <c r="BC7" s="55">
        <v>1.0</v>
      </c>
      <c r="BD7" s="55">
        <v>0.0</v>
      </c>
      <c r="BE7" s="39" t="s">
        <v>65</v>
      </c>
      <c r="BF7" s="39"/>
      <c r="BG7" s="39"/>
      <c r="BH7" s="39"/>
      <c r="BI7" s="39"/>
      <c r="BJ7" s="55">
        <v>0.0</v>
      </c>
      <c r="BK7" s="55">
        <v>0.0</v>
      </c>
      <c r="BL7" s="55">
        <v>0.0</v>
      </c>
      <c r="BM7" s="55"/>
      <c r="BN7" s="55"/>
      <c r="BO7" s="55"/>
      <c r="BP7" s="55"/>
      <c r="BQ7" s="39" t="s">
        <v>62</v>
      </c>
      <c r="BR7" s="39" t="s">
        <v>36</v>
      </c>
      <c r="BS7" s="55"/>
      <c r="BT7" s="55"/>
      <c r="BU7" s="39"/>
      <c r="BV7" s="39"/>
      <c r="BW7" s="55"/>
      <c r="BX7" s="55">
        <v>0.0</v>
      </c>
      <c r="BY7" s="55">
        <v>0.0</v>
      </c>
      <c r="BZ7" s="55">
        <v>0.0</v>
      </c>
      <c r="CA7" s="55">
        <v>0.0</v>
      </c>
      <c r="CB7" s="55"/>
      <c r="CC7" s="55">
        <v>0.0</v>
      </c>
      <c r="CD7" s="55">
        <v>-1200000.0</v>
      </c>
      <c r="CE7" s="55">
        <v>0.0</v>
      </c>
      <c r="CF7" s="55">
        <v>0.0</v>
      </c>
      <c r="CG7" s="55">
        <v>-100000.0</v>
      </c>
      <c r="CH7" s="55">
        <v>-100.0</v>
      </c>
      <c r="CI7" s="55">
        <v>0.0</v>
      </c>
      <c r="CJ7" s="55">
        <v>0.0</v>
      </c>
      <c r="CK7" s="69" t="b">
        <v>0</v>
      </c>
      <c r="CL7" s="38"/>
      <c r="CM7" s="38"/>
      <c r="CN7" s="39"/>
      <c r="CO7" s="39"/>
      <c r="CP7" s="39" t="s">
        <v>66</v>
      </c>
      <c r="CQ7" s="39" t="s">
        <v>77</v>
      </c>
      <c r="CR7" s="55"/>
      <c r="CS7" s="55">
        <v>10.0</v>
      </c>
      <c r="CT7" s="38"/>
      <c r="CU7" s="38"/>
      <c r="CV7" s="38"/>
      <c r="CW7" s="38"/>
      <c r="CX7" s="38"/>
      <c r="CY7" s="39"/>
      <c r="CZ7" s="39"/>
      <c r="DA7" s="55"/>
      <c r="DB7" s="55"/>
      <c r="DC7" s="55"/>
      <c r="DD7" s="55">
        <v>10000.0</v>
      </c>
      <c r="DE7" s="55"/>
      <c r="DF7" s="55"/>
      <c r="DG7" s="55"/>
      <c r="DH7" s="55">
        <v>120.0</v>
      </c>
      <c r="DI7" s="55">
        <v>-100.0</v>
      </c>
      <c r="DJ7" s="39" t="s">
        <v>44</v>
      </c>
      <c r="DK7" s="55">
        <v>1200000.0</v>
      </c>
      <c r="DL7" s="55">
        <v>1200000.0</v>
      </c>
      <c r="DM7" s="55"/>
      <c r="DN7" s="55"/>
      <c r="DO7" s="39"/>
      <c r="DP7" s="39" t="s">
        <v>76</v>
      </c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 t="s">
        <v>39</v>
      </c>
      <c r="EE7" s="39"/>
      <c r="EF7" s="55"/>
      <c r="EG7" s="55"/>
      <c r="EH7" s="55"/>
      <c r="EI7" s="55"/>
      <c r="EJ7" s="55"/>
      <c r="EK7" s="55"/>
      <c r="EL7" s="39" t="s">
        <v>76</v>
      </c>
      <c r="EM7" s="55"/>
      <c r="EN7" s="55"/>
      <c r="EO7" s="55"/>
      <c r="EP7" s="55">
        <v>1212000.0</v>
      </c>
      <c r="EQ7" s="55"/>
      <c r="ER7" s="55"/>
      <c r="ES7" s="55"/>
      <c r="ET7" s="55"/>
      <c r="EU7" s="55"/>
      <c r="EV7" s="39" t="s">
        <v>76</v>
      </c>
      <c r="EW7" s="55"/>
      <c r="EX7" s="69"/>
      <c r="EY7" s="38"/>
      <c r="EZ7" s="38"/>
      <c r="FA7" s="38"/>
      <c r="FB7" s="38"/>
      <c r="FC7" s="39"/>
      <c r="FD7" s="55"/>
      <c r="FE7" s="38"/>
      <c r="FF7" s="55"/>
      <c r="FG7" s="55"/>
      <c r="FH7" s="55"/>
    </row>
    <row r="8" ht="15.75" customHeight="1">
      <c r="A8" s="8"/>
      <c r="B8" s="8"/>
      <c r="C8" s="53"/>
      <c r="D8" s="13"/>
      <c r="E8" s="49"/>
      <c r="F8" s="49"/>
      <c r="G8" s="13"/>
      <c r="H8" s="49"/>
      <c r="I8" s="8"/>
      <c r="J8" s="8"/>
      <c r="K8" s="8"/>
      <c r="L8" s="8"/>
      <c r="M8" s="8"/>
      <c r="N8" s="8"/>
      <c r="O8" s="8"/>
      <c r="S8" s="49"/>
      <c r="U8" s="53"/>
      <c r="W8" s="53"/>
      <c r="AP8" s="53"/>
    </row>
    <row r="9" ht="15.75" customHeight="1">
      <c r="A9" s="38"/>
      <c r="B9" s="38"/>
      <c r="C9" s="38"/>
      <c r="D9" s="60"/>
      <c r="E9" s="38"/>
      <c r="F9" s="38"/>
      <c r="G9" s="60"/>
      <c r="H9" s="38"/>
      <c r="I9" s="52"/>
      <c r="J9" s="52"/>
      <c r="K9" s="56"/>
      <c r="L9" s="56"/>
      <c r="M9" s="56"/>
      <c r="N9" s="56"/>
      <c r="O9" s="38"/>
      <c r="P9" s="52"/>
      <c r="Q9" s="56"/>
      <c r="R9" s="38"/>
      <c r="S9" s="38"/>
      <c r="T9" s="38"/>
      <c r="U9" s="38"/>
      <c r="V9" s="38"/>
      <c r="W9" s="38"/>
      <c r="X9" s="52"/>
      <c r="Y9" s="52"/>
      <c r="Z9" s="38"/>
      <c r="AA9" s="38"/>
      <c r="AB9" s="52"/>
      <c r="AC9" s="52"/>
      <c r="AD9" s="56"/>
      <c r="AE9" s="56"/>
      <c r="AF9" s="56"/>
      <c r="AG9" s="56"/>
      <c r="AH9" s="56"/>
      <c r="AI9" s="56"/>
      <c r="AJ9" s="56"/>
      <c r="AK9" s="56"/>
      <c r="AL9" s="52"/>
      <c r="AM9" s="52"/>
      <c r="AN9" s="38"/>
      <c r="AO9" s="38"/>
      <c r="AP9" s="38"/>
      <c r="AQ9" s="38"/>
      <c r="AR9" s="52"/>
      <c r="AS9" s="52"/>
      <c r="AT9" s="38"/>
      <c r="AU9" s="38"/>
      <c r="AV9" s="52"/>
      <c r="AW9" s="56"/>
      <c r="AX9" s="52"/>
      <c r="AY9" s="52"/>
      <c r="AZ9" s="52"/>
      <c r="BA9" s="52"/>
      <c r="BB9" s="68"/>
      <c r="BC9" s="52"/>
      <c r="BD9" s="56"/>
      <c r="BE9" s="38"/>
      <c r="BF9" s="38"/>
      <c r="BG9" s="38"/>
      <c r="BH9" s="38"/>
      <c r="BI9" s="38"/>
      <c r="BJ9" s="52"/>
      <c r="BK9" s="52"/>
      <c r="BL9" s="52"/>
      <c r="BM9" s="52"/>
      <c r="BN9" s="68"/>
      <c r="BO9" s="56"/>
      <c r="BP9" s="52"/>
      <c r="BQ9" s="38"/>
      <c r="BR9" s="38"/>
      <c r="BS9" s="52"/>
      <c r="BT9" s="56"/>
      <c r="BU9" s="38"/>
      <c r="BV9" s="90"/>
      <c r="BW9" s="52"/>
      <c r="BX9" s="56"/>
      <c r="BY9" s="52"/>
      <c r="BZ9" s="52"/>
      <c r="CA9" s="52"/>
      <c r="CB9" s="91"/>
      <c r="CC9" s="52"/>
      <c r="CD9" s="56"/>
      <c r="CE9" s="52"/>
      <c r="CF9" s="52"/>
      <c r="CG9" s="56"/>
      <c r="CH9" s="52"/>
      <c r="CI9" s="56"/>
      <c r="CJ9" s="52"/>
      <c r="CK9" s="92"/>
      <c r="CL9" s="38"/>
      <c r="CM9" s="38"/>
      <c r="CN9" s="38"/>
      <c r="CO9" s="38"/>
      <c r="CP9" s="93"/>
      <c r="CQ9" s="47"/>
      <c r="CR9" s="91"/>
      <c r="CS9" s="52"/>
      <c r="CT9" s="38"/>
      <c r="CU9" s="38"/>
      <c r="CV9" s="38"/>
      <c r="CW9" s="38"/>
      <c r="CX9" s="38"/>
      <c r="CY9" s="38"/>
      <c r="CZ9" s="38"/>
      <c r="DA9" s="56"/>
      <c r="DB9" s="52"/>
      <c r="DC9" s="90"/>
      <c r="DD9" s="56"/>
      <c r="DE9" s="52"/>
      <c r="DF9" s="56"/>
      <c r="DG9" s="52"/>
      <c r="DH9" s="52"/>
      <c r="DI9" s="52"/>
      <c r="DJ9" s="38"/>
      <c r="DK9" s="52"/>
      <c r="DL9" s="52"/>
      <c r="DM9" s="52"/>
      <c r="DN9" s="52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52"/>
      <c r="EG9" s="56"/>
      <c r="EH9" s="56"/>
      <c r="EI9" s="56"/>
      <c r="EJ9" s="56"/>
      <c r="EK9" s="56"/>
      <c r="EL9" s="38"/>
      <c r="EM9" s="56"/>
      <c r="EN9" s="56"/>
      <c r="EO9" s="52"/>
      <c r="EP9" s="38"/>
      <c r="EQ9" s="56"/>
      <c r="ER9" s="56"/>
      <c r="ES9" s="56"/>
      <c r="ET9" s="56"/>
      <c r="EU9" s="52"/>
      <c r="EV9" s="38"/>
      <c r="EW9" s="56"/>
      <c r="EX9" s="94"/>
      <c r="EY9" s="38"/>
      <c r="EZ9" s="38"/>
      <c r="FA9" s="38"/>
      <c r="FB9" s="38"/>
      <c r="FC9" s="38"/>
      <c r="FD9" s="52"/>
      <c r="FE9" s="52"/>
      <c r="FF9" s="52"/>
      <c r="FG9" s="56"/>
      <c r="FH9" s="38"/>
      <c r="FI9" s="38"/>
      <c r="FJ9" s="38"/>
      <c r="FK9" s="38"/>
      <c r="FL9" s="38"/>
      <c r="FM9" s="38"/>
      <c r="FN9" s="38"/>
      <c r="FO9" s="38"/>
      <c r="FP9" s="38"/>
      <c r="FQ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</row>
    <row r="11" ht="15.75" customHeight="1">
      <c r="A11" s="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9"/>
      <c r="FB11" s="79"/>
      <c r="FC11" s="79"/>
      <c r="FD11" s="79"/>
      <c r="FE11" s="79"/>
      <c r="FF11" s="79"/>
    </row>
    <row r="12" ht="15.75" customHeight="1">
      <c r="A12" s="8"/>
      <c r="B12" s="85"/>
      <c r="C12" s="83"/>
      <c r="D12" s="84"/>
      <c r="E12" s="83"/>
      <c r="F12" s="84"/>
      <c r="G12" s="84"/>
      <c r="H12" s="83"/>
      <c r="I12" s="83"/>
      <c r="J12" s="83"/>
      <c r="K12" s="83"/>
      <c r="L12" s="84"/>
      <c r="M12" s="84"/>
      <c r="N12" s="95"/>
      <c r="O12" s="84"/>
      <c r="P12" s="95"/>
      <c r="Q12" s="83"/>
      <c r="R12" s="84"/>
      <c r="S12" s="95"/>
      <c r="T12" s="84"/>
      <c r="U12" s="83"/>
      <c r="V12" s="83"/>
      <c r="W12" s="83"/>
      <c r="X12" s="83"/>
      <c r="Y12" s="83"/>
      <c r="Z12" s="83"/>
      <c r="AA12" s="84"/>
      <c r="AB12" s="81"/>
      <c r="AC12" s="81"/>
      <c r="AD12" s="84"/>
      <c r="AE12" s="84"/>
      <c r="AF12" s="84"/>
      <c r="AG12" s="84"/>
      <c r="AH12" s="84"/>
      <c r="AI12" s="84"/>
      <c r="AJ12" s="84"/>
      <c r="AK12" s="84"/>
      <c r="AL12" s="84"/>
      <c r="AM12" s="95"/>
      <c r="AN12" s="84"/>
      <c r="AO12" s="84"/>
      <c r="AP12" s="81"/>
      <c r="AQ12" s="83"/>
      <c r="AR12" s="83"/>
      <c r="AS12" s="84"/>
      <c r="AT12" s="84"/>
      <c r="AU12" s="83"/>
      <c r="AV12" s="83"/>
      <c r="AW12" s="84"/>
      <c r="AX12" s="95"/>
      <c r="AY12" s="84"/>
      <c r="AZ12" s="84"/>
      <c r="BA12" s="84"/>
      <c r="BB12" s="84"/>
      <c r="BC12" s="82"/>
      <c r="BD12" s="84"/>
      <c r="BE12" s="95"/>
      <c r="BF12" s="83"/>
      <c r="BG12" s="83"/>
      <c r="BH12" s="83"/>
      <c r="BI12" s="83"/>
      <c r="BJ12" s="83"/>
      <c r="BK12" s="84"/>
      <c r="BL12" s="84"/>
      <c r="BM12" s="84"/>
      <c r="BN12" s="84"/>
      <c r="BO12" s="82"/>
      <c r="BP12" s="95"/>
      <c r="BQ12" s="84"/>
      <c r="BR12" s="83"/>
      <c r="BS12" s="83"/>
      <c r="BT12" s="84"/>
      <c r="BU12" s="84"/>
      <c r="BV12" s="83"/>
      <c r="BW12" s="84"/>
      <c r="BX12" s="84"/>
      <c r="BY12" s="84"/>
      <c r="BZ12" s="84"/>
      <c r="CA12" s="84"/>
      <c r="CB12" s="84"/>
      <c r="CC12" s="84"/>
      <c r="CD12" s="85"/>
      <c r="CE12" s="84"/>
      <c r="CF12" s="95"/>
      <c r="CG12" s="84"/>
      <c r="CH12" s="84"/>
      <c r="CI12" s="95"/>
      <c r="CJ12" s="84"/>
      <c r="CK12" s="84"/>
      <c r="CL12" s="84"/>
      <c r="CM12" s="83"/>
      <c r="CN12" s="81"/>
      <c r="CO12" s="81"/>
      <c r="CP12" s="83"/>
      <c r="CQ12" s="83"/>
      <c r="CR12" s="83"/>
      <c r="CS12" s="83"/>
      <c r="CT12" s="85"/>
      <c r="CU12" s="84"/>
      <c r="CV12" s="81"/>
      <c r="CW12" s="81"/>
      <c r="CX12" s="81"/>
      <c r="CY12" s="81"/>
      <c r="CZ12" s="81"/>
      <c r="DA12" s="81"/>
      <c r="DB12" s="81"/>
      <c r="DC12" s="83"/>
      <c r="DD12" s="83"/>
      <c r="DE12" s="84"/>
      <c r="DF12" s="84"/>
      <c r="DG12" s="84"/>
      <c r="DH12" s="82"/>
      <c r="DI12" s="84"/>
      <c r="DJ12" s="84"/>
      <c r="DK12" s="84"/>
      <c r="DL12" s="84"/>
      <c r="DM12" s="84"/>
      <c r="DN12" s="84"/>
      <c r="DO12" s="83"/>
      <c r="DP12" s="84"/>
      <c r="DQ12" s="84"/>
      <c r="DR12" s="84"/>
      <c r="DS12" s="84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4"/>
      <c r="EL12" s="84"/>
      <c r="EM12" s="84"/>
      <c r="EN12" s="84"/>
      <c r="EO12" s="84"/>
      <c r="EP12" s="84"/>
      <c r="EQ12" s="83"/>
      <c r="ER12" s="84"/>
      <c r="ES12" s="84"/>
      <c r="ET12" s="84"/>
      <c r="EU12" s="84"/>
      <c r="EV12" s="84"/>
      <c r="EW12" s="84"/>
      <c r="EX12" s="95"/>
      <c r="EY12" s="84"/>
      <c r="EZ12" s="84"/>
      <c r="FA12" s="83"/>
      <c r="FB12" s="95"/>
      <c r="FC12" s="83"/>
      <c r="FD12" s="84"/>
      <c r="FE12" s="84"/>
      <c r="FF12" s="84"/>
    </row>
    <row r="13" ht="15.75" customHeight="1">
      <c r="A13" s="8"/>
      <c r="B13" s="86"/>
      <c r="C13" s="83"/>
      <c r="D13" s="95"/>
      <c r="E13" s="83"/>
      <c r="F13" s="84"/>
      <c r="G13" s="84"/>
      <c r="H13" s="83"/>
      <c r="I13" s="83"/>
      <c r="J13" s="83"/>
      <c r="K13" s="83"/>
      <c r="L13" s="84"/>
      <c r="M13" s="84"/>
      <c r="N13" s="95"/>
      <c r="O13" s="84"/>
      <c r="P13" s="95"/>
      <c r="Q13" s="83"/>
      <c r="R13" s="84"/>
      <c r="S13" s="95"/>
      <c r="T13" s="84"/>
      <c r="U13" s="83"/>
      <c r="V13" s="83"/>
      <c r="W13" s="83"/>
      <c r="X13" s="83"/>
      <c r="Y13" s="83"/>
      <c r="Z13" s="83"/>
      <c r="AA13" s="84"/>
      <c r="AB13" s="81"/>
      <c r="AC13" s="81"/>
      <c r="AD13" s="84"/>
      <c r="AE13" s="84"/>
      <c r="AF13" s="84"/>
      <c r="AG13" s="84"/>
      <c r="AH13" s="95"/>
      <c r="AI13" s="84"/>
      <c r="AJ13" s="84"/>
      <c r="AK13" s="84"/>
      <c r="AL13" s="84"/>
      <c r="AM13" s="95"/>
      <c r="AN13" s="84"/>
      <c r="AO13" s="84"/>
      <c r="AP13" s="81"/>
      <c r="AQ13" s="83"/>
      <c r="AR13" s="83"/>
      <c r="AS13" s="84"/>
      <c r="AT13" s="84"/>
      <c r="AU13" s="81"/>
      <c r="AV13" s="81"/>
      <c r="AW13" s="84"/>
      <c r="AX13" s="95"/>
      <c r="AY13" s="84"/>
      <c r="AZ13" s="84"/>
      <c r="BA13" s="84"/>
      <c r="BB13" s="84"/>
      <c r="BC13" s="82"/>
      <c r="BD13" s="84"/>
      <c r="BE13" s="84"/>
      <c r="BF13" s="83"/>
      <c r="BG13" s="83"/>
      <c r="BH13" s="83"/>
      <c r="BI13" s="83"/>
      <c r="BJ13" s="83"/>
      <c r="BK13" s="84"/>
      <c r="BL13" s="84"/>
      <c r="BM13" s="84"/>
      <c r="BN13" s="84"/>
      <c r="BO13" s="82"/>
      <c r="BP13" s="84"/>
      <c r="BQ13" s="84"/>
      <c r="BR13" s="83"/>
      <c r="BS13" s="83"/>
      <c r="BT13" s="84"/>
      <c r="BU13" s="84"/>
      <c r="BV13" s="83"/>
      <c r="BW13" s="84"/>
      <c r="BX13" s="84"/>
      <c r="BY13" s="84"/>
      <c r="BZ13" s="84"/>
      <c r="CA13" s="84"/>
      <c r="CB13" s="84"/>
      <c r="CC13" s="84"/>
      <c r="CD13" s="86"/>
      <c r="CE13" s="84"/>
      <c r="CF13" s="95"/>
      <c r="CG13" s="84"/>
      <c r="CH13" s="84"/>
      <c r="CI13" s="95"/>
      <c r="CJ13" s="84"/>
      <c r="CK13" s="84"/>
      <c r="CL13" s="84"/>
      <c r="CM13" s="83"/>
      <c r="CN13" s="81"/>
      <c r="CO13" s="81"/>
      <c r="CP13" s="83"/>
      <c r="CQ13" s="83"/>
      <c r="CR13" s="83"/>
      <c r="CS13" s="83"/>
      <c r="CT13" s="86"/>
      <c r="CU13" s="84"/>
      <c r="CV13" s="81"/>
      <c r="CW13" s="81"/>
      <c r="CX13" s="81"/>
      <c r="CY13" s="81"/>
      <c r="CZ13" s="81"/>
      <c r="DA13" s="81"/>
      <c r="DB13" s="81"/>
      <c r="DC13" s="83"/>
      <c r="DD13" s="83"/>
      <c r="DE13" s="84"/>
      <c r="DF13" s="84"/>
      <c r="DG13" s="84"/>
      <c r="DH13" s="82"/>
      <c r="DI13" s="95"/>
      <c r="DJ13" s="84"/>
      <c r="DK13" s="84"/>
      <c r="DL13" s="84"/>
      <c r="DM13" s="84"/>
      <c r="DN13" s="84"/>
      <c r="DO13" s="83"/>
      <c r="DP13" s="95"/>
      <c r="DQ13" s="95"/>
      <c r="DR13" s="84"/>
      <c r="DS13" s="84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4"/>
      <c r="EL13" s="84"/>
      <c r="EM13" s="84"/>
      <c r="EN13" s="84"/>
      <c r="EO13" s="84"/>
      <c r="EP13" s="84"/>
      <c r="EQ13" s="83"/>
      <c r="ER13" s="84"/>
      <c r="ES13" s="84"/>
      <c r="ET13" s="84"/>
      <c r="EU13" s="84"/>
      <c r="EV13" s="84"/>
      <c r="EW13" s="84"/>
      <c r="EX13" s="95"/>
      <c r="EY13" s="84"/>
      <c r="EZ13" s="84"/>
      <c r="FA13" s="83"/>
      <c r="FB13" s="84"/>
      <c r="FC13" s="83"/>
      <c r="FD13" s="84"/>
      <c r="FE13" s="84"/>
      <c r="FF13" s="8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