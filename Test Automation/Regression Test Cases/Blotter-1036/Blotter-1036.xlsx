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ApplyFilterOnBlotter" sheetId="5" r:id="rId8"/>
    <sheet state="visible" name="ApplyFilterOnBlotter2" sheetId="6" r:id="rId9"/>
    <sheet state="visible" name="TradeNewSubOrder" sheetId="7" r:id="rId10"/>
    <sheet state="visible" name="CustomOrderTT1" sheetId="8" r:id="rId11"/>
    <sheet state="visible" name="VerifyOrder" sheetId="9" r:id="rId12"/>
  </sheets>
  <definedNames/>
  <calcPr/>
  <extLst>
    <ext uri="GoogleSheetsCustomDataVersion2">
      <go:sheetsCustomData xmlns:go="http://customooxmlschemas.google.com/" r:id="rId13" roundtripDataChecksum="ZEQExpp8AacV9EIRAlTLlM017Eqc2pwrAnisOBXKZ+s="/>
    </ext>
  </extLst>
</workbook>
</file>

<file path=xl/sharedStrings.xml><?xml version="1.0" encoding="utf-8"?>
<sst xmlns="http://schemas.openxmlformats.org/spreadsheetml/2006/main" count="139" uniqueCount="93">
  <si>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</si>
  <si>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</si>
  <si>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</si>
  <si>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</si>
  <si>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</si>
  <si>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</si>
  <si>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</si>
  <si>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</si>
  <si>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</si>
  <si>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</si>
  <si>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</si>
  <si>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</si>
  <si>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</si>
  <si>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</si>
  <si>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</si>
  <si>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</si>
  <si>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</si>
  <si>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</si>
  <si>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Allocation1</t>
  </si>
  <si>
    <t>Buy</t>
  </si>
  <si>
    <t>MSFT</t>
  </si>
  <si>
    <t>Allocation2</t>
  </si>
  <si>
    <t>GOOG</t>
  </si>
  <si>
    <t>Allocation3</t>
  </si>
  <si>
    <t>Blotter</t>
  </si>
  <si>
    <t>ApplyFilterOnBlotter</t>
  </si>
  <si>
    <t>Orders</t>
  </si>
  <si>
    <t>Apply</t>
  </si>
  <si>
    <t>Symbol</t>
  </si>
  <si>
    <t>Account</t>
  </si>
  <si>
    <t>TradeNewSubOrder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</si>
  <si>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</si>
  <si>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</si>
  <si>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</si>
  <si>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</si>
  <si>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</si>
  <si>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</si>
  <si>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</si>
  <si>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</si>
  <si>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</si>
  <si>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</si>
  <si>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</si>
  <si>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</si>
  <si>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</si>
  <si>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</si>
  <si>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</si>
  <si>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</si>
  <si>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</si>
  <si>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</si>
  <si>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</si>
  <si>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</si>
  <si>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</si>
  <si>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</si>
  <si>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</si>
  <si>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</si>
  <si>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</si>
  <si>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</si>
  <si>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</si>
  <si>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</si>
  <si>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</si>
  <si>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</si>
  <si>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</si>
  <si>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</si>
  <si>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</si>
  <si>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</si>
  <si>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</si>
  <si>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</si>
  <si>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</si>
  <si>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</si>
  <si>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</si>
  <si>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</si>
  <si>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</si>
  <si>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</si>
  <si>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</si>
  <si>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</si>
  <si>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</si>
  <si>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</si>
  <si>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</si>
  <si>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</si>
  <si>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DoneAway</t>
  </si>
  <si>
    <t>VerifyOrder</t>
  </si>
  <si>
    <t>AAPL US EQUITY</t>
  </si>
  <si>
    <t>NASDAQ</t>
  </si>
  <si>
    <t>Samsara</t>
  </si>
  <si>
    <t>US</t>
  </si>
  <si>
    <t>USD</t>
  </si>
  <si>
    <t>NewMF</t>
  </si>
  <si>
    <t>M</t>
  </si>
  <si>
    <t>Equity</t>
  </si>
  <si>
    <t>Filled</t>
  </si>
  <si>
    <t>MS</t>
  </si>
  <si>
    <t>Market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</si>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</sst>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Font="1"/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5" numFmtId="0" xfId="0" applyAlignment="1" applyFont="1">
      <alignment readingOrder="0" shrinkToFit="0" wrapText="0"/>
    </xf>
    <xf borderId="3" fillId="3" fontId="9" numFmtId="0" xfId="0" applyAlignment="1" applyBorder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16</v>
      </c>
      <c r="C6" s="6">
        <v>1000.0</v>
      </c>
      <c r="D6" s="6">
        <v>10.0</v>
      </c>
      <c r="E6" s="24" t="s">
        <v>17</v>
      </c>
      <c r="F6" s="6"/>
      <c r="G6" s="6"/>
      <c r="H6" s="6"/>
      <c r="I6" s="24" t="s">
        <v>18</v>
      </c>
      <c r="J6" s="6" t="s">
        <v>19</v>
      </c>
      <c r="K6" s="6"/>
      <c r="L6" s="6"/>
      <c r="M6" s="6"/>
      <c r="N6" s="6"/>
      <c r="O6" s="6"/>
      <c r="AY6" s="8"/>
    </row>
    <row r="7" ht="15.75" customHeight="1">
      <c r="A7" s="6"/>
      <c r="B7" s="6" t="s">
        <v>20</v>
      </c>
      <c r="C7" s="6">
        <v>1000.0</v>
      </c>
      <c r="D7" s="6">
        <v>10.0</v>
      </c>
      <c r="E7" s="24" t="s">
        <v>17</v>
      </c>
      <c r="F7" s="6"/>
      <c r="G7" s="6"/>
      <c r="H7" s="6"/>
      <c r="I7" s="24" t="s">
        <v>21</v>
      </c>
      <c r="J7" s="6" t="s">
        <v>19</v>
      </c>
      <c r="K7" s="6"/>
      <c r="L7" s="6"/>
      <c r="M7" s="6"/>
      <c r="N7" s="6"/>
      <c r="O7" s="6"/>
      <c r="AY7" s="8"/>
    </row>
    <row r="8" ht="15.75" customHeight="1">
      <c r="A8" s="6"/>
      <c r="B8" s="6" t="s">
        <v>22</v>
      </c>
      <c r="C8" s="6">
        <v>1000.0</v>
      </c>
      <c r="D8" s="6">
        <v>10.0</v>
      </c>
      <c r="E8" s="24" t="s">
        <v>17</v>
      </c>
      <c r="F8" s="6"/>
      <c r="G8" s="6"/>
      <c r="H8" s="6"/>
      <c r="I8" s="24" t="s">
        <v>23</v>
      </c>
      <c r="J8" s="6" t="s">
        <v>19</v>
      </c>
      <c r="K8" s="6"/>
      <c r="L8" s="6"/>
      <c r="M8" s="6"/>
      <c r="N8" s="6"/>
      <c r="O8" s="6"/>
      <c r="AY8" s="8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24</v>
      </c>
      <c r="D3" s="4" t="s">
        <v>9</v>
      </c>
      <c r="E3" s="11" t="s">
        <v>25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 t="str">
        <f>IFERROR(__xludf.DUMMYFUNCTION("""COMPUTED_VALUE"""),"EditCloneButton")</f>
        <v>EditCloneButton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IFERROR(__xludf.DUMMYFUNCTION("""COMPUTED_VALUE"""),"GridType")</f>
        <v>GridType</v>
      </c>
      <c r="C5" s="22" t="str">
        <f>IFERROR(__xludf.DUMMYFUNCTION("""COMPUTED_VALUE"""),"Action")</f>
        <v>Action</v>
      </c>
      <c r="D5" s="22" t="str">
        <f>IFERROR(__xludf.DUMMYFUNCTION("""COMPUTED_VALUE"""),"ColmnFilter")</f>
        <v>ColmnFilter</v>
      </c>
      <c r="E5" s="22" t="str">
        <f>IFERROR(__xludf.DUMMYFUNCTION("""COMPUTED_VALUE"""),"Values")</f>
        <v>Values</v>
      </c>
      <c r="F5" s="22" t="str">
        <f>IFERROR(__xludf.DUMMYFUNCTION("""COMPUTED_VALUE"""),"Verify")</f>
        <v>Verify</v>
      </c>
      <c r="G5" s="22" t="str">
        <f>IFERROR(__xludf.DUMMYFUNCTION("""COMPUTED_VALUE"""),"Transaction date")</f>
        <v>Transaction date</v>
      </c>
      <c r="H5" s="22" t="str">
        <f>IFERROR(__xludf.DUMMYFUNCTION("""COMPUTED_VALUE"""),"EnableFilterIcon")</f>
        <v>EnableFilterIcon</v>
      </c>
      <c r="I5" s="22" t="str">
        <f>IFERROR(__xludf.DUMMYFUNCTION("""COMPUTED_VALUE"""),"TabName")</f>
        <v>TabName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</row>
    <row r="6" ht="15.75" customHeight="1">
      <c r="A6" s="6"/>
      <c r="B6" s="6" t="s">
        <v>26</v>
      </c>
      <c r="C6" s="6" t="s">
        <v>27</v>
      </c>
      <c r="D6" s="24" t="s">
        <v>28</v>
      </c>
      <c r="E6" s="24" t="s">
        <v>16</v>
      </c>
      <c r="F6" s="6"/>
      <c r="G6" s="6"/>
      <c r="H6" s="6"/>
      <c r="I6" s="6" t="s">
        <v>26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ApplyFilterOnBlotter!$4:$4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24</v>
      </c>
      <c r="D3" s="4" t="s">
        <v>9</v>
      </c>
      <c r="E3" s="11" t="s">
        <v>25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 t="str">
        <f>IFERROR(__xludf.DUMMYFUNCTION("""COMPUTED_VALUE"""),"EditCloneButton")</f>
        <v>EditCloneButton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IFERROR(__xludf.DUMMYFUNCTION("""COMPUTED_VALUE"""),"GridType")</f>
        <v>GridType</v>
      </c>
      <c r="C5" s="22" t="str">
        <f>IFERROR(__xludf.DUMMYFUNCTION("""COMPUTED_VALUE"""),"Action")</f>
        <v>Action</v>
      </c>
      <c r="D5" s="22" t="str">
        <f>IFERROR(__xludf.DUMMYFUNCTION("""COMPUTED_VALUE"""),"ColmnFilter")</f>
        <v>ColmnFilter</v>
      </c>
      <c r="E5" s="22" t="str">
        <f>IFERROR(__xludf.DUMMYFUNCTION("""COMPUTED_VALUE"""),"Values")</f>
        <v>Values</v>
      </c>
      <c r="F5" s="22" t="str">
        <f>IFERROR(__xludf.DUMMYFUNCTION("""COMPUTED_VALUE"""),"Verify")</f>
        <v>Verify</v>
      </c>
      <c r="G5" s="22" t="str">
        <f>IFERROR(__xludf.DUMMYFUNCTION("""COMPUTED_VALUE"""),"Transaction date")</f>
        <v>Transaction date</v>
      </c>
      <c r="H5" s="22" t="str">
        <f>IFERROR(__xludf.DUMMYFUNCTION("""COMPUTED_VALUE"""),"EnableFilterIcon")</f>
        <v>EnableFilterIcon</v>
      </c>
      <c r="I5" s="22" t="str">
        <f>IFERROR(__xludf.DUMMYFUNCTION("""COMPUTED_VALUE"""),"TabName")</f>
        <v>TabName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</row>
    <row r="6" ht="15.75" customHeight="1">
      <c r="A6" s="6"/>
      <c r="B6" s="6" t="s">
        <v>26</v>
      </c>
      <c r="C6" s="6" t="s">
        <v>27</v>
      </c>
      <c r="D6" s="24" t="s">
        <v>29</v>
      </c>
      <c r="E6" s="24" t="s">
        <v>18</v>
      </c>
      <c r="F6" s="6"/>
      <c r="G6" s="6"/>
      <c r="H6" s="6"/>
      <c r="I6" s="6" t="s">
        <v>26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ApplyFilterOnBlotter2!$4:$4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24</v>
      </c>
      <c r="D3" s="4" t="s">
        <v>9</v>
      </c>
      <c r="E3" s="25" t="s">
        <v>30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 t="str">
        <f>IFERROR(__xludf.DUMMYFUNCTION("""COMPUTED_VALUE"""),"EditCloneButton")</f>
        <v>EditCloneButton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IFERROR(__xludf.DUMMYFUNCTION("""COMPUTED_VALUE"""),"User")</f>
        <v>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1")</f>
        <v>Trade Attribute 1</v>
      </c>
      <c r="R5" s="22" t="str">
        <f>IFERROR(__xludf.DUMMYFUNCTION("""COMPUTED_VALUE"""),"Trade Attribute 2")</f>
        <v>Trade Attribute 2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IFERROR(__xludf.DUMMYFUNCTION("""COMPUTED_VALUE"""),"Target Qty")</f>
        <v>Target Qty</v>
      </c>
      <c r="AM5" s="23" t="str">
        <f>IFERROR(__xludf.DUMMYFUNCTION("""COMPUTED_VALUE"""),"Total Executed Qty")</f>
        <v>Total Executed Qty</v>
      </c>
      <c r="AN5" s="23" t="str">
        <f>IFERROR(__xludf.DUMMYFUNCTION("""COMPUTED_VALUE"""),"% Executed")</f>
        <v>% Executed</v>
      </c>
      <c r="AO5" s="23" t="str">
        <f>IFERROR(__xludf.DUMMYFUNCTION("""COMPUTED_VALUE"""),"Day Executed Qty")</f>
        <v>Day Executed Qty</v>
      </c>
      <c r="AP5" s="23" t="str">
        <f>IFERROR(__xludf.DUMMYFUNCTION("""COMPUTED_VALUE"""),"Uncommitted Qty")</f>
        <v>Uncommitted Qty</v>
      </c>
      <c r="AQ5" s="23" t="str">
        <f>IFERROR(__xludf.DUMMYFUNCTION("""COMPUTED_VALUE"""),"Last Fill Price (Local)")</f>
        <v>Last Fill Price (Local)</v>
      </c>
      <c r="AR5" s="23" t="str">
        <f>IFERROR(__xludf.DUMMYFUNCTION("""COMPUTED_VALUE"""),"Avg Fill Price (Local)")</f>
        <v>Avg Fill Price (Local)</v>
      </c>
      <c r="AS5" s="23" t="str">
        <f>IFERROR(__xludf.DUMMYFUNCTION("""COMPUTED_VALUE"""),"Broker")</f>
        <v>Broker</v>
      </c>
      <c r="AT5" s="23" t="str">
        <f>IFERROR(__xludf.DUMMYFUNCTION("""COMPUTED_VALUE"""),"Account")</f>
        <v>Account</v>
      </c>
      <c r="AU5" s="23" t="str">
        <f>IFERROR(__xludf.DUMMYFUNCTION("""COMPUTED_VALUE"""),"Order Type")</f>
        <v>Order Type</v>
      </c>
      <c r="AV5" s="23" t="str">
        <f>IFERROR(__xludf.DUMMYFUNCTION("""COMPUTED_VALUE"""),"Principal Amount (Local)")</f>
        <v>Principal Amount (Local)</v>
      </c>
      <c r="AW5" s="23" t="str">
        <f>IFERROR(__xludf.DUMMYFUNCTION("""COMPUTED_VALUE"""),"Principal Amount (Base)")</f>
        <v>Principal Amount (Base)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IFERROR(__xludf.DUMMYFUNCTION("""COMPUTED_VALUE"""),"Status (With Rollover)")</f>
        <v>Status (With Rollover)</v>
      </c>
      <c r="AZ5" s="23" t="str">
        <f>IFERROR(__xludf.DUMMYFUNCTION("""COMPUTED_VALUE"""),"Start of Day Qty")</f>
        <v>Start of Day Qty</v>
      </c>
      <c r="BA5" s="23" t="str">
        <f>IFERROR(__xludf.DUMMYFUNCTION("""COMPUTED_VALUE"""),"Leaves")</f>
        <v>Leaves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</row>
    <row r="6" ht="15.75" customHeight="1">
      <c r="A6" s="26"/>
      <c r="B6" s="27"/>
      <c r="C6" s="27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8" t="s">
        <v>16</v>
      </c>
      <c r="AJ6" s="28" t="s">
        <v>19</v>
      </c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8"/>
      <c r="B5" s="8" t="s">
        <v>28</v>
      </c>
      <c r="C5" s="8" t="s">
        <v>31</v>
      </c>
      <c r="D5" s="8" t="s">
        <v>32</v>
      </c>
      <c r="E5" s="8" t="s">
        <v>33</v>
      </c>
      <c r="F5" s="8" t="s">
        <v>34</v>
      </c>
      <c r="G5" s="8" t="s">
        <v>35</v>
      </c>
      <c r="H5" s="8" t="s">
        <v>36</v>
      </c>
      <c r="I5" s="8" t="s">
        <v>37</v>
      </c>
      <c r="J5" s="8" t="s">
        <v>38</v>
      </c>
      <c r="K5" s="8" t="s">
        <v>39</v>
      </c>
      <c r="L5" s="8" t="s">
        <v>40</v>
      </c>
      <c r="M5" s="8" t="s">
        <v>41</v>
      </c>
      <c r="N5" s="8" t="s">
        <v>42</v>
      </c>
      <c r="O5" s="8" t="s">
        <v>43</v>
      </c>
      <c r="P5" s="8" t="s">
        <v>29</v>
      </c>
      <c r="Q5" s="8" t="s">
        <v>44</v>
      </c>
      <c r="R5" s="8" t="s">
        <v>45</v>
      </c>
      <c r="S5" s="8" t="s">
        <v>46</v>
      </c>
      <c r="T5" s="8" t="s">
        <v>47</v>
      </c>
      <c r="U5" s="8" t="s">
        <v>48</v>
      </c>
      <c r="V5" s="8" t="s">
        <v>49</v>
      </c>
      <c r="W5" s="8" t="s">
        <v>50</v>
      </c>
      <c r="X5" s="8" t="s">
        <v>51</v>
      </c>
      <c r="Y5" s="8" t="s">
        <v>52</v>
      </c>
      <c r="Z5" s="8" t="s">
        <v>53</v>
      </c>
      <c r="AA5" s="8" t="s">
        <v>54</v>
      </c>
      <c r="AB5" s="8" t="s">
        <v>55</v>
      </c>
      <c r="AC5" s="8" t="s">
        <v>56</v>
      </c>
      <c r="AD5" s="8" t="s">
        <v>57</v>
      </c>
      <c r="AE5" s="8" t="s">
        <v>58</v>
      </c>
      <c r="AF5" s="8" t="s">
        <v>59</v>
      </c>
      <c r="AG5" s="8" t="s">
        <v>60</v>
      </c>
      <c r="AH5" s="8" t="s">
        <v>61</v>
      </c>
      <c r="AI5" s="8" t="s">
        <v>62</v>
      </c>
      <c r="AJ5" s="8" t="s">
        <v>63</v>
      </c>
      <c r="AK5" s="8" t="s">
        <v>64</v>
      </c>
      <c r="AL5" s="8" t="s">
        <v>65</v>
      </c>
      <c r="AM5" s="8" t="s">
        <v>66</v>
      </c>
      <c r="AN5" s="8" t="s">
        <v>67</v>
      </c>
      <c r="AO5" s="8" t="s">
        <v>68</v>
      </c>
      <c r="AP5" s="8" t="s">
        <v>69</v>
      </c>
      <c r="AQ5" s="8" t="s">
        <v>70</v>
      </c>
      <c r="AR5" s="8" t="s">
        <v>71</v>
      </c>
      <c r="AS5" s="8" t="s">
        <v>72</v>
      </c>
      <c r="AT5" s="8" t="s">
        <v>73</v>
      </c>
      <c r="AU5" s="8" t="s">
        <v>74</v>
      </c>
      <c r="AV5" s="8" t="s">
        <v>75</v>
      </c>
      <c r="AW5" s="8" t="s">
        <v>76</v>
      </c>
      <c r="AX5" s="8" t="s">
        <v>77</v>
      </c>
      <c r="AY5" s="8" t="s">
        <v>78</v>
      </c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</row>
    <row r="6">
      <c r="A6" s="8"/>
      <c r="B6" s="8"/>
      <c r="C6" s="8">
        <v>1000.0</v>
      </c>
      <c r="D6" s="8">
        <v>10.0</v>
      </c>
      <c r="E6" s="8" t="s">
        <v>79</v>
      </c>
      <c r="F6" s="8"/>
      <c r="G6" s="8"/>
      <c r="H6" s="8"/>
      <c r="J6" s="8" t="s">
        <v>19</v>
      </c>
      <c r="K6" s="8"/>
      <c r="L6" s="8"/>
      <c r="M6" s="8"/>
      <c r="N6" s="8"/>
      <c r="O6" s="8"/>
      <c r="AY6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24</v>
      </c>
      <c r="D3" s="4" t="s">
        <v>9</v>
      </c>
      <c r="E3" s="25" t="s">
        <v>80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 t="str">
        <f>IFERROR(__xludf.DUMMYFUNCTION("""COMPUTED_VALUE"""),"EditCloneButton")</f>
        <v>EditCloneButton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1")</f>
        <v>Trade Attribute 1</v>
      </c>
      <c r="R5" s="22" t="str">
        <f>IFERROR(__xludf.DUMMYFUNCTION("""COMPUTED_VALUE"""),"Trade Attribute 2")</f>
        <v>Trade Attribute 2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IFERROR(__xludf.DUMMYFUNCTION("""COMPUTED_VALUE"""),"Target Qty")</f>
        <v>Target Qty</v>
      </c>
      <c r="AM5" s="23" t="str">
        <f>IFERROR(__xludf.DUMMYFUNCTION("""COMPUTED_VALUE"""),"Total Executed Qty")</f>
        <v>Total Executed Qty</v>
      </c>
      <c r="AN5" s="23" t="str">
        <f>IFERROR(__xludf.DUMMYFUNCTION("""COMPUTED_VALUE"""),"% Executed")</f>
        <v>% Executed</v>
      </c>
      <c r="AO5" s="23" t="str">
        <f>IFERROR(__xludf.DUMMYFUNCTION("""COMPUTED_VALUE"""),"Day Executed Qty")</f>
        <v>Day Executed Qty</v>
      </c>
      <c r="AP5" s="23" t="str">
        <f>IFERROR(__xludf.DUMMYFUNCTION("""COMPUTED_VALUE"""),"Uncommitted Qty")</f>
        <v>Uncommitted Qty</v>
      </c>
      <c r="AQ5" s="23" t="str">
        <f>IFERROR(__xludf.DUMMYFUNCTION("""COMPUTED_VALUE"""),"Last Fill Price (Local)")</f>
        <v>Last Fill Price (Local)</v>
      </c>
      <c r="AR5" s="23" t="str">
        <f>IFERROR(__xludf.DUMMYFUNCTION("""COMPUTED_VALUE"""),"Avg Fill Price (Local)")</f>
        <v>Avg Fill Price (Local)</v>
      </c>
      <c r="AS5" s="23" t="str">
        <f>IFERROR(__xludf.DUMMYFUNCTION("""COMPUTED_VALUE"""),"Broker")</f>
        <v>Broker</v>
      </c>
      <c r="AT5" s="23" t="str">
        <f>IFERROR(__xludf.DUMMYFUNCTION("""COMPUTED_VALUE"""),"Account")</f>
        <v>Account</v>
      </c>
      <c r="AU5" s="23" t="str">
        <f>IFERROR(__xludf.DUMMYFUNCTION("""COMPUTED_VALUE"""),"Order Type")</f>
        <v>Order Type</v>
      </c>
      <c r="AV5" s="23" t="str">
        <f>IFERROR(__xludf.DUMMYFUNCTION("""COMPUTED_VALUE"""),"Principal Amount (Local)")</f>
        <v>Principal Amount (Local)</v>
      </c>
      <c r="AW5" s="23" t="str">
        <f>IFERROR(__xludf.DUMMYFUNCTION("""COMPUTED_VALUE"""),"Principal Amount (Base)")</f>
        <v>Principal Amount (Base)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IFERROR(__xludf.DUMMYFUNCTION("""COMPUTED_VALUE"""),"Actual User")</f>
        <v>Actual User</v>
      </c>
      <c r="BB5" s="23" t="str">
        <f>IFERROR(__xludf.DUMMYFUNCTION("""COMPUTED_VALUE"""),"Testing Type")</f>
        <v>Testing Type</v>
      </c>
      <c r="BC5" s="23" t="str">
        <f>IFERROR(__xludf.DUMMYFUNCTION("""COMPUTED_VALUE"""),"Testing Column")</f>
        <v>Testing Column</v>
      </c>
      <c r="BD5" s="23" t="str">
        <f>IFERROR(__xludf.DUMMYFUNCTION("""COMPUTED_VALUE"""),"Testing Col Value")</f>
        <v>Testing Col Value</v>
      </c>
      <c r="BE5" s="23" t="str">
        <f>IFERROR(__xludf.DUMMYFUNCTION("""COMPUTED_VALUE"""),"DuplicateRow")</f>
        <v>DuplicateRow</v>
      </c>
      <c r="BF5" s="23" t="str">
        <f>IFERROR(__xludf.DUMMYFUNCTION("""COMPUTED_VALUE"""),"DuplicateCountOnUI")</f>
        <v>DuplicateCountOnUI</v>
      </c>
      <c r="BG5" s="23" t="str">
        <f>IFERROR(__xludf.DUMMYFUNCTION("""COMPUTED_VALUE"""),"Transaction Source")</f>
        <v>Transaction Source</v>
      </c>
      <c r="BH5" s="23" t="str">
        <f>IFERROR(__xludf.DUMMYFUNCTION("""COMPUTED_VALUE"""),"TIF")</f>
        <v>TIF</v>
      </c>
      <c r="BI5" s="23" t="str">
        <f>IFERROR(__xludf.DUMMYFUNCTION("""COMPUTED_VALUE"""),"ACTIV Symbol")</f>
        <v>ACTIV Symbol</v>
      </c>
      <c r="BJ5" s="23" t="str">
        <f>IFERROR(__xludf.DUMMYFUNCTION("""COMPUTED_VALUE"""),"FactSet Symbol")</f>
        <v>FactSet Symbol</v>
      </c>
      <c r="BK5" s="23" t="str">
        <f>IFERROR(__xludf.DUMMYFUNCTION("""COMPUTED_VALUE"""),"MandatoryColumn")</f>
        <v>MandatoryColumn</v>
      </c>
      <c r="BL5" s="23" t="str">
        <f>IFERROR(__xludf.DUMMYFUNCTION("""COMPUTED_VALUE"""),"Rebalancer File Name")</f>
        <v>Rebalancer File Name</v>
      </c>
      <c r="BM5" s="23" t="str">
        <f>IFERROR(__xludf.DUMMYFUNCTION("""COMPUTED_VALUE"""),"Borrower ID")</f>
        <v>Borrower ID</v>
      </c>
      <c r="BN5" s="23" t="str">
        <f>IFERROR(__xludf.DUMMYFUNCTION("""COMPUTED_VALUE"""),"Borrow Rate(%)")</f>
        <v>Borrow Rate(%)</v>
      </c>
      <c r="BO5" s="23" t="str">
        <f>IFERROR(__xludf.DUMMYFUNCTION("""COMPUTED_VALUE"""),"Borrow Broker")</f>
        <v>Borrow Broker</v>
      </c>
      <c r="BP5" s="23" t="str">
        <f>IFERROR(__xludf.DUMMYFUNCTION("""COMPUTED_VALUE"""),"Expiry Date")</f>
        <v>Expiry Date</v>
      </c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</row>
    <row r="6" ht="15.75" customHeight="1">
      <c r="A6" s="6"/>
      <c r="B6" s="6"/>
      <c r="C6" s="6"/>
      <c r="D6" s="24">
        <v>10.0</v>
      </c>
      <c r="E6" s="24" t="s">
        <v>81</v>
      </c>
      <c r="F6" s="6"/>
      <c r="G6" s="6"/>
      <c r="H6" s="24" t="s">
        <v>82</v>
      </c>
      <c r="I6" s="24" t="s">
        <v>83</v>
      </c>
      <c r="J6" s="24" t="s">
        <v>16</v>
      </c>
      <c r="K6" s="24" t="s">
        <v>84</v>
      </c>
      <c r="L6" s="6"/>
      <c r="M6" s="6"/>
      <c r="N6" s="6"/>
      <c r="O6" s="6"/>
      <c r="U6" s="29" t="s">
        <v>85</v>
      </c>
      <c r="AA6" s="29" t="s">
        <v>86</v>
      </c>
      <c r="AD6" s="29">
        <v>1.0</v>
      </c>
      <c r="AF6" s="29" t="s">
        <v>87</v>
      </c>
      <c r="AG6" s="29">
        <v>10.0</v>
      </c>
      <c r="AH6" s="29" t="s">
        <v>88</v>
      </c>
      <c r="AI6" s="29" t="s">
        <v>16</v>
      </c>
      <c r="AJ6" s="29" t="s">
        <v>19</v>
      </c>
      <c r="AK6" s="29" t="s">
        <v>89</v>
      </c>
      <c r="AL6" s="29">
        <v>1000.0</v>
      </c>
      <c r="AM6" s="29">
        <v>1000.0</v>
      </c>
      <c r="AN6" s="29">
        <v>100.0</v>
      </c>
      <c r="AO6" s="29">
        <v>1000.0</v>
      </c>
      <c r="AQ6" s="29">
        <v>10.0</v>
      </c>
      <c r="AR6" s="29">
        <v>10.0</v>
      </c>
      <c r="AS6" s="29" t="s">
        <v>90</v>
      </c>
      <c r="AT6" s="29" t="s">
        <v>18</v>
      </c>
      <c r="AU6" s="29" t="s">
        <v>91</v>
      </c>
      <c r="AV6" s="29">
        <v>10000.0</v>
      </c>
      <c r="AW6" s="29">
        <v>10000.0</v>
      </c>
      <c r="BA6" s="29" t="s">
        <v>83</v>
      </c>
      <c r="BH6" s="29" t="s">
        <v>92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