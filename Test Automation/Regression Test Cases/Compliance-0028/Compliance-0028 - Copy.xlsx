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CancelSubOrder" sheetId="11" r:id="rId13"/>
    <sheet state="visible" name="VerifyTaxlotWindow" sheetId="12" r:id="rId14"/>
    <sheet state="visible" name="VerifyRowCalculationBaseWindow" sheetId="13" r:id="rId15"/>
    <sheet state="visible" name="VerifySymbolDivisorWindow" sheetId="14" r:id="rId16"/>
    <sheet state="visible" name="VerifyAggAccountSymbolWithNav" sheetId="15" r:id="rId17"/>
    <sheet state="visible" name="SelectTrade2" sheetId="16" r:id="rId18"/>
    <sheet state="visible" name="RejectTrade" sheetId="17" r:id="rId19"/>
    <sheet state="visible" name="VerifyRowCalculationBaseWindow1" sheetId="18" r:id="rId20"/>
    <sheet state="visible" name="VerifySymbolDivisorWindow1" sheetId="19" r:id="rId21"/>
    <sheet state="visible" name="VerifyAggAccountSymbolWithNav1" sheetId="20" r:id="rId22"/>
    <sheet state="visible" name="VerifyTaxlotWindow1" sheetId="21" r:id="rId23"/>
    <sheet state="visible" name="SelectTradeOnOrderGrid1" sheetId="22" r:id="rId24"/>
    <sheet state="visible" name="ReplaceSubOrder" sheetId="23" r:id="rId25"/>
    <sheet state="visible" name="CreateReplaceOrder" sheetId="24" r:id="rId26"/>
    <sheet state="visible" name="VerifyAggAccountSymbolWithNav2" sheetId="25" r:id="rId27"/>
    <sheet state="visible" name="VerifyTaxlotWindow2" sheetId="26" r:id="rId28"/>
    <sheet state="visible" name="VerifyRowCalculationBaseWindow2" sheetId="27" r:id="rId29"/>
    <sheet state="visible" name="VerifySymbolDivisorWindow2" sheetId="28" r:id="rId30"/>
    <sheet state="visible" name="VerifyOrder" sheetId="29" r:id="rId31"/>
    <sheet state="visible" name="SelectTradeOnOrderGrid2" sheetId="30" r:id="rId32"/>
    <sheet state="visible" name="VerifySubOrder" sheetId="31" r:id="rId33"/>
    <sheet state="visible" name="CheckPortfolioManagement" sheetId="32" r:id="rId34"/>
    <sheet state="visible" name="EnableDisableModule1" sheetId="33" r:id="rId35"/>
  </sheets>
  <definedNames/>
  <calcPr/>
</workbook>
</file>

<file path=xl/sharedStrings.xml><?xml version="1.0" encoding="utf-8"?>
<sst xmlns="http://schemas.openxmlformats.org/spreadsheetml/2006/main" count="503" uniqueCount="73">
  <si>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</si>
  <si>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</si>
  <si>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</si>
  <si>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</si>
  <si>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</si>
  <si>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</si>
  <si>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</si>
  <si>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</si>
  <si>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</si>
  <si>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</si>
  <si>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</si>
  <si>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</si>
  <si>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</si>
  <si>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</si>
  <si>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</si>
  <si>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</si>
  <si>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</si>
  <si>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</si>
  <si>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</si>
  <si>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</si>
  <si>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</si>
  <si>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</si>
  <si>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</si>
  <si>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</si>
  <si>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</si>
  <si>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</si>
  <si>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</si>
  <si>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</si>
  <si>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</si>
  <si>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</si>
  <si>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</si>
  <si>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</si>
  <si>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</si>
  <si>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</si>
  <si>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</si>
  <si>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</si>
  <si>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CancelSubOrder</t>
  </si>
  <si>
    <t>Compliance</t>
  </si>
  <si>
    <t>VerifyTaxlotWindow</t>
  </si>
  <si>
    <t>InTradeMarket</t>
  </si>
  <si>
    <t>Post</t>
  </si>
  <si>
    <t>VerifyRowCalculationBaseWindow</t>
  </si>
  <si>
    <t>Allocation1</t>
  </si>
  <si>
    <t>Allocation2</t>
  </si>
  <si>
    <t>VerifySymbolDivisorWindow</t>
  </si>
  <si>
    <t>VerifyAggAccountSymbolWithNav</t>
  </si>
  <si>
    <t>Account-Symbol</t>
  </si>
  <si>
    <t>RejectTrade</t>
  </si>
  <si>
    <t>ReplaceSubOrder</t>
  </si>
  <si>
    <t>CreateReplaceOrder</t>
  </si>
  <si>
    <t>VerifyOrder</t>
  </si>
  <si>
    <t>VerifySubOrder</t>
  </si>
  <si>
    <t>PendingReplace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</si>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</sst>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5" fillId="7" fontId="14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0" xfId="0" applyAlignment="1" applyFont="1">
      <alignment horizontal="center" readingOrder="0" vertical="top"/>
    </xf>
    <xf borderId="0" fillId="6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5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44348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38">
        <v>50.0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 t="s">
        <v>32</v>
      </c>
      <c r="H6" s="41">
        <v>100.0</v>
      </c>
      <c r="I6" s="41">
        <v>50.0</v>
      </c>
      <c r="J6" s="41">
        <v>50.0</v>
      </c>
      <c r="K6" s="41">
        <v>50.0</v>
      </c>
      <c r="L6" s="36"/>
      <c r="M6" s="36"/>
      <c r="N6" s="41">
        <v>10.0</v>
      </c>
      <c r="O6" s="36"/>
      <c r="P6" s="41">
        <v>10.0</v>
      </c>
      <c r="Q6" s="36" t="s">
        <v>33</v>
      </c>
      <c r="R6" s="36" t="s">
        <v>34</v>
      </c>
      <c r="S6" s="36"/>
      <c r="T6" s="40" t="s">
        <v>35</v>
      </c>
      <c r="U6" s="42">
        <v>500.0</v>
      </c>
      <c r="V6" s="42">
        <v>500.0</v>
      </c>
      <c r="W6" s="40"/>
      <c r="X6" s="40"/>
      <c r="Y6" s="40"/>
      <c r="Z6" s="40"/>
      <c r="AA6" s="42">
        <v>50.0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8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3" t="s">
        <v>22</v>
      </c>
      <c r="AK6" s="43" t="s">
        <v>32</v>
      </c>
      <c r="AL6" s="43">
        <v>100.0</v>
      </c>
      <c r="AM6" s="44">
        <v>50.0</v>
      </c>
      <c r="AN6" s="44">
        <v>50.0</v>
      </c>
      <c r="AO6" s="45"/>
      <c r="AP6" s="45"/>
      <c r="AQ6" s="44">
        <v>10.0</v>
      </c>
      <c r="AR6" s="44">
        <v>10.0</v>
      </c>
      <c r="AS6" s="45" t="s">
        <v>33</v>
      </c>
      <c r="AT6" s="43" t="s">
        <v>34</v>
      </c>
      <c r="AU6" s="45" t="s">
        <v>35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49" t="str">
        <f>IFERROR(__xludf.DUMMYFUNCTION("""COMPUTED_VALUE"""),"VerifyDbNavWindow")</f>
        <v>VerifyDbNavWindow</v>
      </c>
      <c r="Q4" s="49" t="str">
        <f>IFERROR(__xludf.DUMMYFUNCTION("""COMPUTED_VALUE"""),"VerifyGlobalDivisorWindow")</f>
        <v>VerifyGlobalDivisorWindow</v>
      </c>
      <c r="R4" s="49" t="str">
        <f>IFERROR(__xludf.DUMMYFUNCTION("""COMPUTED_VALUE"""),"VerifyPmCalculationPreferenceWindow")</f>
        <v>VerifyPmCalculationPreferenceWindow</v>
      </c>
      <c r="S4" s="49" t="str">
        <f>IFERROR(__xludf.DUMMYFUNCTION("""COMPUTED_VALUE"""),"VerifyRowCalculationBaseWindow")</f>
        <v>VerifyRowCalculationBaseWindow</v>
      </c>
      <c r="T4" s="49" t="str">
        <f>IFERROR(__xludf.DUMMYFUNCTION("""COMPUTED_VALUE"""),"VerifySecurityWindow")</f>
        <v>VerifySecurityWindow</v>
      </c>
      <c r="U4" s="49" t="str">
        <f>IFERROR(__xludf.DUMMYFUNCTION("""COMPUTED_VALUE"""),"VerifySymbolDataWindow")</f>
        <v>VerifySymbolDataWindow</v>
      </c>
      <c r="V4" s="49" t="str">
        <f>IFERROR(__xludf.DUMMYFUNCTION("""COMPUTED_VALUE"""),"VerifySymbolDivisorWindow")</f>
        <v>VerifySymbolDivisorWindow</v>
      </c>
      <c r="W4" s="49" t="str">
        <f>IFERROR(__xludf.DUMMYFUNCTION("""COMPUTED_VALUE"""),"VerifyTaxlotWindow")</f>
        <v>VerifyTaxlotWindow</v>
      </c>
      <c r="X4" s="49" t="str">
        <f>IFERROR(__xludf.DUMMYFUNCTION("""COMPUTED_VALUE"""),"RestartEsper")</f>
        <v>RestartEsper</v>
      </c>
      <c r="Y4" s="49" t="str">
        <f>IFERROR(__xludf.DUMMYFUNCTION("""COMPUTED_VALUE"""),"VerifyAccountNavPreferenceWindow")</f>
        <v>VerifyAccountNavPreferenceWindow</v>
      </c>
      <c r="Z4" s="49" t="str">
        <f>IFERROR(__xludf.DUMMYFUNCTION("""COMPUTED_VALUE"""),"VerifyAggregationAccountUnderlyingSymbolWithNav")</f>
        <v>VerifyAggregationAccountUnderlyingSymbolWithNav</v>
      </c>
      <c r="AA4" s="49" t="str">
        <f>IFERROR(__xludf.DUMMYFUNCTION("""COMPUTED_VALUE"""),"VerifyAggregationAssetWithNav")</f>
        <v>VerifyAggregationAssetWithNav</v>
      </c>
      <c r="AB4" s="49" t="str">
        <f>IFERROR(__xludf.DUMMYFUNCTION("""COMPUTED_VALUE"""),"VerifyAggregationSymbolWithNav")</f>
        <v>VerifyAggregationSymbolWithNav</v>
      </c>
      <c r="AC4" s="49" t="str">
        <f>IFERROR(__xludf.DUMMYFUNCTION("""COMPUTED_VALUE"""),"VerifyAggregationSubSectorWithNav")</f>
        <v>VerifyAggregationSubSectorWithNav</v>
      </c>
      <c r="AD4" s="49" t="str">
        <f>IFERROR(__xludf.DUMMYFUNCTION("""COMPUTED_VALUE"""),"VerifyAggregationGlobalWithNav")</f>
        <v>VerifyAggregationGlobalWithNav</v>
      </c>
      <c r="AE4" s="49" t="str">
        <f>IFERROR(__xludf.DUMMYFUNCTION("""COMPUTED_VALUE"""),"VerifyAggregationGlobalWithNav")</f>
        <v>VerifyAggregationGlobalWithNav</v>
      </c>
      <c r="AF4" s="49" t="str">
        <f>IFERROR(__xludf.DUMMYFUNCTION("""COMPUTED_VALUE"""),"VerifyGlobalDivisorWindow")</f>
        <v>VerifyGlobalDivisorWindow</v>
      </c>
      <c r="AG4" s="49" t="str">
        <f>IFERROR(__xludf.DUMMYFUNCTION("""COMPUTED_VALUE"""),"VerifyAccrualForAccountWindow")</f>
        <v>VerifyAccrualForAccountWindow</v>
      </c>
      <c r="AH4" s="49" t="str">
        <f>IFERROR(__xludf.DUMMYFUNCTION("""COMPUTED_VALUE"""),"VerifyGlobalDivisorWindow")</f>
        <v>VerifyGlobalDivisorWindow</v>
      </c>
      <c r="AI4" s="49" t="str">
        <f>IFERROR(__xludf.DUMMYFUNCTION("""COMPUTED_VALUE"""),"VerifyMasterFundDivisorWindow")</f>
        <v>VerifyMasterFundDivisorWindow</v>
      </c>
      <c r="AJ4" s="49" t="str">
        <f>IFERROR(__xludf.DUMMYFUNCTION("""COMPUTED_VALUE"""),"VerifyMasterFundSymbolDivisorWindow")</f>
        <v>VerifyMasterFundSymbolDivisorWindow</v>
      </c>
      <c r="AK4" s="49" t="str">
        <f>IFERROR(__xludf.DUMMYFUNCTION("""COMPUTED_VALUE"""),"VerifyAggAccountSymbolWithNav")</f>
        <v>VerifyAggAccountSymbolWithNav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0" t="str">
        <f>IFERROR(__xludf.DUMMYFUNCTION("""COMPUTED_VALUE"""),"isSwapped")</f>
        <v>isSwapped</v>
      </c>
      <c r="U5" s="50" t="str">
        <f>IFERROR(__xludf.DUMMYFUNCTION("""COMPUTED_VALUE"""),"benchMarkRate")</f>
        <v>benchMarkRate</v>
      </c>
      <c r="V5" s="50" t="str">
        <f>IFERROR(__xludf.DUMMYFUNCTION("""COMPUTED_VALUE"""),"differential")</f>
        <v>differential</v>
      </c>
      <c r="W5" s="50" t="str">
        <f>IFERROR(__xludf.DUMMYFUNCTION("""COMPUTED_VALUE"""),"swapNotional")</f>
        <v>swapNotional</v>
      </c>
      <c r="X5" s="50" t="str">
        <f>IFERROR(__xludf.DUMMYFUNCTION("""COMPUTED_VALUE"""),"dayCount")</f>
        <v>dayCount</v>
      </c>
      <c r="Y5" s="50" t="str">
        <f>IFERROR(__xludf.DUMMYFUNCTION("""COMPUTED_VALUE"""),"avgFxRateForTrade")</f>
        <v>avgFxRateForTrade</v>
      </c>
      <c r="Z5" s="50" t="str">
        <f>IFERROR(__xludf.DUMMYFUNCTION("""COMPUTED_VALUE"""),"conversionMethodOperator")</f>
        <v>conversionMethodOperator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</row>
    <row r="6" ht="15.75" customHeight="1">
      <c r="A6" s="51"/>
      <c r="B6" s="52"/>
      <c r="C6" s="53" t="s">
        <v>21</v>
      </c>
      <c r="D6" s="52"/>
      <c r="E6" s="53"/>
      <c r="F6" s="53" t="s">
        <v>39</v>
      </c>
      <c r="G6" s="53"/>
      <c r="H6" s="53" t="s">
        <v>21</v>
      </c>
      <c r="I6" s="38">
        <v>25.0</v>
      </c>
      <c r="J6" s="38"/>
      <c r="K6" s="53"/>
      <c r="L6" s="53"/>
      <c r="M6" s="53"/>
      <c r="N6" s="53"/>
      <c r="O6" s="53"/>
      <c r="P6" s="53"/>
      <c r="Q6" s="53"/>
      <c r="R6" s="53"/>
      <c r="S6" s="53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</row>
    <row r="7" ht="15.75" customHeight="1">
      <c r="A7" s="53"/>
      <c r="B7" s="53"/>
      <c r="C7" s="53" t="s">
        <v>21</v>
      </c>
      <c r="D7" s="53"/>
      <c r="E7" s="53"/>
      <c r="F7" s="53" t="s">
        <v>39</v>
      </c>
      <c r="G7" s="53"/>
      <c r="H7" s="53" t="s">
        <v>21</v>
      </c>
      <c r="I7" s="38">
        <v>25.0</v>
      </c>
      <c r="J7" s="38"/>
      <c r="K7" s="53"/>
      <c r="L7" s="53"/>
      <c r="M7" s="53"/>
      <c r="N7" s="53"/>
      <c r="O7" s="53"/>
      <c r="P7" s="53"/>
      <c r="Q7" s="53"/>
      <c r="R7" s="53"/>
      <c r="S7" s="53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</row>
    <row r="8" ht="15.75" customHeight="1">
      <c r="A8" s="54"/>
      <c r="B8" s="54"/>
      <c r="C8" s="54" t="s">
        <v>21</v>
      </c>
      <c r="D8" s="54"/>
      <c r="E8" s="54"/>
      <c r="F8" s="54" t="s">
        <v>40</v>
      </c>
      <c r="G8" s="54"/>
      <c r="H8" s="54" t="s">
        <v>21</v>
      </c>
      <c r="I8" s="55">
        <v>25.0</v>
      </c>
      <c r="J8" s="55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</row>
    <row r="9" ht="15.75" customHeight="1">
      <c r="A9" s="54"/>
      <c r="B9" s="54"/>
      <c r="C9" s="54" t="s">
        <v>21</v>
      </c>
      <c r="D9" s="54"/>
      <c r="E9" s="54"/>
      <c r="F9" s="54" t="s">
        <v>40</v>
      </c>
      <c r="G9" s="54"/>
      <c r="H9" s="54" t="s">
        <v>21</v>
      </c>
      <c r="I9" s="55">
        <v>25.0</v>
      </c>
      <c r="J9" s="55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  <c r="EX9" s="5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47"/>
      <c r="EG73" s="47"/>
      <c r="EH73" s="47"/>
      <c r="EI73" s="47"/>
      <c r="EJ73" s="47"/>
      <c r="EK73" s="47"/>
      <c r="EL73" s="47"/>
      <c r="EM73" s="47"/>
      <c r="EN73" s="47"/>
      <c r="EO73" s="47"/>
      <c r="EP73" s="47"/>
      <c r="EQ73" s="47"/>
      <c r="ER73" s="47"/>
      <c r="ES73" s="47"/>
      <c r="ET73" s="47"/>
      <c r="EU73" s="47"/>
      <c r="EV73" s="47"/>
      <c r="EW73" s="47"/>
      <c r="EX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47"/>
      <c r="EG74" s="47"/>
      <c r="EH74" s="47"/>
      <c r="EI74" s="47"/>
      <c r="EJ74" s="47"/>
      <c r="EK74" s="47"/>
      <c r="EL74" s="47"/>
      <c r="EM74" s="47"/>
      <c r="EN74" s="47"/>
      <c r="EO74" s="47"/>
      <c r="EP74" s="47"/>
      <c r="EQ74" s="47"/>
      <c r="ER74" s="47"/>
      <c r="ES74" s="47"/>
      <c r="ET74" s="47"/>
      <c r="EU74" s="47"/>
      <c r="EV74" s="47"/>
      <c r="EW74" s="47"/>
      <c r="EX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47"/>
      <c r="EG75" s="47"/>
      <c r="EH75" s="47"/>
      <c r="EI75" s="47"/>
      <c r="EJ75" s="47"/>
      <c r="EK75" s="47"/>
      <c r="EL75" s="47"/>
      <c r="EM75" s="47"/>
      <c r="EN75" s="47"/>
      <c r="EO75" s="47"/>
      <c r="EP75" s="47"/>
      <c r="EQ75" s="47"/>
      <c r="ER75" s="47"/>
      <c r="ES75" s="47"/>
      <c r="ET75" s="47"/>
      <c r="EU75" s="47"/>
      <c r="EV75" s="47"/>
      <c r="EW75" s="47"/>
      <c r="EX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56" t="s">
        <v>21</v>
      </c>
      <c r="I6" s="57">
        <v>0.0</v>
      </c>
      <c r="J6" s="57">
        <v>25.0</v>
      </c>
      <c r="K6" s="57">
        <v>25.0</v>
      </c>
      <c r="L6" s="57">
        <v>25.0</v>
      </c>
      <c r="M6" s="56" t="s">
        <v>39</v>
      </c>
      <c r="N6" s="58"/>
      <c r="O6" s="56" t="s">
        <v>22</v>
      </c>
      <c r="P6" s="58"/>
      <c r="Q6" s="58" t="s">
        <v>21</v>
      </c>
      <c r="R6" s="58"/>
      <c r="S6" s="58"/>
      <c r="T6" s="59" t="s">
        <v>42</v>
      </c>
      <c r="U6" s="59" t="s">
        <v>42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2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6" t="s">
        <v>21</v>
      </c>
      <c r="I7" s="57">
        <v>0.0</v>
      </c>
      <c r="J7" s="57">
        <v>25.0</v>
      </c>
      <c r="K7" s="57">
        <v>25.0</v>
      </c>
      <c r="L7" s="57">
        <v>25.0</v>
      </c>
      <c r="M7" s="56" t="s">
        <v>39</v>
      </c>
      <c r="N7" s="58"/>
      <c r="O7" s="56" t="s">
        <v>22</v>
      </c>
      <c r="P7" s="58"/>
      <c r="Q7" s="58" t="s">
        <v>21</v>
      </c>
      <c r="R7" s="58"/>
      <c r="S7" s="58"/>
      <c r="T7" s="59" t="s">
        <v>43</v>
      </c>
      <c r="U7" s="59" t="s">
        <v>43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2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6" t="s">
        <v>21</v>
      </c>
      <c r="I8" s="57">
        <v>0.0</v>
      </c>
      <c r="J8" s="57">
        <v>25.0</v>
      </c>
      <c r="K8" s="57">
        <v>25.0</v>
      </c>
      <c r="L8" s="57">
        <v>25.0</v>
      </c>
      <c r="M8" s="56" t="s">
        <v>40</v>
      </c>
      <c r="N8" s="58"/>
      <c r="O8" s="56" t="s">
        <v>22</v>
      </c>
      <c r="P8" s="58"/>
      <c r="Q8" s="58" t="s">
        <v>21</v>
      </c>
      <c r="R8" s="58"/>
      <c r="S8" s="58"/>
      <c r="T8" s="59" t="s">
        <v>42</v>
      </c>
      <c r="U8" s="59" t="s">
        <v>42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2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6" t="s">
        <v>21</v>
      </c>
      <c r="I9" s="57">
        <v>0.0</v>
      </c>
      <c r="J9" s="57">
        <v>25.0</v>
      </c>
      <c r="K9" s="57">
        <v>25.0</v>
      </c>
      <c r="L9" s="57">
        <v>25.0</v>
      </c>
      <c r="M9" s="56" t="s">
        <v>40</v>
      </c>
      <c r="N9" s="58"/>
      <c r="O9" s="56" t="s">
        <v>22</v>
      </c>
      <c r="P9" s="58"/>
      <c r="Q9" s="58" t="s">
        <v>21</v>
      </c>
      <c r="R9" s="58"/>
      <c r="S9" s="58"/>
      <c r="T9" s="59" t="s">
        <v>43</v>
      </c>
      <c r="U9" s="59" t="s">
        <v>43</v>
      </c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2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15.57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40</v>
      </c>
      <c r="C6" s="36"/>
      <c r="D6" s="35" t="s">
        <v>46</v>
      </c>
      <c r="E6" s="56" t="s">
        <v>43</v>
      </c>
      <c r="F6" s="56" t="s">
        <v>43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55">
        <v>500.0</v>
      </c>
      <c r="AQ6" s="55">
        <v>500.0</v>
      </c>
      <c r="AR6" s="55">
        <v>0.0</v>
      </c>
      <c r="AS6" s="55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40</v>
      </c>
      <c r="C7" s="36"/>
      <c r="D7" s="36" t="s">
        <v>46</v>
      </c>
      <c r="E7" s="56" t="s">
        <v>42</v>
      </c>
      <c r="F7" s="56" t="s">
        <v>42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55">
        <v>500.0</v>
      </c>
      <c r="AQ7" s="55">
        <v>500.0</v>
      </c>
      <c r="AR7" s="55">
        <v>0.0</v>
      </c>
      <c r="AS7" s="55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41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41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56" t="s">
        <v>21</v>
      </c>
      <c r="I6" s="57">
        <v>0.0</v>
      </c>
      <c r="J6" s="57">
        <v>25.0</v>
      </c>
      <c r="K6" s="57">
        <v>25.0</v>
      </c>
      <c r="L6" s="57">
        <v>25.0</v>
      </c>
      <c r="M6" s="56" t="s">
        <v>39</v>
      </c>
      <c r="N6" s="58"/>
      <c r="O6" s="56" t="s">
        <v>22</v>
      </c>
      <c r="P6" s="58"/>
      <c r="Q6" s="58" t="s">
        <v>21</v>
      </c>
      <c r="R6" s="58"/>
      <c r="S6" s="58"/>
      <c r="T6" s="59" t="s">
        <v>42</v>
      </c>
      <c r="U6" s="59" t="s">
        <v>42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2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6" t="s">
        <v>21</v>
      </c>
      <c r="I7" s="57">
        <v>0.0</v>
      </c>
      <c r="J7" s="57">
        <v>25.0</v>
      </c>
      <c r="K7" s="57">
        <v>25.0</v>
      </c>
      <c r="L7" s="57">
        <v>25.0</v>
      </c>
      <c r="M7" s="56" t="s">
        <v>39</v>
      </c>
      <c r="N7" s="58"/>
      <c r="O7" s="56" t="s">
        <v>22</v>
      </c>
      <c r="P7" s="58"/>
      <c r="Q7" s="58" t="s">
        <v>21</v>
      </c>
      <c r="R7" s="58"/>
      <c r="S7" s="58"/>
      <c r="T7" s="59" t="s">
        <v>43</v>
      </c>
      <c r="U7" s="59" t="s">
        <v>43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2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6" t="s">
        <v>21</v>
      </c>
      <c r="I8" s="57">
        <v>0.0</v>
      </c>
      <c r="J8" s="57">
        <v>25.0</v>
      </c>
      <c r="K8" s="57">
        <v>25.0</v>
      </c>
      <c r="L8" s="57">
        <v>25.0</v>
      </c>
      <c r="M8" s="56" t="s">
        <v>40</v>
      </c>
      <c r="N8" s="58"/>
      <c r="O8" s="56" t="s">
        <v>22</v>
      </c>
      <c r="P8" s="58"/>
      <c r="Q8" s="58" t="s">
        <v>21</v>
      </c>
      <c r="R8" s="58"/>
      <c r="S8" s="58"/>
      <c r="T8" s="59" t="s">
        <v>42</v>
      </c>
      <c r="U8" s="59" t="s">
        <v>42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2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6" t="s">
        <v>21</v>
      </c>
      <c r="I9" s="57">
        <v>0.0</v>
      </c>
      <c r="J9" s="57">
        <v>25.0</v>
      </c>
      <c r="K9" s="57">
        <v>25.0</v>
      </c>
      <c r="L9" s="57">
        <v>25.0</v>
      </c>
      <c r="M9" s="56" t="s">
        <v>40</v>
      </c>
      <c r="N9" s="58"/>
      <c r="O9" s="56" t="s">
        <v>22</v>
      </c>
      <c r="P9" s="58"/>
      <c r="Q9" s="58" t="s">
        <v>21</v>
      </c>
      <c r="R9" s="58"/>
      <c r="S9" s="58"/>
      <c r="T9" s="59" t="s">
        <v>43</v>
      </c>
      <c r="U9" s="59" t="s">
        <v>43</v>
      </c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2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49" t="str">
        <f>IFERROR(__xludf.DUMMYFUNCTION("""COMPUTED_VALUE"""),"VerifyDbNavWindow")</f>
        <v>VerifyDbNavWindow</v>
      </c>
      <c r="Q4" s="49" t="str">
        <f>IFERROR(__xludf.DUMMYFUNCTION("""COMPUTED_VALUE"""),"VerifyGlobalDivisorWindow")</f>
        <v>VerifyGlobalDivisorWindow</v>
      </c>
      <c r="R4" s="49" t="str">
        <f>IFERROR(__xludf.DUMMYFUNCTION("""COMPUTED_VALUE"""),"VerifyPmCalculationPreferenceWindow")</f>
        <v>VerifyPmCalculationPreferenceWindow</v>
      </c>
      <c r="S4" s="49" t="str">
        <f>IFERROR(__xludf.DUMMYFUNCTION("""COMPUTED_VALUE"""),"VerifyRowCalculationBaseWindow")</f>
        <v>VerifyRowCalculationBaseWindow</v>
      </c>
      <c r="T4" s="49" t="str">
        <f>IFERROR(__xludf.DUMMYFUNCTION("""COMPUTED_VALUE"""),"VerifySecurityWindow")</f>
        <v>VerifySecurityWindow</v>
      </c>
      <c r="U4" s="49" t="str">
        <f>IFERROR(__xludf.DUMMYFUNCTION("""COMPUTED_VALUE"""),"VerifySymbolDataWindow")</f>
        <v>VerifySymbolDataWindow</v>
      </c>
      <c r="V4" s="49" t="str">
        <f>IFERROR(__xludf.DUMMYFUNCTION("""COMPUTED_VALUE"""),"VerifySymbolDivisorWindow")</f>
        <v>VerifySymbolDivisorWindow</v>
      </c>
      <c r="W4" s="49" t="str">
        <f>IFERROR(__xludf.DUMMYFUNCTION("""COMPUTED_VALUE"""),"VerifyTaxlotWindow")</f>
        <v>VerifyTaxlotWindow</v>
      </c>
      <c r="X4" s="49" t="str">
        <f>IFERROR(__xludf.DUMMYFUNCTION("""COMPUTED_VALUE"""),"RestartEsper")</f>
        <v>RestartEsper</v>
      </c>
      <c r="Y4" s="49" t="str">
        <f>IFERROR(__xludf.DUMMYFUNCTION("""COMPUTED_VALUE"""),"VerifyAccountNavPreferenceWindow")</f>
        <v>VerifyAccountNavPreferenceWindow</v>
      </c>
      <c r="Z4" s="49" t="str">
        <f>IFERROR(__xludf.DUMMYFUNCTION("""COMPUTED_VALUE"""),"VerifyAggregationAccountUnderlyingSymbolWithNav")</f>
        <v>VerifyAggregationAccountUnderlyingSymbolWithNav</v>
      </c>
      <c r="AA4" s="49" t="str">
        <f>IFERROR(__xludf.DUMMYFUNCTION("""COMPUTED_VALUE"""),"VerifyAggregationAssetWithNav")</f>
        <v>VerifyAggregationAssetWithNav</v>
      </c>
      <c r="AB4" s="49" t="str">
        <f>IFERROR(__xludf.DUMMYFUNCTION("""COMPUTED_VALUE"""),"VerifyAggregationSymbolWithNav")</f>
        <v>VerifyAggregationSymbolWithNav</v>
      </c>
      <c r="AC4" s="49" t="str">
        <f>IFERROR(__xludf.DUMMYFUNCTION("""COMPUTED_VALUE"""),"VerifyAggregationSubSectorWithNav")</f>
        <v>VerifyAggregationSubSectorWithNav</v>
      </c>
      <c r="AD4" s="49" t="str">
        <f>IFERROR(__xludf.DUMMYFUNCTION("""COMPUTED_VALUE"""),"VerifyAggregationGlobalWithNav")</f>
        <v>VerifyAggregationGlobalWithNav</v>
      </c>
      <c r="AE4" s="49" t="str">
        <f>IFERROR(__xludf.DUMMYFUNCTION("""COMPUTED_VALUE"""),"VerifyAggregationGlobalWithNav")</f>
        <v>VerifyAggregationGlobalWithNav</v>
      </c>
      <c r="AF4" s="49" t="str">
        <f>IFERROR(__xludf.DUMMYFUNCTION("""COMPUTED_VALUE"""),"VerifyGlobalDivisorWindow")</f>
        <v>VerifyGlobalDivisorWindow</v>
      </c>
      <c r="AG4" s="49" t="str">
        <f>IFERROR(__xludf.DUMMYFUNCTION("""COMPUTED_VALUE"""),"VerifyAccrualForAccountWindow")</f>
        <v>VerifyAccrualForAccountWindow</v>
      </c>
      <c r="AH4" s="49" t="str">
        <f>IFERROR(__xludf.DUMMYFUNCTION("""COMPUTED_VALUE"""),"VerifyGlobalDivisorWindow")</f>
        <v>VerifyGlobalDivisorWindow</v>
      </c>
      <c r="AI4" s="49" t="str">
        <f>IFERROR(__xludf.DUMMYFUNCTION("""COMPUTED_VALUE"""),"VerifyMasterFundDivisorWindow")</f>
        <v>VerifyMasterFundDivisorWindow</v>
      </c>
      <c r="AJ4" s="49" t="str">
        <f>IFERROR(__xludf.DUMMYFUNCTION("""COMPUTED_VALUE"""),"VerifyMasterFundSymbolDivisorWindow")</f>
        <v>VerifyMasterFundSymbolDivisorWindow</v>
      </c>
      <c r="AK4" s="49" t="str">
        <f>IFERROR(__xludf.DUMMYFUNCTION("""COMPUTED_VALUE"""),"VerifyAggAccountSymbolWithNav")</f>
        <v>VerifyAggAccountSymbolWithNav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50" t="str">
        <f>IFERROR(__xludf.DUMMYFUNCTION("""COMPUTED_VALUE"""),"masterFundId")</f>
        <v>masterFundId</v>
      </c>
      <c r="U5" s="50" t="str">
        <f>IFERROR(__xludf.DUMMYFUNCTION("""COMPUTED_VALUE"""),"masterFundName")</f>
        <v>masterFundName</v>
      </c>
      <c r="V5" s="50" t="str">
        <f>IFERROR(__xludf.DUMMYFUNCTION("""COMPUTED_VALUE"""),"putOrCall")</f>
        <v>putOrCall</v>
      </c>
      <c r="W5" s="50" t="str">
        <f>IFERROR(__xludf.DUMMYFUNCTION("""COMPUTED_VALUE"""),"strikePrice")</f>
        <v>strikePrice</v>
      </c>
      <c r="X5" s="50" t="str">
        <f>IFERROR(__xludf.DUMMYFUNCTION("""COMPUTED_VALUE"""),"riskCurrency")</f>
        <v>riskCurrency</v>
      </c>
      <c r="Y5" s="50" t="str">
        <f>IFERROR(__xludf.DUMMYFUNCTION("""COMPUTED_VALUE"""),"issuer")</f>
        <v>issuer</v>
      </c>
      <c r="Z5" s="50" t="str">
        <f>IFERROR(__xludf.DUMMYFUNCTION("""COMPUTED_VALUE"""),"countryOfRisk")</f>
        <v>countryOfRisk</v>
      </c>
      <c r="AA5" s="50" t="str">
        <f>IFERROR(__xludf.DUMMYFUNCTION("""COMPUTED_VALUE"""),"region")</f>
        <v>region</v>
      </c>
      <c r="AB5" s="50" t="str">
        <f>IFERROR(__xludf.DUMMYFUNCTION("""COMPUTED_VALUE"""),"analyst")</f>
        <v>analyst</v>
      </c>
      <c r="AC5" s="50" t="str">
        <f>IFERROR(__xludf.DUMMYFUNCTION("""COMPUTED_VALUE"""),"ucitsEligibleTag")</f>
        <v>ucitsEligibleTag</v>
      </c>
      <c r="AD5" s="50" t="str">
        <f>IFERROR(__xludf.DUMMYFUNCTION("""COMPUTED_VALUE"""),"liquidTag")</f>
        <v>liquidTag</v>
      </c>
      <c r="AE5" s="50" t="str">
        <f>IFERROR(__xludf.DUMMYFUNCTION("""COMPUTED_VALUE"""),"marketCap")</f>
        <v>marketCap</v>
      </c>
      <c r="AF5" s="50" t="str">
        <f>IFERROR(__xludf.DUMMYFUNCTION("""COMPUTED_VALUE"""),"customUDA1")</f>
        <v>customUDA1</v>
      </c>
      <c r="AG5" s="50" t="str">
        <f>IFERROR(__xludf.DUMMYFUNCTION("""COMPUTED_VALUE"""),"customUDA2")</f>
        <v>customUDA2</v>
      </c>
      <c r="AH5" s="50" t="str">
        <f>IFERROR(__xludf.DUMMYFUNCTION("""COMPUTED_VALUE"""),"customUDA3")</f>
        <v>customUDA3</v>
      </c>
      <c r="AI5" s="50" t="str">
        <f>IFERROR(__xludf.DUMMYFUNCTION("""COMPUTED_VALUE"""),"customUDA4")</f>
        <v>customUDA4</v>
      </c>
      <c r="AJ5" s="50" t="str">
        <f>IFERROR(__xludf.DUMMYFUNCTION("""COMPUTED_VALUE"""),"customUDA5")</f>
        <v>customUDA5</v>
      </c>
      <c r="AK5" s="50" t="str">
        <f>IFERROR(__xludf.DUMMYFUNCTION("""COMPUTED_VALUE"""),"customUDA6")</f>
        <v>customUDA6</v>
      </c>
      <c r="AL5" s="50" t="str">
        <f>IFERROR(__xludf.DUMMYFUNCTION("""COMPUTED_VALUE"""),"customUDA7")</f>
        <v>customUDA7</v>
      </c>
      <c r="AM5" s="50" t="str">
        <f>IFERROR(__xludf.DUMMYFUNCTION("""COMPUTED_VALUE"""),"todayAbsTradeQuantity")</f>
        <v>todayAbsTradeQuantity</v>
      </c>
      <c r="AN5" s="50" t="str">
        <f>IFERROR(__xludf.DUMMYFUNCTION("""COMPUTED_VALUE"""),"todayLongTradeQuantity")</f>
        <v>todayLongTradeQuantity</v>
      </c>
      <c r="AO5" s="50" t="str">
        <f>IFERROR(__xludf.DUMMYFUNCTION("""COMPUTED_VALUE"""),"todayShortTradeQuantity")</f>
        <v>todayShortTradeQuantity</v>
      </c>
      <c r="AP5" s="50" t="str">
        <f>IFERROR(__xludf.DUMMYFUNCTION("""COMPUTED_VALUE"""),"todayNetNotionalBase")</f>
        <v>todayNetNotionalBase</v>
      </c>
      <c r="AQ5" s="50" t="str">
        <f>IFERROR(__xludf.DUMMYFUNCTION("""COMPUTED_VALUE"""),"todayLongNotionalBase")</f>
        <v>todayLongNotionalBase</v>
      </c>
      <c r="AR5" s="50" t="str">
        <f>IFERROR(__xludf.DUMMYFUNCTION("""COMPUTED_VALUE"""),"todayShortNotionalBase")</f>
        <v>todayShortNotionalBase</v>
      </c>
      <c r="AS5" s="50" t="str">
        <f>IFERROR(__xludf.DUMMYFUNCTION("""COMPUTED_VALUE"""),"quantity")</f>
        <v>quantity</v>
      </c>
      <c r="AT5" s="50" t="str">
        <f>IFERROR(__xludf.DUMMYFUNCTION("""COMPUTED_VALUE"""),"netMarketValueLocal")</f>
        <v>netMarketValueLocal</v>
      </c>
      <c r="AU5" s="50" t="str">
        <f>IFERROR(__xludf.DUMMYFUNCTION("""COMPUTED_VALUE"""),"yesterdayMarketValueLocal")</f>
        <v>yesterdayMarketValueLocal</v>
      </c>
      <c r="AV5" s="50" t="str">
        <f>IFERROR(__xludf.DUMMYFUNCTION("""COMPUTED_VALUE"""),"grossMarketValueLocal")</f>
        <v>grossMarketValueLocal</v>
      </c>
      <c r="AW5" s="50" t="str">
        <f>IFERROR(__xludf.DUMMYFUNCTION("""COMPUTED_VALUE"""),"notionalLocal")</f>
        <v>notionalLocal</v>
      </c>
      <c r="AX5" s="50" t="str">
        <f>IFERROR(__xludf.DUMMYFUNCTION("""COMPUTED_VALUE"""),"equityHaircutLocal")</f>
        <v>equityHaircutLocal</v>
      </c>
      <c r="AY5" s="50" t="str">
        <f>IFERROR(__xludf.DUMMYFUNCTION("""COMPUTED_VALUE"""),"indexHaircutLocal")</f>
        <v>indexHaircutLocal</v>
      </c>
      <c r="AZ5" s="50" t="str">
        <f>IFERROR(__xludf.DUMMYFUNCTION("""COMPUTED_VALUE"""),"equityHaircutBase")</f>
        <v>equityHaircutBase</v>
      </c>
      <c r="BA5" s="50" t="str">
        <f>IFERROR(__xludf.DUMMYFUNCTION("""COMPUTED_VALUE"""),"indexHaircutBase")</f>
        <v>indexHaircutBase</v>
      </c>
      <c r="BB5" s="50" t="str">
        <f>IFERROR(__xludf.DUMMYFUNCTION("""COMPUTED_VALUE"""),"cashImpactLocal")</f>
        <v>cashImpactLocal</v>
      </c>
      <c r="BC5" s="50" t="str">
        <f>IFERROR(__xludf.DUMMYFUNCTION("""COMPUTED_VALUE"""),"cashInflowLocal")</f>
        <v>cashInflowLocal</v>
      </c>
      <c r="BD5" s="50" t="str">
        <f>IFERROR(__xludf.DUMMYFUNCTION("""COMPUTED_VALUE"""),"cashOutflowLocal")</f>
        <v>cashOutflowLocal</v>
      </c>
      <c r="BE5" s="50" t="str">
        <f>IFERROR(__xludf.DUMMYFUNCTION("""COMPUTED_VALUE"""),"costBasisPnLLocal")</f>
        <v>costBasisPnLLocal</v>
      </c>
      <c r="BF5" s="50" t="str">
        <f>IFERROR(__xludf.DUMMYFUNCTION("""COMPUTED_VALUE"""),"dayPnLLocal")</f>
        <v>dayPnLLocal</v>
      </c>
      <c r="BG5" s="50" t="str">
        <f>IFERROR(__xludf.DUMMYFUNCTION("""COMPUTED_VALUE"""),"netExposureLocal")</f>
        <v>netExposureLocal</v>
      </c>
      <c r="BH5" s="50" t="str">
        <f>IFERROR(__xludf.DUMMYFUNCTION("""COMPUTED_VALUE"""),"grossExposureLocal")</f>
        <v>grossExposureLocal</v>
      </c>
      <c r="BI5" s="50" t="str">
        <f>IFERROR(__xludf.DUMMYFUNCTION("""COMPUTED_VALUE"""),"betaAdjustedExposureLocal")</f>
        <v>betaAdjustedExposureLocal</v>
      </c>
      <c r="BJ5" s="50" t="str">
        <f>IFERROR(__xludf.DUMMYFUNCTION("""COMPUTED_VALUE"""),"deltaAdjPosition")</f>
        <v>deltaAdjPosition</v>
      </c>
      <c r="BK5" s="50" t="str">
        <f>IFERROR(__xludf.DUMMYFUNCTION("""COMPUTED_VALUE"""),"liquidationPnlLocal")</f>
        <v>liquidationPnlLocal</v>
      </c>
      <c r="BL5" s="50" t="str">
        <f>IFERROR(__xludf.DUMMYFUNCTION("""COMPUTED_VALUE"""),"liquidationPnlBase")</f>
        <v>liquidationPnlBase</v>
      </c>
      <c r="BM5" s="50" t="str">
        <f>IFERROR(__xludf.DUMMYFUNCTION("""COMPUTED_VALUE"""),"underlyingValueForOptionsLocal")</f>
        <v>underlyingValueForOptionsLocal</v>
      </c>
      <c r="BN5" s="50" t="str">
        <f>IFERROR(__xludf.DUMMYFUNCTION("""COMPUTED_VALUE"""),"notionalBase")</f>
        <v>notionalBase</v>
      </c>
      <c r="BO5" s="50" t="str">
        <f>IFERROR(__xludf.DUMMYFUNCTION("""COMPUTED_VALUE"""),"cashImpactBase")</f>
        <v>cashImpactBase</v>
      </c>
      <c r="BP5" s="50" t="str">
        <f>IFERROR(__xludf.DUMMYFUNCTION("""COMPUTED_VALUE"""),"cashInflowBase")</f>
        <v>cashInflowBase</v>
      </c>
      <c r="BQ5" s="50" t="str">
        <f>IFERROR(__xludf.DUMMYFUNCTION("""COMPUTED_VALUE"""),"cashOutflowBase")</f>
        <v>cashOutflowBase</v>
      </c>
      <c r="BR5" s="50" t="str">
        <f>IFERROR(__xludf.DUMMYFUNCTION("""COMPUTED_VALUE"""),"netMarketValueBase")</f>
        <v>netMarketValueBase</v>
      </c>
      <c r="BS5" s="50" t="str">
        <f>IFERROR(__xludf.DUMMYFUNCTION("""COMPUTED_VALUE"""),"yesterdayMarketValueBase")</f>
        <v>yesterdayMarketValueBase</v>
      </c>
      <c r="BT5" s="50" t="str">
        <f>IFERROR(__xludf.DUMMYFUNCTION("""COMPUTED_VALUE"""),"grossMarketValueBase")</f>
        <v>grossMarketValueBase</v>
      </c>
      <c r="BU5" s="50" t="str">
        <f>IFERROR(__xludf.DUMMYFUNCTION("""COMPUTED_VALUE"""),"costBasisPnLBase")</f>
        <v>costBasisPnLBase</v>
      </c>
      <c r="BV5" s="50" t="str">
        <f>IFERROR(__xludf.DUMMYFUNCTION("""COMPUTED_VALUE"""),"dayPnLBase")</f>
        <v>dayPnLBase</v>
      </c>
      <c r="BW5" s="50" t="str">
        <f>IFERROR(__xludf.DUMMYFUNCTION("""COMPUTED_VALUE"""),"netExposureBase")</f>
        <v>netExposureBase</v>
      </c>
      <c r="BX5" s="50" t="str">
        <f>IFERROR(__xludf.DUMMYFUNCTION("""COMPUTED_VALUE"""),"grossExposureBase")</f>
        <v>grossExposureBase</v>
      </c>
      <c r="BY5" s="50" t="str">
        <f>IFERROR(__xludf.DUMMYFUNCTION("""COMPUTED_VALUE"""),"betaAdjustedExposureBase")</f>
        <v>betaAdjustedExposureBase</v>
      </c>
      <c r="BZ5" s="50" t="str">
        <f>IFERROR(__xludf.DUMMYFUNCTION("""COMPUTED_VALUE"""),"underlyingValueForOptionsBase")</f>
        <v>underlyingValueForOptionsBase</v>
      </c>
      <c r="CA5" s="50" t="str">
        <f>IFERROR(__xludf.DUMMYFUNCTION("""COMPUTED_VALUE"""),"currentFxRate")</f>
        <v>currentFxRate</v>
      </c>
      <c r="CB5" s="50" t="str">
        <f>IFERROR(__xludf.DUMMYFUNCTION("""COMPUTED_VALUE"""),"yesterdayFxRate")</f>
        <v>yesterdayFxRate</v>
      </c>
      <c r="CC5" s="50" t="str">
        <f>IFERROR(__xludf.DUMMYFUNCTION("""COMPUTED_VALUE"""),"fxConversionMethod")</f>
        <v>fxConversionMethod</v>
      </c>
      <c r="CD5" s="50" t="str">
        <f>IFERROR(__xludf.DUMMYFUNCTION("""COMPUTED_VALUE"""),"askPrice")</f>
        <v>askPrice</v>
      </c>
      <c r="CE5" s="50" t="str">
        <f>IFERROR(__xludf.DUMMYFUNCTION("""COMPUTED_VALUE"""),"bidPrice")</f>
        <v>bidPrice</v>
      </c>
      <c r="CF5" s="50" t="str">
        <f>IFERROR(__xludf.DUMMYFUNCTION("""COMPUTED_VALUE"""),"lowPrice")</f>
        <v>lowPrice</v>
      </c>
      <c r="CG5" s="50" t="str">
        <f>IFERROR(__xludf.DUMMYFUNCTION("""COMPUTED_VALUE"""),"highPrice")</f>
        <v>highPrice</v>
      </c>
      <c r="CH5" s="50" t="str">
        <f>IFERROR(__xludf.DUMMYFUNCTION("""COMPUTED_VALUE"""),"openPrice")</f>
        <v>openPrice</v>
      </c>
      <c r="CI5" s="50" t="str">
        <f>IFERROR(__xludf.DUMMYFUNCTION("""COMPUTED_VALUE"""),"closePrice")</f>
        <v>closePrice</v>
      </c>
      <c r="CJ5" s="50" t="str">
        <f>IFERROR(__xludf.DUMMYFUNCTION("""COMPUTED_VALUE"""),"lastPrice")</f>
        <v>lastPrice</v>
      </c>
      <c r="CK5" s="50" t="str">
        <f>IFERROR(__xludf.DUMMYFUNCTION("""COMPUTED_VALUE"""),"markPrice")</f>
        <v>markPrice</v>
      </c>
      <c r="CL5" s="50" t="str">
        <f>IFERROR(__xludf.DUMMYFUNCTION("""COMPUTED_VALUE"""),"delta")</f>
        <v>delta</v>
      </c>
      <c r="CM5" s="50" t="str">
        <f>IFERROR(__xludf.DUMMYFUNCTION("""COMPUTED_VALUE"""),"leveragedFactor")</f>
        <v>leveragedFactor</v>
      </c>
      <c r="CN5" s="50" t="str">
        <f>IFERROR(__xludf.DUMMYFUNCTION("""COMPUTED_VALUE"""),"beta5YearMonthly")</f>
        <v>beta5YearMonthly</v>
      </c>
      <c r="CO5" s="50" t="str">
        <f>IFERROR(__xludf.DUMMYFUNCTION("""COMPUTED_VALUE"""),"selectedFeedPrice")</f>
        <v>selectedFeedPrice</v>
      </c>
      <c r="CP5" s="50" t="str">
        <f>IFERROR(__xludf.DUMMYFUNCTION("""COMPUTED_VALUE"""),"openInterest")</f>
        <v>openInterest</v>
      </c>
      <c r="CQ5" s="50" t="str">
        <f>IFERROR(__xludf.DUMMYFUNCTION("""COMPUTED_VALUE"""),"underlyingPrice")</f>
        <v>underlyingPrice</v>
      </c>
      <c r="CR5" s="50" t="str">
        <f>IFERROR(__xludf.DUMMYFUNCTION("""COMPUTED_VALUE"""),"avgVolume20Days")</f>
        <v>avgVolume20Days</v>
      </c>
      <c r="CS5" s="50" t="str">
        <f>IFERROR(__xludf.DUMMYFUNCTION("""COMPUTED_VALUE"""),"percentAvgVolume")</f>
        <v>percentAvgVolume</v>
      </c>
      <c r="CT5" s="50" t="str">
        <f>IFERROR(__xludf.DUMMYFUNCTION("""COMPUTED_VALUE"""),"sharesOutstanding")</f>
        <v>sharesOutstanding</v>
      </c>
      <c r="CU5" s="50" t="str">
        <f>IFERROR(__xludf.DUMMYFUNCTION("""COMPUTED_VALUE"""),"underlyingSharesOutstanding")</f>
        <v>underlyingSharesOutstanding</v>
      </c>
      <c r="CV5" s="50" t="str">
        <f>IFERROR(__xludf.DUMMYFUNCTION("""COMPUTED_VALUE"""),"marketCapitalization")</f>
        <v>marketCapitalization</v>
      </c>
      <c r="CW5" s="50" t="str">
        <f>IFERROR(__xludf.DUMMYFUNCTION("""COMPUTED_VALUE"""),"underlyingMarketCapitalization")</f>
        <v>underlyingMarketCapitalization</v>
      </c>
      <c r="CX5" s="50" t="str">
        <f>IFERROR(__xludf.DUMMYFUNCTION("""COMPUTED_VALUE"""),"avgVolume")</f>
        <v>avgVolume</v>
      </c>
      <c r="CY5" s="50" t="str">
        <f>IFERROR(__xludf.DUMMYFUNCTION("""COMPUTED_VALUE"""),"businessDaysToExpire")</f>
        <v>businessDaysToExpire</v>
      </c>
      <c r="CZ5" s="50" t="str">
        <f>IFERROR(__xludf.DUMMYFUNCTION("""COMPUTED_VALUE"""),"actualDaysToExpire")</f>
        <v>actualDaysToExpire</v>
      </c>
      <c r="DA5" s="50" t="str">
        <f>IFERROR(__xludf.DUMMYFUNCTION("""COMPUTED_VALUE"""),"equivalent")</f>
        <v>equivalent</v>
      </c>
      <c r="DB5" s="50" t="str">
        <f>IFERROR(__xludf.DUMMYFUNCTION("""COMPUTED_VALUE"""),"multiplier")</f>
        <v>multiplier</v>
      </c>
      <c r="DC5" s="50" t="str">
        <f>IFERROR(__xludf.DUMMYFUNCTION("""COMPUTED_VALUE"""),"dayInterestBase")</f>
        <v>dayInterestBase</v>
      </c>
      <c r="DD5" s="50" t="str">
        <f>IFERROR(__xludf.DUMMYFUNCTION("""COMPUTED_VALUE"""),"totalInterestBase")</f>
        <v>totalInterestBase</v>
      </c>
      <c r="DE5" s="50" t="str">
        <f>IFERROR(__xludf.DUMMYFUNCTION("""COMPUTED_VALUE"""),"dayInterestLocal")</f>
        <v>dayInterestLocal</v>
      </c>
      <c r="DF5" s="50" t="str">
        <f>IFERROR(__xludf.DUMMYFUNCTION("""COMPUTED_VALUE"""),"totalInterestLocal")</f>
        <v>totalInterestLocal</v>
      </c>
      <c r="DG5" s="50" t="str">
        <f>IFERROR(__xludf.DUMMYFUNCTION("""COMPUTED_VALUE"""),"defaultPositionSide")</f>
        <v>defaultPositionSide</v>
      </c>
      <c r="DH5" s="50" t="str">
        <f>IFERROR(__xludf.DUMMYFUNCTION("""COMPUTED_VALUE"""),"exposurePositionSide")</f>
        <v>exposurePositionSide</v>
      </c>
      <c r="DI5" s="50" t="str">
        <f>IFERROR(__xludf.DUMMYFUNCTION("""COMPUTED_VALUE"""),"longNotionalBase")</f>
        <v>longNotionalBase</v>
      </c>
      <c r="DJ5" s="50" t="str">
        <f>IFERROR(__xludf.DUMMYFUNCTION("""COMPUTED_VALUE"""),"shortNotionalBase")</f>
        <v>shortNotionalBase</v>
      </c>
      <c r="DK5" s="50" t="str">
        <f>IFERROR(__xludf.DUMMYFUNCTION("""COMPUTED_VALUE"""),"shortMarketValueBase")</f>
        <v>shortMarketValueBase</v>
      </c>
      <c r="DL5" s="50" t="str">
        <f>IFERROR(__xludf.DUMMYFUNCTION("""COMPUTED_VALUE"""),"longMarketValueBase")</f>
        <v>longMarketValueBase</v>
      </c>
      <c r="DM5" s="50" t="str">
        <f>IFERROR(__xludf.DUMMYFUNCTION("""COMPUTED_VALUE"""),"shortExposureBase")</f>
        <v>shortExposureBase</v>
      </c>
      <c r="DN5" s="50" t="str">
        <f>IFERROR(__xludf.DUMMYFUNCTION("""COMPUTED_VALUE"""),"longExposureBase")</f>
        <v>longExposureBase</v>
      </c>
      <c r="DO5" s="50" t="str">
        <f>IFERROR(__xludf.DUMMYFUNCTION("""COMPUTED_VALUE"""),"globalNav")</f>
        <v>globalNav</v>
      </c>
      <c r="DP5" s="50" t="str">
        <f>IFERROR(__xludf.DUMMYFUNCTION("""COMPUTED_VALUE"""),"startOfDayNavGlobal")</f>
        <v>startOfDayNavGlobal</v>
      </c>
      <c r="DQ5" s="50" t="str">
        <f>IFERROR(__xludf.DUMMYFUNCTION("""COMPUTED_VALUE"""),"grossMarketValueBaseGlobal")</f>
        <v>grossMarketValueBaseGlobal</v>
      </c>
      <c r="DR5" s="50" t="str">
        <f>IFERROR(__xludf.DUMMYFUNCTION("""COMPUTED_VALUE"""),"grossExposureBaseGlobal")</f>
        <v>grossExposureBaseGlobal</v>
      </c>
      <c r="DS5" s="50" t="str">
        <f>IFERROR(__xludf.DUMMYFUNCTION("""COMPUTED_VALUE"""),"netExposureBaseGlobal")</f>
        <v>netExposureBaseGlobal</v>
      </c>
      <c r="DT5" s="50" t="str">
        <f>IFERROR(__xludf.DUMMYFUNCTION("""COMPUTED_VALUE"""),"accountNav")</f>
        <v>accountNav</v>
      </c>
      <c r="DU5" s="50" t="str">
        <f>IFERROR(__xludf.DUMMYFUNCTION("""COMPUTED_VALUE"""),"accountNRA")</f>
        <v>accountNRA</v>
      </c>
      <c r="DV5" s="50" t="str">
        <f>IFERROR(__xludf.DUMMYFUNCTION("""COMPUTED_VALUE"""),"startOfDayNavAccount")</f>
        <v>startOfDayNavAccount</v>
      </c>
      <c r="DW5" s="50" t="str">
        <f>IFERROR(__xludf.DUMMYFUNCTION("""COMPUTED_VALUE"""),"grossMarketValueBaseAccount")</f>
        <v>grossMarketValueBaseAccount</v>
      </c>
      <c r="DX5" s="50" t="str">
        <f>IFERROR(__xludf.DUMMYFUNCTION("""COMPUTED_VALUE"""),"grossExposureBaseAccount")</f>
        <v>grossExposureBaseAccount</v>
      </c>
      <c r="DY5" s="50" t="str">
        <f>IFERROR(__xludf.DUMMYFUNCTION("""COMPUTED_VALUE"""),"netExposureBaseAccount")</f>
        <v>netExposureBaseAccount</v>
      </c>
      <c r="DZ5" s="50" t="str">
        <f>IFERROR(__xludf.DUMMYFUNCTION("""COMPUTED_VALUE"""),"currentCash")</f>
        <v>currentCash</v>
      </c>
      <c r="EA5" s="50" t="str">
        <f>IFERROR(__xludf.DUMMYFUNCTION("""COMPUTED_VALUE"""),"accrual")</f>
        <v>accrual</v>
      </c>
      <c r="EB5" s="50" t="str">
        <f>IFERROR(__xludf.DUMMYFUNCTION("""COMPUTED_VALUE"""),"masterFundNav")</f>
        <v>masterFundNav</v>
      </c>
      <c r="EC5" s="50" t="str">
        <f>IFERROR(__xludf.DUMMYFUNCTION("""COMPUTED_VALUE"""),"startOfDayNavMasterFund")</f>
        <v>startOfDayNavMasterFund</v>
      </c>
      <c r="ED5" s="50" t="str">
        <f>IFERROR(__xludf.DUMMYFUNCTION("""COMPUTED_VALUE"""),"grossMarketValueBaseMasterFund")</f>
        <v>grossMarketValueBaseMasterFund</v>
      </c>
      <c r="EE5" s="50" t="str">
        <f>IFERROR(__xludf.DUMMYFUNCTION("""COMPUTED_VALUE"""),"grossExposureBaseMasterFund")</f>
        <v>grossExposureBaseMasterFund</v>
      </c>
      <c r="EF5" s="50" t="str">
        <f>IFERROR(__xludf.DUMMYFUNCTION("""COMPUTED_VALUE"""),"netExposureBaseMasterFund")</f>
        <v>netExposureBaseMasterFund</v>
      </c>
      <c r="EG5" s="50" t="str">
        <f>IFERROR(__xludf.DUMMYFUNCTION("""COMPUTED_VALUE"""),"percentNetMarketValueAccount")</f>
        <v>percentNetMarketValueAccount</v>
      </c>
      <c r="EH5" s="50" t="str">
        <f>IFERROR(__xludf.DUMMYFUNCTION("""COMPUTED_VALUE"""),"percentLongExposureAccount")</f>
        <v>percentLongExposureAccount</v>
      </c>
      <c r="EI5" s="50" t="str">
        <f>IFERROR(__xludf.DUMMYFUNCTION("""COMPUTED_VALUE"""),"percentShortExposureAccount")</f>
        <v>percentShortExposureAccount</v>
      </c>
      <c r="EJ5" s="50" t="str">
        <f>IFERROR(__xludf.DUMMYFUNCTION("""COMPUTED_VALUE"""),"percentNetExposureAccount")</f>
        <v>percentNetExposureAccount</v>
      </c>
      <c r="EK5" s="50" t="str">
        <f>IFERROR(__xludf.DUMMYFUNCTION("""COMPUTED_VALUE"""),"percentBetaAdjustedExposureAccount")</f>
        <v>percentBetaAdjustedExposureAccount</v>
      </c>
      <c r="EL5" s="50" t="str">
        <f>IFERROR(__xludf.DUMMYFUNCTION("""COMPUTED_VALUE"""),"percentGrossExposureAccount")</f>
        <v>percentGrossExposureAccount</v>
      </c>
      <c r="EM5" s="50" t="str">
        <f>IFERROR(__xludf.DUMMYFUNCTION("""COMPUTED_VALUE"""),"percentLongMarketValueAccount")</f>
        <v>percentLongMarketValueAccount</v>
      </c>
      <c r="EN5" s="50" t="str">
        <f>IFERROR(__xludf.DUMMYFUNCTION("""COMPUTED_VALUE"""),"percentShortMarketValueAccount")</f>
        <v>percentShortMarketValueAccount</v>
      </c>
      <c r="EO5" s="50" t="str">
        <f>IFERROR(__xludf.DUMMYFUNCTION("""COMPUTED_VALUE"""),"percentGrossMarketValueAccount")</f>
        <v>percentGrossMarketValueAccount</v>
      </c>
      <c r="EP5" s="50" t="str">
        <f>IFERROR(__xludf.DUMMYFUNCTION("""COMPUTED_VALUE"""),"percentLongNotionalAccount")</f>
        <v>percentLongNotionalAccount</v>
      </c>
      <c r="EQ5" s="50" t="str">
        <f>IFERROR(__xludf.DUMMYFUNCTION("""COMPUTED_VALUE"""),"percentShortNotionalAccount")</f>
        <v>percentShortNotionalAccount</v>
      </c>
      <c r="ER5" s="50" t="str">
        <f>IFERROR(__xludf.DUMMYFUNCTION("""COMPUTED_VALUE"""),"percentNetNotionalAccount")</f>
        <v>percentNetNotionalAccount</v>
      </c>
      <c r="ES5" s="50" t="str">
        <f>IFERROR(__xludf.DUMMYFUNCTION("""COMPUTED_VALUE"""),"pnlContributionAccount")</f>
        <v>pnlContributionAccount</v>
      </c>
      <c r="ET5" s="50" t="str">
        <f>IFERROR(__xludf.DUMMYFUNCTION("""COMPUTED_VALUE"""),"percentCostBasisPnlAccount")</f>
        <v>percentCostBasisPnlAccount</v>
      </c>
      <c r="EU5" s="50" t="str">
        <f>IFERROR(__xludf.DUMMYFUNCTION("""COMPUTED_VALUE"""),"dayReturnAccount")</f>
        <v>dayReturnAccount</v>
      </c>
      <c r="EV5" s="50" t="str">
        <f>IFERROR(__xludf.DUMMYFUNCTION("""COMPUTED_VALUE"""),"percentNetMarketValueMasterFund")</f>
        <v>percentNetMarketValueMasterFund</v>
      </c>
      <c r="EW5" s="50" t="str">
        <f>IFERROR(__xludf.DUMMYFUNCTION("""COMPUTED_VALUE"""),"percentLongExposureMasterFund")</f>
        <v>percentLongExposureMasterFund</v>
      </c>
      <c r="EX5" s="50" t="str">
        <f>IFERROR(__xludf.DUMMYFUNCTION("""COMPUTED_VALUE"""),"percentShortExposureMasterFund")</f>
        <v>percentShortExposureMasterFund</v>
      </c>
      <c r="EY5" s="50" t="str">
        <f>IFERROR(__xludf.DUMMYFUNCTION("""COMPUTED_VALUE"""),"percentNetExposureMasterFund")</f>
        <v>percentNetExposureMasterFund</v>
      </c>
      <c r="EZ5" s="50" t="str">
        <f>IFERROR(__xludf.DUMMYFUNCTION("""COMPUTED_VALUE"""),"percentBetaAdjustedExposureMasterFund")</f>
        <v>percentBetaAdjustedExposureMasterFund</v>
      </c>
      <c r="FA5" s="50" t="str">
        <f>IFERROR(__xludf.DUMMYFUNCTION("""COMPUTED_VALUE"""),"percentGrossExposureMasterFund")</f>
        <v>percentGrossExposureMasterFund</v>
      </c>
      <c r="FB5" s="50" t="str">
        <f>IFERROR(__xludf.DUMMYFUNCTION("""COMPUTED_VALUE"""),"percentLongMarketValueMasterFund")</f>
        <v>percentLongMarketValueMasterFund</v>
      </c>
      <c r="FC5" s="50" t="str">
        <f>IFERROR(__xludf.DUMMYFUNCTION("""COMPUTED_VALUE"""),"percentShortMarketValueMasterFund")</f>
        <v>percentShortMarketValueMasterFund</v>
      </c>
      <c r="FD5" s="50" t="str">
        <f>IFERROR(__xludf.DUMMYFUNCTION("""COMPUTED_VALUE"""),"percentGrossMarketValueMasterFund")</f>
        <v>percentGrossMarketValueMasterFund</v>
      </c>
      <c r="FE5" s="50" t="str">
        <f>IFERROR(__xludf.DUMMYFUNCTION("""COMPUTED_VALUE"""),"percentLongNotionalMasterFund")</f>
        <v>percentLongNotionalMasterFund</v>
      </c>
      <c r="FF5" s="50" t="str">
        <f>IFERROR(__xludf.DUMMYFUNCTION("""COMPUTED_VALUE"""),"percentShortNotionalMasterFund")</f>
        <v>percentShortNotionalMasterFund</v>
      </c>
      <c r="FG5" s="50" t="str">
        <f>IFERROR(__xludf.DUMMYFUNCTION("""COMPUTED_VALUE"""),"percentNetNotionalMasterFund")</f>
        <v>percentNetNotionalMasterFund</v>
      </c>
      <c r="FH5" s="50" t="str">
        <f>IFERROR(__xludf.DUMMYFUNCTION("""COMPUTED_VALUE"""),"pnlContributionMasterFund")</f>
        <v>pnlContributionMasterFund</v>
      </c>
      <c r="FI5" s="50" t="str">
        <f>IFERROR(__xludf.DUMMYFUNCTION("""COMPUTED_VALUE"""),"percentCostBasisPnlMasterFund")</f>
        <v>percentCostBasisPnlMasterFund</v>
      </c>
      <c r="FJ5" s="50" t="str">
        <f>IFERROR(__xludf.DUMMYFUNCTION("""COMPUTED_VALUE"""),"dayReturnMasterFund")</f>
        <v>dayReturnMasterFund</v>
      </c>
      <c r="FK5" s="50" t="str">
        <f>IFERROR(__xludf.DUMMYFUNCTION("""COMPUTED_VALUE"""),"percentNetMarketValueGlobal")</f>
        <v>percentNetMarketValueGlobal</v>
      </c>
      <c r="FL5" s="50" t="str">
        <f>IFERROR(__xludf.DUMMYFUNCTION("""COMPUTED_VALUE"""),"percentLongExposureGlobal")</f>
        <v>percentLongExposureGlobal</v>
      </c>
      <c r="FM5" s="50" t="str">
        <f>IFERROR(__xludf.DUMMYFUNCTION("""COMPUTED_VALUE"""),"percentShortExposureGlobal")</f>
        <v>percentShortExposureGlobal</v>
      </c>
      <c r="FN5" s="50" t="str">
        <f>IFERROR(__xludf.DUMMYFUNCTION("""COMPUTED_VALUE"""),"percentNetExposureGlobal")</f>
        <v>percentNetExposureGlobal</v>
      </c>
      <c r="FO5" s="50" t="str">
        <f>IFERROR(__xludf.DUMMYFUNCTION("""COMPUTED_VALUE"""),"percentBetaAdjustedExposureGlobal")</f>
        <v>percentBetaAdjustedExposureGlobal</v>
      </c>
      <c r="FP5" s="50" t="str">
        <f>IFERROR(__xludf.DUMMYFUNCTION("""COMPUTED_VALUE"""),"percentGrossExposureGlobal")</f>
        <v>percentGrossExposureGlobal</v>
      </c>
      <c r="FQ5" s="50" t="str">
        <f>IFERROR(__xludf.DUMMYFUNCTION("""COMPUTED_VALUE"""),"percentLongMarketValueGlobal")</f>
        <v>percentLongMarketValueGlobal</v>
      </c>
      <c r="FR5" s="50" t="str">
        <f>IFERROR(__xludf.DUMMYFUNCTION("""COMPUTED_VALUE"""),"percentShortMarketValueGlobal")</f>
        <v>percentShortMarketValueGlobal</v>
      </c>
      <c r="FS5" s="50" t="str">
        <f>IFERROR(__xludf.DUMMYFUNCTION("""COMPUTED_VALUE"""),"percentGrossMarketValueGlobal")</f>
        <v>percentGrossMarketValueGlobal</v>
      </c>
      <c r="FT5" s="50" t="str">
        <f>IFERROR(__xludf.DUMMYFUNCTION("""COMPUTED_VALUE"""),"percentLongNotionalGlobal")</f>
        <v>percentLongNotionalGlobal</v>
      </c>
      <c r="FU5" s="50" t="str">
        <f>IFERROR(__xludf.DUMMYFUNCTION("""COMPUTED_VALUE"""),"percentShortNotionalGlobal")</f>
        <v>percentShortNotionalGlobal</v>
      </c>
      <c r="FV5" s="50" t="str">
        <f>IFERROR(__xludf.DUMMYFUNCTION("""COMPUTED_VALUE"""),"percentNetNotionalGlobal")</f>
        <v>percentNetNotionalGlobal</v>
      </c>
      <c r="FW5" s="50" t="str">
        <f>IFERROR(__xludf.DUMMYFUNCTION("""COMPUTED_VALUE"""),"pnlContributionGlobal")</f>
        <v>pnlContributionGlobal</v>
      </c>
      <c r="FX5" s="50" t="str">
        <f>IFERROR(__xludf.DUMMYFUNCTION("""COMPUTED_VALUE"""),"percentCostBasisPnlGlobal")</f>
        <v>percentCostBasisPnlGlobal</v>
      </c>
      <c r="FY5" s="50" t="str">
        <f>IFERROR(__xludf.DUMMYFUNCTION("""COMPUTED_VALUE"""),"dayReturnGlobal")</f>
        <v>dayReturnGlobal</v>
      </c>
      <c r="FZ5" s="50" t="str">
        <f>IFERROR(__xludf.DUMMYFUNCTION("""COMPUTED_VALUE"""),"longDebitBalance")</f>
        <v>longDebitBalance</v>
      </c>
      <c r="GA5" s="50" t="str">
        <f>IFERROR(__xludf.DUMMYFUNCTION("""COMPUTED_VALUE"""),"shortCreditBalance")</f>
        <v>shortCreditBalance</v>
      </c>
      <c r="GB5" s="50"/>
      <c r="GC5" s="50"/>
      <c r="GD5" s="50"/>
      <c r="GE5" s="50"/>
      <c r="GF5" s="50"/>
      <c r="GG5" s="50"/>
      <c r="GH5" s="50"/>
      <c r="GI5" s="50"/>
      <c r="GJ5" s="50"/>
      <c r="GK5" s="50"/>
    </row>
    <row r="6" ht="15.75" customHeight="1">
      <c r="A6" s="52"/>
      <c r="B6" s="52" t="s">
        <v>40</v>
      </c>
      <c r="C6" s="53"/>
      <c r="D6" s="52" t="s">
        <v>46</v>
      </c>
      <c r="E6" s="60" t="s">
        <v>43</v>
      </c>
      <c r="F6" s="60" t="s">
        <v>43</v>
      </c>
      <c r="G6" s="53" t="s">
        <v>21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3"/>
      <c r="AJ6" s="53"/>
      <c r="AK6" s="53"/>
      <c r="AL6" s="53"/>
      <c r="AM6" s="53"/>
      <c r="AN6" s="54"/>
      <c r="AO6" s="54"/>
      <c r="AP6" s="55">
        <v>500.0</v>
      </c>
      <c r="AQ6" s="55">
        <v>500.0</v>
      </c>
      <c r="AR6" s="55">
        <v>0.0</v>
      </c>
      <c r="AS6" s="55">
        <v>50.0</v>
      </c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</row>
    <row r="7" ht="15.75" customHeight="1">
      <c r="A7" s="53"/>
      <c r="B7" s="53" t="s">
        <v>40</v>
      </c>
      <c r="C7" s="53"/>
      <c r="D7" s="53" t="s">
        <v>46</v>
      </c>
      <c r="E7" s="60" t="s">
        <v>42</v>
      </c>
      <c r="F7" s="60" t="s">
        <v>42</v>
      </c>
      <c r="G7" s="53" t="s">
        <v>21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3"/>
      <c r="AJ7" s="53"/>
      <c r="AK7" s="53"/>
      <c r="AL7" s="53"/>
      <c r="AM7" s="53"/>
      <c r="AN7" s="54"/>
      <c r="AO7" s="54"/>
      <c r="AP7" s="55">
        <v>500.0</v>
      </c>
      <c r="AQ7" s="55">
        <v>500.0</v>
      </c>
      <c r="AR7" s="55">
        <v>0.0</v>
      </c>
      <c r="AS7" s="55">
        <v>50.0</v>
      </c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  <c r="GF36" s="47"/>
      <c r="GG36" s="47"/>
      <c r="GH36" s="47"/>
      <c r="GI36" s="47"/>
      <c r="GJ36" s="47"/>
      <c r="GK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7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  <c r="GE40" s="47"/>
      <c r="GF40" s="47"/>
      <c r="GG40" s="47"/>
      <c r="GH40" s="47"/>
      <c r="GI40" s="47"/>
      <c r="GJ40" s="47"/>
      <c r="GK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  <c r="EY41" s="47"/>
      <c r="EZ41" s="47"/>
      <c r="FA41" s="47"/>
      <c r="FB41" s="47"/>
      <c r="FC41" s="47"/>
      <c r="FD41" s="47"/>
      <c r="FE41" s="47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  <c r="GE41" s="47"/>
      <c r="GF41" s="47"/>
      <c r="GG41" s="47"/>
      <c r="GH41" s="47"/>
      <c r="GI41" s="47"/>
      <c r="GJ41" s="47"/>
      <c r="GK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47"/>
      <c r="FG42" s="47"/>
      <c r="FH42" s="47"/>
      <c r="FI42" s="47"/>
      <c r="FJ42" s="47"/>
      <c r="FK42" s="47"/>
      <c r="FL42" s="47"/>
      <c r="FM42" s="47"/>
      <c r="FN42" s="47"/>
      <c r="FO42" s="47"/>
      <c r="FP42" s="47"/>
      <c r="FQ42" s="47"/>
      <c r="FR42" s="47"/>
      <c r="FS42" s="47"/>
      <c r="FT42" s="47"/>
      <c r="FU42" s="47"/>
      <c r="FV42" s="47"/>
      <c r="FW42" s="47"/>
      <c r="FX42" s="47"/>
      <c r="FY42" s="47"/>
      <c r="FZ42" s="47"/>
      <c r="GA42" s="47"/>
      <c r="GB42" s="47"/>
      <c r="GC42" s="47"/>
      <c r="GD42" s="47"/>
      <c r="GE42" s="47"/>
      <c r="GF42" s="47"/>
      <c r="GG42" s="47"/>
      <c r="GH42" s="47"/>
      <c r="GI42" s="47"/>
      <c r="GJ42" s="47"/>
      <c r="GK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47"/>
      <c r="FG43" s="47"/>
      <c r="FH43" s="47"/>
      <c r="FI43" s="47"/>
      <c r="FJ43" s="47"/>
      <c r="FK43" s="47"/>
      <c r="FL43" s="47"/>
      <c r="FM43" s="47"/>
      <c r="FN43" s="47"/>
      <c r="FO43" s="47"/>
      <c r="FP43" s="47"/>
      <c r="FQ43" s="47"/>
      <c r="FR43" s="47"/>
      <c r="FS43" s="47"/>
      <c r="FT43" s="47"/>
      <c r="FU43" s="47"/>
      <c r="FV43" s="47"/>
      <c r="FW43" s="47"/>
      <c r="FX43" s="47"/>
      <c r="FY43" s="47"/>
      <c r="FZ43" s="47"/>
      <c r="GA43" s="47"/>
      <c r="GB43" s="47"/>
      <c r="GC43" s="47"/>
      <c r="GD43" s="47"/>
      <c r="GE43" s="47"/>
      <c r="GF43" s="47"/>
      <c r="GG43" s="47"/>
      <c r="GH43" s="47"/>
      <c r="GI43" s="47"/>
      <c r="GJ43" s="47"/>
      <c r="GK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47"/>
      <c r="FG44" s="47"/>
      <c r="FH44" s="47"/>
      <c r="FI44" s="47"/>
      <c r="FJ44" s="47"/>
      <c r="FK44" s="47"/>
      <c r="FL44" s="47"/>
      <c r="FM44" s="47"/>
      <c r="FN44" s="47"/>
      <c r="FO44" s="47"/>
      <c r="FP44" s="47"/>
      <c r="FQ44" s="47"/>
      <c r="FR44" s="47"/>
      <c r="FS44" s="47"/>
      <c r="FT44" s="47"/>
      <c r="FU44" s="47"/>
      <c r="FV44" s="47"/>
      <c r="FW44" s="47"/>
      <c r="FX44" s="47"/>
      <c r="FY44" s="47"/>
      <c r="FZ44" s="47"/>
      <c r="GA44" s="47"/>
      <c r="GB44" s="47"/>
      <c r="GC44" s="47"/>
      <c r="GD44" s="47"/>
      <c r="GE44" s="47"/>
      <c r="GF44" s="47"/>
      <c r="GG44" s="47"/>
      <c r="GH44" s="47"/>
      <c r="GI44" s="47"/>
      <c r="GJ44" s="47"/>
      <c r="GK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47"/>
      <c r="FG45" s="47"/>
      <c r="FH45" s="47"/>
      <c r="FI45" s="47"/>
      <c r="FJ45" s="47"/>
      <c r="FK45" s="47"/>
      <c r="FL45" s="47"/>
      <c r="FM45" s="47"/>
      <c r="FN45" s="47"/>
      <c r="FO45" s="47"/>
      <c r="FP45" s="47"/>
      <c r="FQ45" s="47"/>
      <c r="FR45" s="47"/>
      <c r="FS45" s="47"/>
      <c r="FT45" s="47"/>
      <c r="FU45" s="47"/>
      <c r="FV45" s="47"/>
      <c r="FW45" s="47"/>
      <c r="FX45" s="47"/>
      <c r="FY45" s="47"/>
      <c r="FZ45" s="47"/>
      <c r="GA45" s="47"/>
      <c r="GB45" s="47"/>
      <c r="GC45" s="47"/>
      <c r="GD45" s="47"/>
      <c r="GE45" s="47"/>
      <c r="GF45" s="47"/>
      <c r="GG45" s="47"/>
      <c r="GH45" s="47"/>
      <c r="GI45" s="47"/>
      <c r="GJ45" s="47"/>
      <c r="GK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47"/>
      <c r="FG46" s="47"/>
      <c r="FH46" s="47"/>
      <c r="FI46" s="47"/>
      <c r="FJ46" s="47"/>
      <c r="FK46" s="47"/>
      <c r="FL46" s="47"/>
      <c r="FM46" s="47"/>
      <c r="FN46" s="47"/>
      <c r="FO46" s="47"/>
      <c r="FP46" s="47"/>
      <c r="FQ46" s="47"/>
      <c r="FR46" s="47"/>
      <c r="FS46" s="47"/>
      <c r="FT46" s="47"/>
      <c r="FU46" s="47"/>
      <c r="FV46" s="47"/>
      <c r="FW46" s="47"/>
      <c r="FX46" s="47"/>
      <c r="FY46" s="47"/>
      <c r="FZ46" s="47"/>
      <c r="GA46" s="47"/>
      <c r="GB46" s="47"/>
      <c r="GC46" s="47"/>
      <c r="GD46" s="47"/>
      <c r="GE46" s="47"/>
      <c r="GF46" s="47"/>
      <c r="GG46" s="47"/>
      <c r="GH46" s="47"/>
      <c r="GI46" s="47"/>
      <c r="GJ46" s="47"/>
      <c r="GK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47"/>
      <c r="FG47" s="47"/>
      <c r="FH47" s="47"/>
      <c r="FI47" s="47"/>
      <c r="FJ47" s="47"/>
      <c r="FK47" s="47"/>
      <c r="FL47" s="47"/>
      <c r="FM47" s="47"/>
      <c r="FN47" s="47"/>
      <c r="FO47" s="47"/>
      <c r="FP47" s="47"/>
      <c r="FQ47" s="47"/>
      <c r="FR47" s="47"/>
      <c r="FS47" s="47"/>
      <c r="FT47" s="47"/>
      <c r="FU47" s="47"/>
      <c r="FV47" s="47"/>
      <c r="FW47" s="47"/>
      <c r="FX47" s="47"/>
      <c r="FY47" s="47"/>
      <c r="FZ47" s="47"/>
      <c r="GA47" s="47"/>
      <c r="GB47" s="47"/>
      <c r="GC47" s="47"/>
      <c r="GD47" s="47"/>
      <c r="GE47" s="47"/>
      <c r="GF47" s="47"/>
      <c r="GG47" s="47"/>
      <c r="GH47" s="47"/>
      <c r="GI47" s="47"/>
      <c r="GJ47" s="47"/>
      <c r="GK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47"/>
      <c r="FG48" s="47"/>
      <c r="FH48" s="47"/>
      <c r="FI48" s="47"/>
      <c r="FJ48" s="47"/>
      <c r="FK48" s="47"/>
      <c r="FL48" s="47"/>
      <c r="FM48" s="47"/>
      <c r="FN48" s="47"/>
      <c r="FO48" s="47"/>
      <c r="FP48" s="47"/>
      <c r="FQ48" s="47"/>
      <c r="FR48" s="47"/>
      <c r="FS48" s="47"/>
      <c r="FT48" s="47"/>
      <c r="FU48" s="47"/>
      <c r="FV48" s="47"/>
      <c r="FW48" s="47"/>
      <c r="FX48" s="47"/>
      <c r="FY48" s="47"/>
      <c r="FZ48" s="47"/>
      <c r="GA48" s="47"/>
      <c r="GB48" s="47"/>
      <c r="GC48" s="47"/>
      <c r="GD48" s="47"/>
      <c r="GE48" s="47"/>
      <c r="GF48" s="47"/>
      <c r="GG48" s="47"/>
      <c r="GH48" s="47"/>
      <c r="GI48" s="47"/>
      <c r="GJ48" s="47"/>
      <c r="GK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47"/>
      <c r="FG49" s="47"/>
      <c r="FH49" s="47"/>
      <c r="FI49" s="47"/>
      <c r="FJ49" s="47"/>
      <c r="FK49" s="47"/>
      <c r="FL49" s="47"/>
      <c r="FM49" s="47"/>
      <c r="FN49" s="47"/>
      <c r="FO49" s="47"/>
      <c r="FP49" s="47"/>
      <c r="FQ49" s="47"/>
      <c r="FR49" s="47"/>
      <c r="FS49" s="47"/>
      <c r="FT49" s="47"/>
      <c r="FU49" s="47"/>
      <c r="FV49" s="47"/>
      <c r="FW49" s="47"/>
      <c r="FX49" s="47"/>
      <c r="FY49" s="47"/>
      <c r="FZ49" s="47"/>
      <c r="GA49" s="47"/>
      <c r="GB49" s="47"/>
      <c r="GC49" s="47"/>
      <c r="GD49" s="47"/>
      <c r="GE49" s="47"/>
      <c r="GF49" s="47"/>
      <c r="GG49" s="47"/>
      <c r="GH49" s="47"/>
      <c r="GI49" s="47"/>
      <c r="GJ49" s="47"/>
      <c r="GK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47"/>
      <c r="FG50" s="47"/>
      <c r="FH50" s="47"/>
      <c r="FI50" s="47"/>
      <c r="FJ50" s="47"/>
      <c r="FK50" s="47"/>
      <c r="FL50" s="47"/>
      <c r="FM50" s="47"/>
      <c r="FN50" s="47"/>
      <c r="FO50" s="47"/>
      <c r="FP50" s="47"/>
      <c r="FQ50" s="47"/>
      <c r="FR50" s="47"/>
      <c r="FS50" s="47"/>
      <c r="FT50" s="47"/>
      <c r="FU50" s="47"/>
      <c r="FV50" s="47"/>
      <c r="FW50" s="47"/>
      <c r="FX50" s="47"/>
      <c r="FY50" s="47"/>
      <c r="FZ50" s="47"/>
      <c r="GA50" s="47"/>
      <c r="GB50" s="47"/>
      <c r="GC50" s="47"/>
      <c r="GD50" s="47"/>
      <c r="GE50" s="47"/>
      <c r="GF50" s="47"/>
      <c r="GG50" s="47"/>
      <c r="GH50" s="47"/>
      <c r="GI50" s="47"/>
      <c r="GJ50" s="47"/>
      <c r="GK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47"/>
      <c r="FG51" s="47"/>
      <c r="FH51" s="47"/>
      <c r="FI51" s="47"/>
      <c r="FJ51" s="47"/>
      <c r="FK51" s="47"/>
      <c r="FL51" s="47"/>
      <c r="FM51" s="47"/>
      <c r="FN51" s="47"/>
      <c r="FO51" s="47"/>
      <c r="FP51" s="47"/>
      <c r="FQ51" s="47"/>
      <c r="FR51" s="47"/>
      <c r="FS51" s="47"/>
      <c r="FT51" s="47"/>
      <c r="FU51" s="47"/>
      <c r="FV51" s="47"/>
      <c r="FW51" s="47"/>
      <c r="FX51" s="47"/>
      <c r="FY51" s="47"/>
      <c r="FZ51" s="47"/>
      <c r="GA51" s="47"/>
      <c r="GB51" s="47"/>
      <c r="GC51" s="47"/>
      <c r="GD51" s="47"/>
      <c r="GE51" s="47"/>
      <c r="GF51" s="47"/>
      <c r="GG51" s="47"/>
      <c r="GH51" s="47"/>
      <c r="GI51" s="47"/>
      <c r="GJ51" s="47"/>
      <c r="GK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47"/>
      <c r="FG52" s="47"/>
      <c r="FH52" s="47"/>
      <c r="FI52" s="47"/>
      <c r="FJ52" s="47"/>
      <c r="FK52" s="47"/>
      <c r="FL52" s="47"/>
      <c r="FM52" s="47"/>
      <c r="FN52" s="47"/>
      <c r="FO52" s="47"/>
      <c r="FP52" s="47"/>
      <c r="FQ52" s="47"/>
      <c r="FR52" s="47"/>
      <c r="FS52" s="47"/>
      <c r="FT52" s="47"/>
      <c r="FU52" s="47"/>
      <c r="FV52" s="47"/>
      <c r="FW52" s="47"/>
      <c r="FX52" s="47"/>
      <c r="FY52" s="47"/>
      <c r="FZ52" s="47"/>
      <c r="GA52" s="47"/>
      <c r="GB52" s="47"/>
      <c r="GC52" s="47"/>
      <c r="GD52" s="47"/>
      <c r="GE52" s="47"/>
      <c r="GF52" s="47"/>
      <c r="GG52" s="47"/>
      <c r="GH52" s="47"/>
      <c r="GI52" s="47"/>
      <c r="GJ52" s="47"/>
      <c r="GK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47"/>
      <c r="FU53" s="47"/>
      <c r="FV53" s="47"/>
      <c r="FW53" s="47"/>
      <c r="FX53" s="47"/>
      <c r="FY53" s="47"/>
      <c r="FZ53" s="47"/>
      <c r="GA53" s="47"/>
      <c r="GB53" s="47"/>
      <c r="GC53" s="47"/>
      <c r="GD53" s="47"/>
      <c r="GE53" s="47"/>
      <c r="GF53" s="47"/>
      <c r="GG53" s="47"/>
      <c r="GH53" s="47"/>
      <c r="GI53" s="47"/>
      <c r="GJ53" s="47"/>
      <c r="GK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  <c r="GE54" s="47"/>
      <c r="GF54" s="47"/>
      <c r="GG54" s="47"/>
      <c r="GH54" s="47"/>
      <c r="GI54" s="47"/>
      <c r="GJ54" s="47"/>
      <c r="GK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47"/>
      <c r="FO55" s="47"/>
      <c r="FP55" s="47"/>
      <c r="FQ55" s="47"/>
      <c r="FR55" s="47"/>
      <c r="FS55" s="47"/>
      <c r="FT55" s="47"/>
      <c r="FU55" s="47"/>
      <c r="FV55" s="47"/>
      <c r="FW55" s="47"/>
      <c r="FX55" s="47"/>
      <c r="FY55" s="47"/>
      <c r="FZ55" s="47"/>
      <c r="GA55" s="47"/>
      <c r="GB55" s="47"/>
      <c r="GC55" s="47"/>
      <c r="GD55" s="47"/>
      <c r="GE55" s="47"/>
      <c r="GF55" s="47"/>
      <c r="GG55" s="47"/>
      <c r="GH55" s="47"/>
      <c r="GI55" s="47"/>
      <c r="GJ55" s="47"/>
      <c r="GK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47"/>
      <c r="FG56" s="47"/>
      <c r="FH56" s="47"/>
      <c r="FI56" s="47"/>
      <c r="FJ56" s="47"/>
      <c r="FK56" s="47"/>
      <c r="FL56" s="47"/>
      <c r="FM56" s="47"/>
      <c r="FN56" s="47"/>
      <c r="FO56" s="47"/>
      <c r="FP56" s="47"/>
      <c r="FQ56" s="47"/>
      <c r="FR56" s="47"/>
      <c r="FS56" s="47"/>
      <c r="FT56" s="47"/>
      <c r="FU56" s="47"/>
      <c r="FV56" s="47"/>
      <c r="FW56" s="47"/>
      <c r="FX56" s="47"/>
      <c r="FY56" s="47"/>
      <c r="FZ56" s="47"/>
      <c r="GA56" s="47"/>
      <c r="GB56" s="47"/>
      <c r="GC56" s="47"/>
      <c r="GD56" s="47"/>
      <c r="GE56" s="47"/>
      <c r="GF56" s="47"/>
      <c r="GG56" s="47"/>
      <c r="GH56" s="47"/>
      <c r="GI56" s="47"/>
      <c r="GJ56" s="47"/>
      <c r="GK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47"/>
      <c r="FG57" s="47"/>
      <c r="FH57" s="47"/>
      <c r="FI57" s="47"/>
      <c r="FJ57" s="47"/>
      <c r="FK57" s="47"/>
      <c r="FL57" s="47"/>
      <c r="FM57" s="47"/>
      <c r="FN57" s="47"/>
      <c r="FO57" s="47"/>
      <c r="FP57" s="47"/>
      <c r="FQ57" s="47"/>
      <c r="FR57" s="47"/>
      <c r="FS57" s="47"/>
      <c r="FT57" s="47"/>
      <c r="FU57" s="47"/>
      <c r="FV57" s="47"/>
      <c r="FW57" s="47"/>
      <c r="FX57" s="47"/>
      <c r="FY57" s="47"/>
      <c r="FZ57" s="47"/>
      <c r="GA57" s="47"/>
      <c r="GB57" s="47"/>
      <c r="GC57" s="47"/>
      <c r="GD57" s="47"/>
      <c r="GE57" s="47"/>
      <c r="GF57" s="47"/>
      <c r="GG57" s="47"/>
      <c r="GH57" s="47"/>
      <c r="GI57" s="47"/>
      <c r="GJ57" s="47"/>
      <c r="GK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47"/>
      <c r="FG58" s="47"/>
      <c r="FH58" s="47"/>
      <c r="FI58" s="47"/>
      <c r="FJ58" s="47"/>
      <c r="FK58" s="47"/>
      <c r="FL58" s="47"/>
      <c r="FM58" s="47"/>
      <c r="FN58" s="47"/>
      <c r="FO58" s="47"/>
      <c r="FP58" s="47"/>
      <c r="FQ58" s="47"/>
      <c r="FR58" s="47"/>
      <c r="FS58" s="47"/>
      <c r="FT58" s="47"/>
      <c r="FU58" s="47"/>
      <c r="FV58" s="47"/>
      <c r="FW58" s="47"/>
      <c r="FX58" s="47"/>
      <c r="FY58" s="47"/>
      <c r="FZ58" s="47"/>
      <c r="GA58" s="47"/>
      <c r="GB58" s="47"/>
      <c r="GC58" s="47"/>
      <c r="GD58" s="47"/>
      <c r="GE58" s="47"/>
      <c r="GF58" s="47"/>
      <c r="GG58" s="47"/>
      <c r="GH58" s="47"/>
      <c r="GI58" s="47"/>
      <c r="GJ58" s="47"/>
      <c r="GK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47"/>
      <c r="FG59" s="47"/>
      <c r="FH59" s="47"/>
      <c r="FI59" s="47"/>
      <c r="FJ59" s="47"/>
      <c r="FK59" s="47"/>
      <c r="FL59" s="47"/>
      <c r="FM59" s="47"/>
      <c r="FN59" s="47"/>
      <c r="FO59" s="47"/>
      <c r="FP59" s="47"/>
      <c r="FQ59" s="47"/>
      <c r="FR59" s="47"/>
      <c r="FS59" s="47"/>
      <c r="FT59" s="47"/>
      <c r="FU59" s="47"/>
      <c r="FV59" s="47"/>
      <c r="FW59" s="47"/>
      <c r="FX59" s="47"/>
      <c r="FY59" s="47"/>
      <c r="FZ59" s="47"/>
      <c r="GA59" s="47"/>
      <c r="GB59" s="47"/>
      <c r="GC59" s="47"/>
      <c r="GD59" s="47"/>
      <c r="GE59" s="47"/>
      <c r="GF59" s="47"/>
      <c r="GG59" s="47"/>
      <c r="GH59" s="47"/>
      <c r="GI59" s="47"/>
      <c r="GJ59" s="47"/>
      <c r="GK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47"/>
      <c r="FG60" s="47"/>
      <c r="FH60" s="47"/>
      <c r="FI60" s="47"/>
      <c r="FJ60" s="47"/>
      <c r="FK60" s="47"/>
      <c r="FL60" s="47"/>
      <c r="FM60" s="47"/>
      <c r="FN60" s="47"/>
      <c r="FO60" s="47"/>
      <c r="FP60" s="47"/>
      <c r="FQ60" s="47"/>
      <c r="FR60" s="47"/>
      <c r="FS60" s="47"/>
      <c r="FT60" s="47"/>
      <c r="FU60" s="47"/>
      <c r="FV60" s="47"/>
      <c r="FW60" s="47"/>
      <c r="FX60" s="47"/>
      <c r="FY60" s="47"/>
      <c r="FZ60" s="47"/>
      <c r="GA60" s="47"/>
      <c r="GB60" s="47"/>
      <c r="GC60" s="47"/>
      <c r="GD60" s="47"/>
      <c r="GE60" s="47"/>
      <c r="GF60" s="47"/>
      <c r="GG60" s="47"/>
      <c r="GH60" s="47"/>
      <c r="GI60" s="47"/>
      <c r="GJ60" s="47"/>
      <c r="GK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7"/>
      <c r="FP61" s="47"/>
      <c r="FQ61" s="47"/>
      <c r="FR61" s="47"/>
      <c r="FS61" s="47"/>
      <c r="FT61" s="47"/>
      <c r="FU61" s="47"/>
      <c r="FV61" s="47"/>
      <c r="FW61" s="47"/>
      <c r="FX61" s="47"/>
      <c r="FY61" s="47"/>
      <c r="FZ61" s="47"/>
      <c r="GA61" s="47"/>
      <c r="GB61" s="47"/>
      <c r="GC61" s="47"/>
      <c r="GD61" s="47"/>
      <c r="GE61" s="47"/>
      <c r="GF61" s="47"/>
      <c r="GG61" s="47"/>
      <c r="GH61" s="47"/>
      <c r="GI61" s="47"/>
      <c r="GJ61" s="47"/>
      <c r="GK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47"/>
      <c r="FG62" s="47"/>
      <c r="FH62" s="47"/>
      <c r="FI62" s="47"/>
      <c r="FJ62" s="47"/>
      <c r="FK62" s="47"/>
      <c r="FL62" s="47"/>
      <c r="FM62" s="47"/>
      <c r="FN62" s="47"/>
      <c r="FO62" s="47"/>
      <c r="FP62" s="47"/>
      <c r="FQ62" s="47"/>
      <c r="FR62" s="47"/>
      <c r="FS62" s="47"/>
      <c r="FT62" s="47"/>
      <c r="FU62" s="47"/>
      <c r="FV62" s="47"/>
      <c r="FW62" s="47"/>
      <c r="FX62" s="47"/>
      <c r="FY62" s="47"/>
      <c r="FZ62" s="47"/>
      <c r="GA62" s="47"/>
      <c r="GB62" s="47"/>
      <c r="GC62" s="47"/>
      <c r="GD62" s="47"/>
      <c r="GE62" s="47"/>
      <c r="GF62" s="47"/>
      <c r="GG62" s="47"/>
      <c r="GH62" s="47"/>
      <c r="GI62" s="47"/>
      <c r="GJ62" s="47"/>
      <c r="GK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7"/>
      <c r="FP63" s="47"/>
      <c r="FQ63" s="47"/>
      <c r="FR63" s="47"/>
      <c r="FS63" s="47"/>
      <c r="FT63" s="47"/>
      <c r="FU63" s="47"/>
      <c r="FV63" s="47"/>
      <c r="FW63" s="47"/>
      <c r="FX63" s="47"/>
      <c r="FY63" s="47"/>
      <c r="FZ63" s="47"/>
      <c r="GA63" s="47"/>
      <c r="GB63" s="47"/>
      <c r="GC63" s="47"/>
      <c r="GD63" s="47"/>
      <c r="GE63" s="47"/>
      <c r="GF63" s="47"/>
      <c r="GG63" s="47"/>
      <c r="GH63" s="47"/>
      <c r="GI63" s="47"/>
      <c r="GJ63" s="47"/>
      <c r="GK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47"/>
      <c r="FG64" s="47"/>
      <c r="FH64" s="47"/>
      <c r="FI64" s="47"/>
      <c r="FJ64" s="47"/>
      <c r="FK64" s="47"/>
      <c r="FL64" s="47"/>
      <c r="FM64" s="47"/>
      <c r="FN64" s="47"/>
      <c r="FO64" s="47"/>
      <c r="FP64" s="47"/>
      <c r="FQ64" s="47"/>
      <c r="FR64" s="47"/>
      <c r="FS64" s="47"/>
      <c r="FT64" s="47"/>
      <c r="FU64" s="47"/>
      <c r="FV64" s="47"/>
      <c r="FW64" s="47"/>
      <c r="FX64" s="47"/>
      <c r="FY64" s="47"/>
      <c r="FZ64" s="47"/>
      <c r="GA64" s="47"/>
      <c r="GB64" s="47"/>
      <c r="GC64" s="47"/>
      <c r="GD64" s="47"/>
      <c r="GE64" s="47"/>
      <c r="GF64" s="47"/>
      <c r="GG64" s="47"/>
      <c r="GH64" s="47"/>
      <c r="GI64" s="47"/>
      <c r="GJ64" s="47"/>
      <c r="GK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47"/>
      <c r="FG65" s="47"/>
      <c r="FH65" s="47"/>
      <c r="FI65" s="47"/>
      <c r="FJ65" s="47"/>
      <c r="FK65" s="47"/>
      <c r="FL65" s="47"/>
      <c r="FM65" s="47"/>
      <c r="FN65" s="47"/>
      <c r="FO65" s="47"/>
      <c r="FP65" s="47"/>
      <c r="FQ65" s="47"/>
      <c r="FR65" s="47"/>
      <c r="FS65" s="47"/>
      <c r="FT65" s="47"/>
      <c r="FU65" s="47"/>
      <c r="FV65" s="47"/>
      <c r="FW65" s="47"/>
      <c r="FX65" s="47"/>
      <c r="FY65" s="47"/>
      <c r="FZ65" s="47"/>
      <c r="GA65" s="47"/>
      <c r="GB65" s="47"/>
      <c r="GC65" s="47"/>
      <c r="GD65" s="47"/>
      <c r="GE65" s="47"/>
      <c r="GF65" s="47"/>
      <c r="GG65" s="47"/>
      <c r="GH65" s="47"/>
      <c r="GI65" s="47"/>
      <c r="GJ65" s="47"/>
      <c r="GK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47"/>
      <c r="FG66" s="47"/>
      <c r="FH66" s="47"/>
      <c r="FI66" s="47"/>
      <c r="FJ66" s="47"/>
      <c r="FK66" s="47"/>
      <c r="FL66" s="47"/>
      <c r="FM66" s="47"/>
      <c r="FN66" s="47"/>
      <c r="FO66" s="47"/>
      <c r="FP66" s="47"/>
      <c r="FQ66" s="47"/>
      <c r="FR66" s="47"/>
      <c r="FS66" s="47"/>
      <c r="FT66" s="47"/>
      <c r="FU66" s="47"/>
      <c r="FV66" s="47"/>
      <c r="FW66" s="47"/>
      <c r="FX66" s="47"/>
      <c r="FY66" s="47"/>
      <c r="FZ66" s="47"/>
      <c r="GA66" s="47"/>
      <c r="GB66" s="47"/>
      <c r="GC66" s="47"/>
      <c r="GD66" s="47"/>
      <c r="GE66" s="47"/>
      <c r="GF66" s="47"/>
      <c r="GG66" s="47"/>
      <c r="GH66" s="47"/>
      <c r="GI66" s="47"/>
      <c r="GJ66" s="47"/>
      <c r="GK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47"/>
      <c r="FG67" s="47"/>
      <c r="FH67" s="47"/>
      <c r="FI67" s="47"/>
      <c r="FJ67" s="47"/>
      <c r="FK67" s="47"/>
      <c r="FL67" s="47"/>
      <c r="FM67" s="47"/>
      <c r="FN67" s="47"/>
      <c r="FO67" s="47"/>
      <c r="FP67" s="47"/>
      <c r="FQ67" s="47"/>
      <c r="FR67" s="47"/>
      <c r="FS67" s="47"/>
      <c r="FT67" s="47"/>
      <c r="FU67" s="47"/>
      <c r="FV67" s="47"/>
      <c r="FW67" s="47"/>
      <c r="FX67" s="47"/>
      <c r="FY67" s="47"/>
      <c r="FZ67" s="47"/>
      <c r="GA67" s="47"/>
      <c r="GB67" s="47"/>
      <c r="GC67" s="47"/>
      <c r="GD67" s="47"/>
      <c r="GE67" s="47"/>
      <c r="GF67" s="47"/>
      <c r="GG67" s="47"/>
      <c r="GH67" s="47"/>
      <c r="GI67" s="47"/>
      <c r="GJ67" s="47"/>
      <c r="GK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47"/>
      <c r="FG68" s="47"/>
      <c r="FH68" s="47"/>
      <c r="FI68" s="47"/>
      <c r="FJ68" s="47"/>
      <c r="FK68" s="47"/>
      <c r="FL68" s="47"/>
      <c r="FM68" s="47"/>
      <c r="FN68" s="47"/>
      <c r="FO68" s="47"/>
      <c r="FP68" s="47"/>
      <c r="FQ68" s="47"/>
      <c r="FR68" s="47"/>
      <c r="FS68" s="47"/>
      <c r="FT68" s="47"/>
      <c r="FU68" s="47"/>
      <c r="FV68" s="47"/>
      <c r="FW68" s="47"/>
      <c r="FX68" s="47"/>
      <c r="FY68" s="47"/>
      <c r="FZ68" s="47"/>
      <c r="GA68" s="47"/>
      <c r="GB68" s="47"/>
      <c r="GC68" s="47"/>
      <c r="GD68" s="47"/>
      <c r="GE68" s="47"/>
      <c r="GF68" s="47"/>
      <c r="GG68" s="47"/>
      <c r="GH68" s="47"/>
      <c r="GI68" s="47"/>
      <c r="GJ68" s="47"/>
      <c r="GK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47"/>
      <c r="FG69" s="47"/>
      <c r="FH69" s="47"/>
      <c r="FI69" s="47"/>
      <c r="FJ69" s="47"/>
      <c r="FK69" s="47"/>
      <c r="FL69" s="47"/>
      <c r="FM69" s="47"/>
      <c r="FN69" s="47"/>
      <c r="FO69" s="47"/>
      <c r="FP69" s="47"/>
      <c r="FQ69" s="47"/>
      <c r="FR69" s="47"/>
      <c r="FS69" s="47"/>
      <c r="FT69" s="47"/>
      <c r="FU69" s="47"/>
      <c r="FV69" s="47"/>
      <c r="FW69" s="47"/>
      <c r="FX69" s="47"/>
      <c r="FY69" s="47"/>
      <c r="FZ69" s="47"/>
      <c r="GA69" s="47"/>
      <c r="GB69" s="47"/>
      <c r="GC69" s="47"/>
      <c r="GD69" s="47"/>
      <c r="GE69" s="47"/>
      <c r="GF69" s="47"/>
      <c r="GG69" s="47"/>
      <c r="GH69" s="47"/>
      <c r="GI69" s="47"/>
      <c r="GJ69" s="47"/>
      <c r="GK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47"/>
      <c r="FG70" s="47"/>
      <c r="FH70" s="47"/>
      <c r="FI70" s="47"/>
      <c r="FJ70" s="47"/>
      <c r="FK70" s="47"/>
      <c r="FL70" s="47"/>
      <c r="FM70" s="47"/>
      <c r="FN70" s="47"/>
      <c r="FO70" s="47"/>
      <c r="FP70" s="47"/>
      <c r="FQ70" s="47"/>
      <c r="FR70" s="47"/>
      <c r="FS70" s="47"/>
      <c r="FT70" s="47"/>
      <c r="FU70" s="47"/>
      <c r="FV70" s="47"/>
      <c r="FW70" s="47"/>
      <c r="FX70" s="47"/>
      <c r="FY70" s="47"/>
      <c r="FZ70" s="47"/>
      <c r="GA70" s="47"/>
      <c r="GB70" s="47"/>
      <c r="GC70" s="47"/>
      <c r="GD70" s="47"/>
      <c r="GE70" s="47"/>
      <c r="GF70" s="47"/>
      <c r="GG70" s="47"/>
      <c r="GH70" s="47"/>
      <c r="GI70" s="47"/>
      <c r="GJ70" s="47"/>
      <c r="GK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47"/>
      <c r="FG71" s="47"/>
      <c r="FH71" s="47"/>
      <c r="FI71" s="47"/>
      <c r="FJ71" s="47"/>
      <c r="FK71" s="47"/>
      <c r="FL71" s="47"/>
      <c r="FM71" s="47"/>
      <c r="FN71" s="47"/>
      <c r="FO71" s="47"/>
      <c r="FP71" s="47"/>
      <c r="FQ71" s="47"/>
      <c r="FR71" s="47"/>
      <c r="FS71" s="47"/>
      <c r="FT71" s="47"/>
      <c r="FU71" s="47"/>
      <c r="FV71" s="47"/>
      <c r="FW71" s="47"/>
      <c r="FX71" s="47"/>
      <c r="FY71" s="47"/>
      <c r="FZ71" s="47"/>
      <c r="GA71" s="47"/>
      <c r="GB71" s="47"/>
      <c r="GC71" s="47"/>
      <c r="GD71" s="47"/>
      <c r="GE71" s="47"/>
      <c r="GF71" s="47"/>
      <c r="GG71" s="47"/>
      <c r="GH71" s="47"/>
      <c r="GI71" s="47"/>
      <c r="GJ71" s="47"/>
      <c r="GK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  <c r="EY72" s="47"/>
      <c r="EZ72" s="47"/>
      <c r="FA72" s="47"/>
      <c r="FB72" s="47"/>
      <c r="FC72" s="47"/>
      <c r="FD72" s="47"/>
      <c r="FE72" s="47"/>
      <c r="FF72" s="47"/>
      <c r="FG72" s="47"/>
      <c r="FH72" s="47"/>
      <c r="FI72" s="47"/>
      <c r="FJ72" s="47"/>
      <c r="FK72" s="47"/>
      <c r="FL72" s="47"/>
      <c r="FM72" s="47"/>
      <c r="FN72" s="47"/>
      <c r="FO72" s="47"/>
      <c r="FP72" s="47"/>
      <c r="FQ72" s="47"/>
      <c r="FR72" s="47"/>
      <c r="FS72" s="47"/>
      <c r="FT72" s="47"/>
      <c r="FU72" s="47"/>
      <c r="FV72" s="47"/>
      <c r="FW72" s="47"/>
      <c r="FX72" s="47"/>
      <c r="FY72" s="47"/>
      <c r="FZ72" s="47"/>
      <c r="GA72" s="47"/>
      <c r="GB72" s="47"/>
      <c r="GC72" s="47"/>
      <c r="GD72" s="47"/>
      <c r="GE72" s="47"/>
      <c r="GF72" s="47"/>
      <c r="GG72" s="47"/>
      <c r="GH72" s="47"/>
      <c r="GI72" s="47"/>
      <c r="GJ72" s="47"/>
      <c r="GK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47"/>
      <c r="EG73" s="47"/>
      <c r="EH73" s="47"/>
      <c r="EI73" s="47"/>
      <c r="EJ73" s="47"/>
      <c r="EK73" s="47"/>
      <c r="EL73" s="47"/>
      <c r="EM73" s="47"/>
      <c r="EN73" s="47"/>
      <c r="EO73" s="47"/>
      <c r="EP73" s="47"/>
      <c r="EQ73" s="47"/>
      <c r="ER73" s="47"/>
      <c r="ES73" s="47"/>
      <c r="ET73" s="47"/>
      <c r="EU73" s="47"/>
      <c r="EV73" s="47"/>
      <c r="EW73" s="47"/>
      <c r="EX73" s="47"/>
      <c r="EY73" s="47"/>
      <c r="EZ73" s="47"/>
      <c r="FA73" s="47"/>
      <c r="FB73" s="47"/>
      <c r="FC73" s="47"/>
      <c r="FD73" s="47"/>
      <c r="FE73" s="47"/>
      <c r="FF73" s="47"/>
      <c r="FG73" s="47"/>
      <c r="FH73" s="47"/>
      <c r="FI73" s="47"/>
      <c r="FJ73" s="47"/>
      <c r="FK73" s="47"/>
      <c r="FL73" s="47"/>
      <c r="FM73" s="47"/>
      <c r="FN73" s="47"/>
      <c r="FO73" s="47"/>
      <c r="FP73" s="47"/>
      <c r="FQ73" s="47"/>
      <c r="FR73" s="47"/>
      <c r="FS73" s="47"/>
      <c r="FT73" s="47"/>
      <c r="FU73" s="47"/>
      <c r="FV73" s="47"/>
      <c r="FW73" s="47"/>
      <c r="FX73" s="47"/>
      <c r="FY73" s="47"/>
      <c r="FZ73" s="47"/>
      <c r="GA73" s="47"/>
      <c r="GB73" s="47"/>
      <c r="GC73" s="47"/>
      <c r="GD73" s="47"/>
      <c r="GE73" s="47"/>
      <c r="GF73" s="47"/>
      <c r="GG73" s="47"/>
      <c r="GH73" s="47"/>
      <c r="GI73" s="47"/>
      <c r="GJ73" s="47"/>
      <c r="GK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47"/>
      <c r="EG74" s="47"/>
      <c r="EH74" s="47"/>
      <c r="EI74" s="47"/>
      <c r="EJ74" s="47"/>
      <c r="EK74" s="47"/>
      <c r="EL74" s="47"/>
      <c r="EM74" s="47"/>
      <c r="EN74" s="47"/>
      <c r="EO74" s="47"/>
      <c r="EP74" s="47"/>
      <c r="EQ74" s="47"/>
      <c r="ER74" s="47"/>
      <c r="ES74" s="47"/>
      <c r="ET74" s="47"/>
      <c r="EU74" s="47"/>
      <c r="EV74" s="47"/>
      <c r="EW74" s="47"/>
      <c r="EX74" s="47"/>
      <c r="EY74" s="47"/>
      <c r="EZ74" s="47"/>
      <c r="FA74" s="47"/>
      <c r="FB74" s="47"/>
      <c r="FC74" s="47"/>
      <c r="FD74" s="47"/>
      <c r="FE74" s="47"/>
      <c r="FF74" s="47"/>
      <c r="FG74" s="47"/>
      <c r="FH74" s="47"/>
      <c r="FI74" s="47"/>
      <c r="FJ74" s="47"/>
      <c r="FK74" s="47"/>
      <c r="FL74" s="47"/>
      <c r="FM74" s="47"/>
      <c r="FN74" s="47"/>
      <c r="FO74" s="47"/>
      <c r="FP74" s="47"/>
      <c r="FQ74" s="47"/>
      <c r="FR74" s="47"/>
      <c r="FS74" s="47"/>
      <c r="FT74" s="47"/>
      <c r="FU74" s="47"/>
      <c r="FV74" s="47"/>
      <c r="FW74" s="47"/>
      <c r="FX74" s="47"/>
      <c r="FY74" s="47"/>
      <c r="FZ74" s="47"/>
      <c r="GA74" s="47"/>
      <c r="GB74" s="47"/>
      <c r="GC74" s="47"/>
      <c r="GD74" s="47"/>
      <c r="GE74" s="47"/>
      <c r="GF74" s="47"/>
      <c r="GG74" s="47"/>
      <c r="GH74" s="47"/>
      <c r="GI74" s="47"/>
      <c r="GJ74" s="47"/>
      <c r="GK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47"/>
      <c r="EG75" s="47"/>
      <c r="EH75" s="47"/>
      <c r="EI75" s="47"/>
      <c r="EJ75" s="47"/>
      <c r="EK75" s="47"/>
      <c r="EL75" s="47"/>
      <c r="EM75" s="47"/>
      <c r="EN75" s="47"/>
      <c r="EO75" s="47"/>
      <c r="EP75" s="47"/>
      <c r="EQ75" s="47"/>
      <c r="ER75" s="47"/>
      <c r="ES75" s="47"/>
      <c r="ET75" s="47"/>
      <c r="EU75" s="47"/>
      <c r="EV75" s="47"/>
      <c r="EW75" s="47"/>
      <c r="EX75" s="47"/>
      <c r="EY75" s="47"/>
      <c r="EZ75" s="47"/>
      <c r="FA75" s="47"/>
      <c r="FB75" s="47"/>
      <c r="FC75" s="47"/>
      <c r="FD75" s="47"/>
      <c r="FE75" s="47"/>
      <c r="FF75" s="47"/>
      <c r="FG75" s="47"/>
      <c r="FH75" s="47"/>
      <c r="FI75" s="47"/>
      <c r="FJ75" s="47"/>
      <c r="FK75" s="47"/>
      <c r="FL75" s="47"/>
      <c r="FM75" s="47"/>
      <c r="FN75" s="47"/>
      <c r="FO75" s="47"/>
      <c r="FP75" s="47"/>
      <c r="FQ75" s="47"/>
      <c r="FR75" s="47"/>
      <c r="FS75" s="47"/>
      <c r="FT75" s="47"/>
      <c r="FU75" s="47"/>
      <c r="FV75" s="47"/>
      <c r="FW75" s="47"/>
      <c r="FX75" s="47"/>
      <c r="FY75" s="47"/>
      <c r="FZ75" s="47"/>
      <c r="GA75" s="47"/>
      <c r="GB75" s="47"/>
      <c r="GC75" s="47"/>
      <c r="GD75" s="47"/>
      <c r="GE75" s="47"/>
      <c r="GF75" s="47"/>
      <c r="GG75" s="47"/>
      <c r="GH75" s="47"/>
      <c r="GI75" s="47"/>
      <c r="GJ75" s="47"/>
      <c r="GK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47"/>
      <c r="FG76" s="47"/>
      <c r="FH76" s="47"/>
      <c r="FI76" s="47"/>
      <c r="FJ76" s="47"/>
      <c r="FK76" s="47"/>
      <c r="FL76" s="47"/>
      <c r="FM76" s="47"/>
      <c r="FN76" s="47"/>
      <c r="FO76" s="47"/>
      <c r="FP76" s="47"/>
      <c r="FQ76" s="47"/>
      <c r="FR76" s="47"/>
      <c r="FS76" s="47"/>
      <c r="FT76" s="47"/>
      <c r="FU76" s="47"/>
      <c r="FV76" s="47"/>
      <c r="FW76" s="47"/>
      <c r="FX76" s="47"/>
      <c r="FY76" s="47"/>
      <c r="FZ76" s="47"/>
      <c r="GA76" s="47"/>
      <c r="GB76" s="47"/>
      <c r="GC76" s="47"/>
      <c r="GD76" s="47"/>
      <c r="GE76" s="47"/>
      <c r="GF76" s="47"/>
      <c r="GG76" s="47"/>
      <c r="GH76" s="47"/>
      <c r="GI76" s="47"/>
      <c r="GJ76" s="47"/>
      <c r="GK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47"/>
      <c r="FG77" s="47"/>
      <c r="FH77" s="47"/>
      <c r="FI77" s="47"/>
      <c r="FJ77" s="47"/>
      <c r="FK77" s="47"/>
      <c r="FL77" s="47"/>
      <c r="FM77" s="47"/>
      <c r="FN77" s="47"/>
      <c r="FO77" s="47"/>
      <c r="FP77" s="47"/>
      <c r="FQ77" s="47"/>
      <c r="FR77" s="47"/>
      <c r="FS77" s="47"/>
      <c r="FT77" s="47"/>
      <c r="FU77" s="47"/>
      <c r="FV77" s="47"/>
      <c r="FW77" s="47"/>
      <c r="FX77" s="47"/>
      <c r="FY77" s="47"/>
      <c r="FZ77" s="47"/>
      <c r="GA77" s="47"/>
      <c r="GB77" s="47"/>
      <c r="GC77" s="47"/>
      <c r="GD77" s="47"/>
      <c r="GE77" s="47"/>
      <c r="GF77" s="47"/>
      <c r="GG77" s="47"/>
      <c r="GH77" s="47"/>
      <c r="GI77" s="47"/>
      <c r="GJ77" s="47"/>
      <c r="GK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47"/>
      <c r="FG78" s="47"/>
      <c r="FH78" s="47"/>
      <c r="FI78" s="47"/>
      <c r="FJ78" s="47"/>
      <c r="FK78" s="47"/>
      <c r="FL78" s="47"/>
      <c r="FM78" s="47"/>
      <c r="FN78" s="47"/>
      <c r="FO78" s="47"/>
      <c r="FP78" s="47"/>
      <c r="FQ78" s="47"/>
      <c r="FR78" s="47"/>
      <c r="FS78" s="47"/>
      <c r="FT78" s="47"/>
      <c r="FU78" s="47"/>
      <c r="FV78" s="47"/>
      <c r="FW78" s="47"/>
      <c r="FX78" s="47"/>
      <c r="FY78" s="47"/>
      <c r="FZ78" s="47"/>
      <c r="GA78" s="47"/>
      <c r="GB78" s="47"/>
      <c r="GC78" s="47"/>
      <c r="GD78" s="47"/>
      <c r="GE78" s="47"/>
      <c r="GF78" s="47"/>
      <c r="GG78" s="47"/>
      <c r="GH78" s="47"/>
      <c r="GI78" s="47"/>
      <c r="GJ78" s="47"/>
      <c r="GK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47"/>
      <c r="FG79" s="47"/>
      <c r="FH79" s="47"/>
      <c r="FI79" s="47"/>
      <c r="FJ79" s="47"/>
      <c r="FK79" s="47"/>
      <c r="FL79" s="47"/>
      <c r="FM79" s="47"/>
      <c r="FN79" s="47"/>
      <c r="FO79" s="47"/>
      <c r="FP79" s="47"/>
      <c r="FQ79" s="47"/>
      <c r="FR79" s="47"/>
      <c r="FS79" s="47"/>
      <c r="FT79" s="47"/>
      <c r="FU79" s="47"/>
      <c r="FV79" s="47"/>
      <c r="FW79" s="47"/>
      <c r="FX79" s="47"/>
      <c r="FY79" s="47"/>
      <c r="FZ79" s="47"/>
      <c r="GA79" s="47"/>
      <c r="GB79" s="47"/>
      <c r="GC79" s="47"/>
      <c r="GD79" s="47"/>
      <c r="GE79" s="47"/>
      <c r="GF79" s="47"/>
      <c r="GG79" s="47"/>
      <c r="GH79" s="47"/>
      <c r="GI79" s="47"/>
      <c r="GJ79" s="47"/>
      <c r="GK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47"/>
      <c r="FG80" s="47"/>
      <c r="FH80" s="47"/>
      <c r="FI80" s="47"/>
      <c r="FJ80" s="47"/>
      <c r="FK80" s="47"/>
      <c r="FL80" s="47"/>
      <c r="FM80" s="47"/>
      <c r="FN80" s="47"/>
      <c r="FO80" s="47"/>
      <c r="FP80" s="47"/>
      <c r="FQ80" s="47"/>
      <c r="FR80" s="47"/>
      <c r="FS80" s="47"/>
      <c r="FT80" s="47"/>
      <c r="FU80" s="47"/>
      <c r="FV80" s="47"/>
      <c r="FW80" s="47"/>
      <c r="FX80" s="47"/>
      <c r="FY80" s="47"/>
      <c r="FZ80" s="47"/>
      <c r="GA80" s="47"/>
      <c r="GB80" s="47"/>
      <c r="GC80" s="47"/>
      <c r="GD80" s="47"/>
      <c r="GE80" s="47"/>
      <c r="GF80" s="47"/>
      <c r="GG80" s="47"/>
      <c r="GH80" s="47"/>
      <c r="GI80" s="47"/>
      <c r="GJ80" s="47"/>
      <c r="GK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47"/>
      <c r="FG81" s="47"/>
      <c r="FH81" s="47"/>
      <c r="FI81" s="47"/>
      <c r="FJ81" s="47"/>
      <c r="FK81" s="47"/>
      <c r="FL81" s="47"/>
      <c r="FM81" s="47"/>
      <c r="FN81" s="47"/>
      <c r="FO81" s="47"/>
      <c r="FP81" s="47"/>
      <c r="FQ81" s="47"/>
      <c r="FR81" s="47"/>
      <c r="FS81" s="47"/>
      <c r="FT81" s="47"/>
      <c r="FU81" s="47"/>
      <c r="FV81" s="47"/>
      <c r="FW81" s="47"/>
      <c r="FX81" s="47"/>
      <c r="FY81" s="47"/>
      <c r="FZ81" s="47"/>
      <c r="GA81" s="47"/>
      <c r="GB81" s="47"/>
      <c r="GC81" s="47"/>
      <c r="GD81" s="47"/>
      <c r="GE81" s="47"/>
      <c r="GF81" s="47"/>
      <c r="GG81" s="47"/>
      <c r="GH81" s="47"/>
      <c r="GI81" s="47"/>
      <c r="GJ81" s="47"/>
      <c r="GK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47"/>
      <c r="FG82" s="47"/>
      <c r="FH82" s="47"/>
      <c r="FI82" s="47"/>
      <c r="FJ82" s="47"/>
      <c r="FK82" s="47"/>
      <c r="FL82" s="47"/>
      <c r="FM82" s="47"/>
      <c r="FN82" s="47"/>
      <c r="FO82" s="47"/>
      <c r="FP82" s="47"/>
      <c r="FQ82" s="47"/>
      <c r="FR82" s="47"/>
      <c r="FS82" s="47"/>
      <c r="FT82" s="47"/>
      <c r="FU82" s="47"/>
      <c r="FV82" s="47"/>
      <c r="FW82" s="47"/>
      <c r="FX82" s="47"/>
      <c r="FY82" s="47"/>
      <c r="FZ82" s="47"/>
      <c r="GA82" s="47"/>
      <c r="GB82" s="47"/>
      <c r="GC82" s="47"/>
      <c r="GD82" s="47"/>
      <c r="GE82" s="47"/>
      <c r="GF82" s="47"/>
      <c r="GG82" s="47"/>
      <c r="GH82" s="47"/>
      <c r="GI82" s="47"/>
      <c r="GJ82" s="47"/>
      <c r="GK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47"/>
      <c r="FG83" s="47"/>
      <c r="FH83" s="47"/>
      <c r="FI83" s="47"/>
      <c r="FJ83" s="47"/>
      <c r="FK83" s="47"/>
      <c r="FL83" s="47"/>
      <c r="FM83" s="47"/>
      <c r="FN83" s="47"/>
      <c r="FO83" s="47"/>
      <c r="FP83" s="47"/>
      <c r="FQ83" s="47"/>
      <c r="FR83" s="47"/>
      <c r="FS83" s="47"/>
      <c r="FT83" s="47"/>
      <c r="FU83" s="47"/>
      <c r="FV83" s="47"/>
      <c r="FW83" s="47"/>
      <c r="FX83" s="47"/>
      <c r="FY83" s="47"/>
      <c r="FZ83" s="47"/>
      <c r="GA83" s="47"/>
      <c r="GB83" s="47"/>
      <c r="GC83" s="47"/>
      <c r="GD83" s="47"/>
      <c r="GE83" s="47"/>
      <c r="GF83" s="47"/>
      <c r="GG83" s="47"/>
      <c r="GH83" s="47"/>
      <c r="GI83" s="47"/>
      <c r="GJ83" s="47"/>
      <c r="GK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47"/>
      <c r="FG84" s="47"/>
      <c r="FH84" s="47"/>
      <c r="FI84" s="47"/>
      <c r="FJ84" s="47"/>
      <c r="FK84" s="47"/>
      <c r="FL84" s="47"/>
      <c r="FM84" s="47"/>
      <c r="FN84" s="47"/>
      <c r="FO84" s="47"/>
      <c r="FP84" s="47"/>
      <c r="FQ84" s="47"/>
      <c r="FR84" s="47"/>
      <c r="FS84" s="47"/>
      <c r="FT84" s="47"/>
      <c r="FU84" s="47"/>
      <c r="FV84" s="47"/>
      <c r="FW84" s="47"/>
      <c r="FX84" s="47"/>
      <c r="FY84" s="47"/>
      <c r="FZ84" s="47"/>
      <c r="GA84" s="47"/>
      <c r="GB84" s="47"/>
      <c r="GC84" s="47"/>
      <c r="GD84" s="47"/>
      <c r="GE84" s="47"/>
      <c r="GF84" s="47"/>
      <c r="GG84" s="47"/>
      <c r="GH84" s="47"/>
      <c r="GI84" s="47"/>
      <c r="GJ84" s="47"/>
      <c r="GK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47"/>
      <c r="FG85" s="47"/>
      <c r="FH85" s="47"/>
      <c r="FI85" s="47"/>
      <c r="FJ85" s="47"/>
      <c r="FK85" s="47"/>
      <c r="FL85" s="47"/>
      <c r="FM85" s="47"/>
      <c r="FN85" s="47"/>
      <c r="FO85" s="47"/>
      <c r="FP85" s="47"/>
      <c r="FQ85" s="47"/>
      <c r="FR85" s="47"/>
      <c r="FS85" s="47"/>
      <c r="FT85" s="47"/>
      <c r="FU85" s="47"/>
      <c r="FV85" s="47"/>
      <c r="FW85" s="47"/>
      <c r="FX85" s="47"/>
      <c r="FY85" s="47"/>
      <c r="FZ85" s="47"/>
      <c r="GA85" s="47"/>
      <c r="GB85" s="47"/>
      <c r="GC85" s="47"/>
      <c r="GD85" s="47"/>
      <c r="GE85" s="47"/>
      <c r="GF85" s="47"/>
      <c r="GG85" s="47"/>
      <c r="GH85" s="47"/>
      <c r="GI85" s="47"/>
      <c r="GJ85" s="47"/>
      <c r="GK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47"/>
      <c r="FG86" s="47"/>
      <c r="FH86" s="47"/>
      <c r="FI86" s="47"/>
      <c r="FJ86" s="47"/>
      <c r="FK86" s="47"/>
      <c r="FL86" s="47"/>
      <c r="FM86" s="47"/>
      <c r="FN86" s="47"/>
      <c r="FO86" s="47"/>
      <c r="FP86" s="47"/>
      <c r="FQ86" s="47"/>
      <c r="FR86" s="47"/>
      <c r="FS86" s="47"/>
      <c r="FT86" s="47"/>
      <c r="FU86" s="47"/>
      <c r="FV86" s="47"/>
      <c r="FW86" s="47"/>
      <c r="FX86" s="47"/>
      <c r="FY86" s="47"/>
      <c r="FZ86" s="47"/>
      <c r="GA86" s="47"/>
      <c r="GB86" s="47"/>
      <c r="GC86" s="47"/>
      <c r="GD86" s="47"/>
      <c r="GE86" s="47"/>
      <c r="GF86" s="47"/>
      <c r="GG86" s="47"/>
      <c r="GH86" s="47"/>
      <c r="GI86" s="47"/>
      <c r="GJ86" s="47"/>
      <c r="GK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47"/>
      <c r="FG87" s="47"/>
      <c r="FH87" s="47"/>
      <c r="FI87" s="47"/>
      <c r="FJ87" s="47"/>
      <c r="FK87" s="47"/>
      <c r="FL87" s="47"/>
      <c r="FM87" s="47"/>
      <c r="FN87" s="47"/>
      <c r="FO87" s="47"/>
      <c r="FP87" s="47"/>
      <c r="FQ87" s="47"/>
      <c r="FR87" s="47"/>
      <c r="FS87" s="47"/>
      <c r="FT87" s="47"/>
      <c r="FU87" s="47"/>
      <c r="FV87" s="47"/>
      <c r="FW87" s="47"/>
      <c r="FX87" s="47"/>
      <c r="FY87" s="47"/>
      <c r="FZ87" s="47"/>
      <c r="GA87" s="47"/>
      <c r="GB87" s="47"/>
      <c r="GC87" s="47"/>
      <c r="GD87" s="47"/>
      <c r="GE87" s="47"/>
      <c r="GF87" s="47"/>
      <c r="GG87" s="47"/>
      <c r="GH87" s="47"/>
      <c r="GI87" s="47"/>
      <c r="GJ87" s="47"/>
      <c r="GK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47"/>
      <c r="FG88" s="47"/>
      <c r="FH88" s="47"/>
      <c r="FI88" s="47"/>
      <c r="FJ88" s="47"/>
      <c r="FK88" s="47"/>
      <c r="FL88" s="47"/>
      <c r="FM88" s="47"/>
      <c r="FN88" s="47"/>
      <c r="FO88" s="47"/>
      <c r="FP88" s="47"/>
      <c r="FQ88" s="47"/>
      <c r="FR88" s="47"/>
      <c r="FS88" s="47"/>
      <c r="FT88" s="47"/>
      <c r="FU88" s="47"/>
      <c r="FV88" s="47"/>
      <c r="FW88" s="47"/>
      <c r="FX88" s="47"/>
      <c r="FY88" s="47"/>
      <c r="FZ88" s="47"/>
      <c r="GA88" s="47"/>
      <c r="GB88" s="47"/>
      <c r="GC88" s="47"/>
      <c r="GD88" s="47"/>
      <c r="GE88" s="47"/>
      <c r="GF88" s="47"/>
      <c r="GG88" s="47"/>
      <c r="GH88" s="47"/>
      <c r="GI88" s="47"/>
      <c r="GJ88" s="47"/>
      <c r="GK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47"/>
      <c r="FG89" s="47"/>
      <c r="FH89" s="47"/>
      <c r="FI89" s="47"/>
      <c r="FJ89" s="47"/>
      <c r="FK89" s="47"/>
      <c r="FL89" s="47"/>
      <c r="FM89" s="47"/>
      <c r="FN89" s="47"/>
      <c r="FO89" s="47"/>
      <c r="FP89" s="47"/>
      <c r="FQ89" s="47"/>
      <c r="FR89" s="47"/>
      <c r="FS89" s="47"/>
      <c r="FT89" s="47"/>
      <c r="FU89" s="47"/>
      <c r="FV89" s="47"/>
      <c r="FW89" s="47"/>
      <c r="FX89" s="47"/>
      <c r="FY89" s="47"/>
      <c r="FZ89" s="47"/>
      <c r="GA89" s="47"/>
      <c r="GB89" s="47"/>
      <c r="GC89" s="47"/>
      <c r="GD89" s="47"/>
      <c r="GE89" s="47"/>
      <c r="GF89" s="47"/>
      <c r="GG89" s="47"/>
      <c r="GH89" s="47"/>
      <c r="GI89" s="47"/>
      <c r="GJ89" s="47"/>
      <c r="GK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47"/>
      <c r="FG90" s="47"/>
      <c r="FH90" s="47"/>
      <c r="FI90" s="47"/>
      <c r="FJ90" s="47"/>
      <c r="FK90" s="47"/>
      <c r="FL90" s="47"/>
      <c r="FM90" s="47"/>
      <c r="FN90" s="47"/>
      <c r="FO90" s="47"/>
      <c r="FP90" s="47"/>
      <c r="FQ90" s="47"/>
      <c r="FR90" s="47"/>
      <c r="FS90" s="47"/>
      <c r="FT90" s="47"/>
      <c r="FU90" s="47"/>
      <c r="FV90" s="47"/>
      <c r="FW90" s="47"/>
      <c r="FX90" s="47"/>
      <c r="FY90" s="47"/>
      <c r="FZ90" s="47"/>
      <c r="GA90" s="47"/>
      <c r="GB90" s="47"/>
      <c r="GC90" s="47"/>
      <c r="GD90" s="47"/>
      <c r="GE90" s="47"/>
      <c r="GF90" s="47"/>
      <c r="GG90" s="47"/>
      <c r="GH90" s="47"/>
      <c r="GI90" s="47"/>
      <c r="GJ90" s="47"/>
      <c r="GK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47"/>
      <c r="FG91" s="47"/>
      <c r="FH91" s="47"/>
      <c r="FI91" s="47"/>
      <c r="FJ91" s="47"/>
      <c r="FK91" s="47"/>
      <c r="FL91" s="47"/>
      <c r="FM91" s="47"/>
      <c r="FN91" s="47"/>
      <c r="FO91" s="47"/>
      <c r="FP91" s="47"/>
      <c r="FQ91" s="47"/>
      <c r="FR91" s="47"/>
      <c r="FS91" s="47"/>
      <c r="FT91" s="47"/>
      <c r="FU91" s="47"/>
      <c r="FV91" s="47"/>
      <c r="FW91" s="47"/>
      <c r="FX91" s="47"/>
      <c r="FY91" s="47"/>
      <c r="FZ91" s="47"/>
      <c r="GA91" s="47"/>
      <c r="GB91" s="47"/>
      <c r="GC91" s="47"/>
      <c r="GD91" s="47"/>
      <c r="GE91" s="47"/>
      <c r="GF91" s="47"/>
      <c r="GG91" s="47"/>
      <c r="GH91" s="47"/>
      <c r="GI91" s="47"/>
      <c r="GJ91" s="47"/>
      <c r="GK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47"/>
      <c r="FG92" s="47"/>
      <c r="FH92" s="47"/>
      <c r="FI92" s="47"/>
      <c r="FJ92" s="47"/>
      <c r="FK92" s="47"/>
      <c r="FL92" s="47"/>
      <c r="FM92" s="47"/>
      <c r="FN92" s="47"/>
      <c r="FO92" s="47"/>
      <c r="FP92" s="47"/>
      <c r="FQ92" s="47"/>
      <c r="FR92" s="47"/>
      <c r="FS92" s="47"/>
      <c r="FT92" s="47"/>
      <c r="FU92" s="47"/>
      <c r="FV92" s="47"/>
      <c r="FW92" s="47"/>
      <c r="FX92" s="47"/>
      <c r="FY92" s="47"/>
      <c r="FZ92" s="47"/>
      <c r="GA92" s="47"/>
      <c r="GB92" s="47"/>
      <c r="GC92" s="47"/>
      <c r="GD92" s="47"/>
      <c r="GE92" s="47"/>
      <c r="GF92" s="47"/>
      <c r="GG92" s="47"/>
      <c r="GH92" s="47"/>
      <c r="GI92" s="47"/>
      <c r="GJ92" s="47"/>
      <c r="GK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47"/>
      <c r="FG93" s="47"/>
      <c r="FH93" s="47"/>
      <c r="FI93" s="47"/>
      <c r="FJ93" s="47"/>
      <c r="FK93" s="47"/>
      <c r="FL93" s="47"/>
      <c r="FM93" s="47"/>
      <c r="FN93" s="47"/>
      <c r="FO93" s="47"/>
      <c r="FP93" s="47"/>
      <c r="FQ93" s="47"/>
      <c r="FR93" s="47"/>
      <c r="FS93" s="47"/>
      <c r="FT93" s="47"/>
      <c r="FU93" s="47"/>
      <c r="FV93" s="47"/>
      <c r="FW93" s="47"/>
      <c r="FX93" s="47"/>
      <c r="FY93" s="47"/>
      <c r="FZ93" s="47"/>
      <c r="GA93" s="47"/>
      <c r="GB93" s="47"/>
      <c r="GC93" s="47"/>
      <c r="GD93" s="47"/>
      <c r="GE93" s="47"/>
      <c r="GF93" s="47"/>
      <c r="GG93" s="47"/>
      <c r="GH93" s="47"/>
      <c r="GI93" s="47"/>
      <c r="GJ93" s="47"/>
      <c r="GK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47"/>
      <c r="FG94" s="47"/>
      <c r="FH94" s="47"/>
      <c r="FI94" s="47"/>
      <c r="FJ94" s="47"/>
      <c r="FK94" s="47"/>
      <c r="FL94" s="47"/>
      <c r="FM94" s="47"/>
      <c r="FN94" s="47"/>
      <c r="FO94" s="47"/>
      <c r="FP94" s="47"/>
      <c r="FQ94" s="47"/>
      <c r="FR94" s="47"/>
      <c r="FS94" s="47"/>
      <c r="FT94" s="47"/>
      <c r="FU94" s="47"/>
      <c r="FV94" s="47"/>
      <c r="FW94" s="47"/>
      <c r="FX94" s="47"/>
      <c r="FY94" s="47"/>
      <c r="FZ94" s="47"/>
      <c r="GA94" s="47"/>
      <c r="GB94" s="47"/>
      <c r="GC94" s="47"/>
      <c r="GD94" s="47"/>
      <c r="GE94" s="47"/>
      <c r="GF94" s="47"/>
      <c r="GG94" s="47"/>
      <c r="GH94" s="47"/>
      <c r="GI94" s="47"/>
      <c r="GJ94" s="47"/>
      <c r="GK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47"/>
      <c r="FG95" s="47"/>
      <c r="FH95" s="47"/>
      <c r="FI95" s="47"/>
      <c r="FJ95" s="47"/>
      <c r="FK95" s="47"/>
      <c r="FL95" s="47"/>
      <c r="FM95" s="47"/>
      <c r="FN95" s="47"/>
      <c r="FO95" s="47"/>
      <c r="FP95" s="47"/>
      <c r="FQ95" s="47"/>
      <c r="FR95" s="47"/>
      <c r="FS95" s="47"/>
      <c r="FT95" s="47"/>
      <c r="FU95" s="47"/>
      <c r="FV95" s="47"/>
      <c r="FW95" s="47"/>
      <c r="FX95" s="47"/>
      <c r="FY95" s="47"/>
      <c r="FZ95" s="47"/>
      <c r="GA95" s="47"/>
      <c r="GB95" s="47"/>
      <c r="GC95" s="47"/>
      <c r="GD95" s="47"/>
      <c r="GE95" s="47"/>
      <c r="GF95" s="47"/>
      <c r="GG95" s="47"/>
      <c r="GH95" s="47"/>
      <c r="GI95" s="47"/>
      <c r="GJ95" s="47"/>
      <c r="GK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47"/>
      <c r="FG96" s="47"/>
      <c r="FH96" s="47"/>
      <c r="FI96" s="47"/>
      <c r="FJ96" s="47"/>
      <c r="FK96" s="47"/>
      <c r="FL96" s="47"/>
      <c r="FM96" s="47"/>
      <c r="FN96" s="47"/>
      <c r="FO96" s="47"/>
      <c r="FP96" s="47"/>
      <c r="FQ96" s="47"/>
      <c r="FR96" s="47"/>
      <c r="FS96" s="47"/>
      <c r="FT96" s="47"/>
      <c r="FU96" s="47"/>
      <c r="FV96" s="47"/>
      <c r="FW96" s="47"/>
      <c r="FX96" s="47"/>
      <c r="FY96" s="47"/>
      <c r="FZ96" s="47"/>
      <c r="GA96" s="47"/>
      <c r="GB96" s="47"/>
      <c r="GC96" s="47"/>
      <c r="GD96" s="47"/>
      <c r="GE96" s="47"/>
      <c r="GF96" s="47"/>
      <c r="GG96" s="47"/>
      <c r="GH96" s="47"/>
      <c r="GI96" s="47"/>
      <c r="GJ96" s="47"/>
      <c r="GK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47"/>
      <c r="FG97" s="47"/>
      <c r="FH97" s="47"/>
      <c r="FI97" s="47"/>
      <c r="FJ97" s="47"/>
      <c r="FK97" s="47"/>
      <c r="FL97" s="47"/>
      <c r="FM97" s="47"/>
      <c r="FN97" s="47"/>
      <c r="FO97" s="47"/>
      <c r="FP97" s="47"/>
      <c r="FQ97" s="47"/>
      <c r="FR97" s="47"/>
      <c r="FS97" s="47"/>
      <c r="FT97" s="47"/>
      <c r="FU97" s="47"/>
      <c r="FV97" s="47"/>
      <c r="FW97" s="47"/>
      <c r="FX97" s="47"/>
      <c r="FY97" s="47"/>
      <c r="FZ97" s="47"/>
      <c r="GA97" s="47"/>
      <c r="GB97" s="47"/>
      <c r="GC97" s="47"/>
      <c r="GD97" s="47"/>
      <c r="GE97" s="47"/>
      <c r="GF97" s="47"/>
      <c r="GG97" s="47"/>
      <c r="GH97" s="47"/>
      <c r="GI97" s="47"/>
      <c r="GJ97" s="47"/>
      <c r="GK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47"/>
      <c r="FG98" s="47"/>
      <c r="FH98" s="47"/>
      <c r="FI98" s="47"/>
      <c r="FJ98" s="47"/>
      <c r="FK98" s="47"/>
      <c r="FL98" s="47"/>
      <c r="FM98" s="47"/>
      <c r="FN98" s="47"/>
      <c r="FO98" s="47"/>
      <c r="FP98" s="47"/>
      <c r="FQ98" s="47"/>
      <c r="FR98" s="47"/>
      <c r="FS98" s="47"/>
      <c r="FT98" s="47"/>
      <c r="FU98" s="47"/>
      <c r="FV98" s="47"/>
      <c r="FW98" s="47"/>
      <c r="FX98" s="47"/>
      <c r="FY98" s="47"/>
      <c r="FZ98" s="47"/>
      <c r="GA98" s="47"/>
      <c r="GB98" s="47"/>
      <c r="GC98" s="47"/>
      <c r="GD98" s="47"/>
      <c r="GE98" s="47"/>
      <c r="GF98" s="47"/>
      <c r="GG98" s="47"/>
      <c r="GH98" s="47"/>
      <c r="GI98" s="47"/>
      <c r="GJ98" s="47"/>
      <c r="GK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47"/>
      <c r="FG99" s="47"/>
      <c r="FH99" s="47"/>
      <c r="FI99" s="47"/>
      <c r="FJ99" s="47"/>
      <c r="FK99" s="47"/>
      <c r="FL99" s="47"/>
      <c r="FM99" s="47"/>
      <c r="FN99" s="47"/>
      <c r="FO99" s="47"/>
      <c r="FP99" s="47"/>
      <c r="FQ99" s="47"/>
      <c r="FR99" s="47"/>
      <c r="FS99" s="47"/>
      <c r="FT99" s="47"/>
      <c r="FU99" s="47"/>
      <c r="FV99" s="47"/>
      <c r="FW99" s="47"/>
      <c r="FX99" s="47"/>
      <c r="FY99" s="47"/>
      <c r="FZ99" s="47"/>
      <c r="GA99" s="47"/>
      <c r="GB99" s="47"/>
      <c r="GC99" s="47"/>
      <c r="GD99" s="47"/>
      <c r="GE99" s="47"/>
      <c r="GF99" s="47"/>
      <c r="GG99" s="47"/>
      <c r="GH99" s="47"/>
      <c r="GI99" s="47"/>
      <c r="GJ99" s="47"/>
      <c r="GK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47"/>
      <c r="FG100" s="47"/>
      <c r="FH100" s="47"/>
      <c r="FI100" s="47"/>
      <c r="FJ100" s="47"/>
      <c r="FK100" s="47"/>
      <c r="FL100" s="47"/>
      <c r="FM100" s="47"/>
      <c r="FN100" s="47"/>
      <c r="FO100" s="47"/>
      <c r="FP100" s="47"/>
      <c r="FQ100" s="47"/>
      <c r="FR100" s="47"/>
      <c r="FS100" s="47"/>
      <c r="FT100" s="47"/>
      <c r="FU100" s="47"/>
      <c r="FV100" s="47"/>
      <c r="FW100" s="47"/>
      <c r="FX100" s="47"/>
      <c r="FY100" s="47"/>
      <c r="FZ100" s="47"/>
      <c r="GA100" s="47"/>
      <c r="GB100" s="47"/>
      <c r="GC100" s="47"/>
      <c r="GD100" s="47"/>
      <c r="GE100" s="47"/>
      <c r="GF100" s="47"/>
      <c r="GG100" s="47"/>
      <c r="GH100" s="47"/>
      <c r="GI100" s="47"/>
      <c r="GJ100" s="47"/>
      <c r="GK100" s="4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49" t="str">
        <f>IFERROR(__xludf.DUMMYFUNCTION("""COMPUTED_VALUE"""),"VerifyDbNavWindow")</f>
        <v>VerifyDbNavWindow</v>
      </c>
      <c r="Q4" s="49" t="str">
        <f>IFERROR(__xludf.DUMMYFUNCTION("""COMPUTED_VALUE"""),"VerifyGlobalDivisorWindow")</f>
        <v>VerifyGlobalDivisorWindow</v>
      </c>
      <c r="R4" s="49" t="str">
        <f>IFERROR(__xludf.DUMMYFUNCTION("""COMPUTED_VALUE"""),"VerifyPmCalculationPreferenceWindow")</f>
        <v>VerifyPmCalculationPreferenceWindow</v>
      </c>
      <c r="S4" s="49" t="str">
        <f>IFERROR(__xludf.DUMMYFUNCTION("""COMPUTED_VALUE"""),"VerifyRowCalculationBaseWindow")</f>
        <v>VerifyRowCalculationBaseWindow</v>
      </c>
      <c r="T4" s="49" t="str">
        <f>IFERROR(__xludf.DUMMYFUNCTION("""COMPUTED_VALUE"""),"VerifySecurityWindow")</f>
        <v>VerifySecurityWindow</v>
      </c>
      <c r="U4" s="49" t="str">
        <f>IFERROR(__xludf.DUMMYFUNCTION("""COMPUTED_VALUE"""),"VerifySymbolDataWindow")</f>
        <v>VerifySymbolDataWindow</v>
      </c>
      <c r="V4" s="49" t="str">
        <f>IFERROR(__xludf.DUMMYFUNCTION("""COMPUTED_VALUE"""),"VerifySymbolDivisorWindow")</f>
        <v>VerifySymbolDivisorWindow</v>
      </c>
      <c r="W4" s="49" t="str">
        <f>IFERROR(__xludf.DUMMYFUNCTION("""COMPUTED_VALUE"""),"VerifyTaxlotWindow")</f>
        <v>VerifyTaxlotWindow</v>
      </c>
      <c r="X4" s="49" t="str">
        <f>IFERROR(__xludf.DUMMYFUNCTION("""COMPUTED_VALUE"""),"RestartEsper")</f>
        <v>RestartEsper</v>
      </c>
      <c r="Y4" s="49" t="str">
        <f>IFERROR(__xludf.DUMMYFUNCTION("""COMPUTED_VALUE"""),"VerifyAccountNavPreferenceWindow")</f>
        <v>VerifyAccountNavPreferenceWindow</v>
      </c>
      <c r="Z4" s="49" t="str">
        <f>IFERROR(__xludf.DUMMYFUNCTION("""COMPUTED_VALUE"""),"VerifyAggregationAccountUnderlyingSymbolWithNav")</f>
        <v>VerifyAggregationAccountUnderlyingSymbolWithNav</v>
      </c>
      <c r="AA4" s="49" t="str">
        <f>IFERROR(__xludf.DUMMYFUNCTION("""COMPUTED_VALUE"""),"VerifyAggregationAssetWithNav")</f>
        <v>VerifyAggregationAssetWithNav</v>
      </c>
      <c r="AB4" s="49" t="str">
        <f>IFERROR(__xludf.DUMMYFUNCTION("""COMPUTED_VALUE"""),"VerifyAggregationSymbolWithNav")</f>
        <v>VerifyAggregationSymbolWithNav</v>
      </c>
      <c r="AC4" s="49" t="str">
        <f>IFERROR(__xludf.DUMMYFUNCTION("""COMPUTED_VALUE"""),"VerifyAggregationSubSectorWithNav")</f>
        <v>VerifyAggregationSubSectorWithNav</v>
      </c>
      <c r="AD4" s="49" t="str">
        <f>IFERROR(__xludf.DUMMYFUNCTION("""COMPUTED_VALUE"""),"VerifyAggregationGlobalWithNav")</f>
        <v>VerifyAggregationGlobalWithNav</v>
      </c>
      <c r="AE4" s="49" t="str">
        <f>IFERROR(__xludf.DUMMYFUNCTION("""COMPUTED_VALUE"""),"VerifyAggregationGlobalWithNav")</f>
        <v>VerifyAggregationGlobalWithNav</v>
      </c>
      <c r="AF4" s="49" t="str">
        <f>IFERROR(__xludf.DUMMYFUNCTION("""COMPUTED_VALUE"""),"VerifyGlobalDivisorWindow")</f>
        <v>VerifyGlobalDivisorWindow</v>
      </c>
      <c r="AG4" s="49" t="str">
        <f>IFERROR(__xludf.DUMMYFUNCTION("""COMPUTED_VALUE"""),"VerifyAccrualForAccountWindow")</f>
        <v>VerifyAccrualForAccountWindow</v>
      </c>
      <c r="AH4" s="49" t="str">
        <f>IFERROR(__xludf.DUMMYFUNCTION("""COMPUTED_VALUE"""),"VerifyGlobalDivisorWindow")</f>
        <v>VerifyGlobalDivisorWindow</v>
      </c>
      <c r="AI4" s="49" t="str">
        <f>IFERROR(__xludf.DUMMYFUNCTION("""COMPUTED_VALUE"""),"VerifyMasterFundDivisorWindow")</f>
        <v>VerifyMasterFundDivisorWindow</v>
      </c>
      <c r="AJ4" s="49" t="str">
        <f>IFERROR(__xludf.DUMMYFUNCTION("""COMPUTED_VALUE"""),"VerifyMasterFundSymbolDivisorWindow")</f>
        <v>VerifyMasterFundSymbolDivisorWindow</v>
      </c>
      <c r="AK4" s="49" t="str">
        <f>IFERROR(__xludf.DUMMYFUNCTION("""COMPUTED_VALUE"""),"VerifyAggAccountSymbolWithNav")</f>
        <v>VerifyAggAccountSymbolWithNav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0" t="str">
        <f>IFERROR(__xludf.DUMMYFUNCTION("""COMPUTED_VALUE"""),"isSwapped")</f>
        <v>isSwapped</v>
      </c>
      <c r="U5" s="50" t="str">
        <f>IFERROR(__xludf.DUMMYFUNCTION("""COMPUTED_VALUE"""),"benchMarkRate")</f>
        <v>benchMarkRate</v>
      </c>
      <c r="V5" s="50" t="str">
        <f>IFERROR(__xludf.DUMMYFUNCTION("""COMPUTED_VALUE"""),"differential")</f>
        <v>differential</v>
      </c>
      <c r="W5" s="50" t="str">
        <f>IFERROR(__xludf.DUMMYFUNCTION("""COMPUTED_VALUE"""),"swapNotional")</f>
        <v>swapNotional</v>
      </c>
      <c r="X5" s="50" t="str">
        <f>IFERROR(__xludf.DUMMYFUNCTION("""COMPUTED_VALUE"""),"dayCount")</f>
        <v>dayCount</v>
      </c>
      <c r="Y5" s="50" t="str">
        <f>IFERROR(__xludf.DUMMYFUNCTION("""COMPUTED_VALUE"""),"avgFxRateForTrade")</f>
        <v>avgFxRateForTrade</v>
      </c>
      <c r="Z5" s="50" t="str">
        <f>IFERROR(__xludf.DUMMYFUNCTION("""COMPUTED_VALUE"""),"conversionMethodOperator")</f>
        <v>conversionMethodOperator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</row>
    <row r="6" ht="15.75" customHeight="1">
      <c r="A6" s="52"/>
      <c r="B6" s="52"/>
      <c r="C6" s="53" t="s">
        <v>21</v>
      </c>
      <c r="D6" s="52"/>
      <c r="E6" s="53"/>
      <c r="F6" s="53" t="s">
        <v>39</v>
      </c>
      <c r="G6" s="53"/>
      <c r="H6" s="53" t="s">
        <v>21</v>
      </c>
      <c r="I6" s="38">
        <v>25.0</v>
      </c>
      <c r="J6" s="38"/>
      <c r="K6" s="53"/>
      <c r="L6" s="53"/>
      <c r="M6" s="53"/>
      <c r="N6" s="53"/>
      <c r="O6" s="53"/>
      <c r="P6" s="53"/>
      <c r="Q6" s="53"/>
      <c r="R6" s="53"/>
      <c r="S6" s="53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</row>
    <row r="7" ht="15.75" customHeight="1">
      <c r="A7" s="53"/>
      <c r="B7" s="53"/>
      <c r="C7" s="53" t="s">
        <v>21</v>
      </c>
      <c r="D7" s="53"/>
      <c r="E7" s="53"/>
      <c r="F7" s="53" t="s">
        <v>39</v>
      </c>
      <c r="G7" s="53"/>
      <c r="H7" s="53" t="s">
        <v>21</v>
      </c>
      <c r="I7" s="38">
        <v>25.0</v>
      </c>
      <c r="J7" s="38"/>
      <c r="K7" s="53"/>
      <c r="L7" s="53"/>
      <c r="M7" s="53"/>
      <c r="N7" s="53"/>
      <c r="O7" s="53"/>
      <c r="P7" s="53"/>
      <c r="Q7" s="53"/>
      <c r="R7" s="53"/>
      <c r="S7" s="53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</row>
    <row r="8" ht="15.75" customHeight="1">
      <c r="A8" s="54"/>
      <c r="B8" s="54"/>
      <c r="C8" s="54" t="s">
        <v>21</v>
      </c>
      <c r="D8" s="54"/>
      <c r="E8" s="54"/>
      <c r="F8" s="54" t="s">
        <v>40</v>
      </c>
      <c r="G8" s="54"/>
      <c r="H8" s="53" t="s">
        <v>21</v>
      </c>
      <c r="I8" s="38">
        <v>25.0</v>
      </c>
      <c r="J8" s="55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</row>
    <row r="9" ht="15.75" customHeight="1">
      <c r="A9" s="54"/>
      <c r="B9" s="54"/>
      <c r="C9" s="54" t="s">
        <v>21</v>
      </c>
      <c r="D9" s="54"/>
      <c r="E9" s="54"/>
      <c r="F9" s="54" t="s">
        <v>40</v>
      </c>
      <c r="G9" s="54"/>
      <c r="H9" s="53" t="s">
        <v>21</v>
      </c>
      <c r="I9" s="38">
        <v>25.0</v>
      </c>
      <c r="J9" s="55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  <c r="EX9" s="54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  <c r="GF36" s="47"/>
      <c r="GG36" s="47"/>
      <c r="GH36" s="47"/>
      <c r="GI36" s="47"/>
      <c r="GJ36" s="47"/>
      <c r="GK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7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  <c r="GE40" s="47"/>
      <c r="GF40" s="47"/>
      <c r="GG40" s="47"/>
      <c r="GH40" s="47"/>
      <c r="GI40" s="47"/>
      <c r="GJ40" s="47"/>
      <c r="GK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  <c r="EY41" s="47"/>
      <c r="EZ41" s="47"/>
      <c r="FA41" s="47"/>
      <c r="FB41" s="47"/>
      <c r="FC41" s="47"/>
      <c r="FD41" s="47"/>
      <c r="FE41" s="47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  <c r="GE41" s="47"/>
      <c r="GF41" s="47"/>
      <c r="GG41" s="47"/>
      <c r="GH41" s="47"/>
      <c r="GI41" s="47"/>
      <c r="GJ41" s="47"/>
      <c r="GK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47"/>
      <c r="FG42" s="47"/>
      <c r="FH42" s="47"/>
      <c r="FI42" s="47"/>
      <c r="FJ42" s="47"/>
      <c r="FK42" s="47"/>
      <c r="FL42" s="47"/>
      <c r="FM42" s="47"/>
      <c r="FN42" s="47"/>
      <c r="FO42" s="47"/>
      <c r="FP42" s="47"/>
      <c r="FQ42" s="47"/>
      <c r="FR42" s="47"/>
      <c r="FS42" s="47"/>
      <c r="FT42" s="47"/>
      <c r="FU42" s="47"/>
      <c r="FV42" s="47"/>
      <c r="FW42" s="47"/>
      <c r="FX42" s="47"/>
      <c r="FY42" s="47"/>
      <c r="FZ42" s="47"/>
      <c r="GA42" s="47"/>
      <c r="GB42" s="47"/>
      <c r="GC42" s="47"/>
      <c r="GD42" s="47"/>
      <c r="GE42" s="47"/>
      <c r="GF42" s="47"/>
      <c r="GG42" s="47"/>
      <c r="GH42" s="47"/>
      <c r="GI42" s="47"/>
      <c r="GJ42" s="47"/>
      <c r="GK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47"/>
      <c r="FG43" s="47"/>
      <c r="FH43" s="47"/>
      <c r="FI43" s="47"/>
      <c r="FJ43" s="47"/>
      <c r="FK43" s="47"/>
      <c r="FL43" s="47"/>
      <c r="FM43" s="47"/>
      <c r="FN43" s="47"/>
      <c r="FO43" s="47"/>
      <c r="FP43" s="47"/>
      <c r="FQ43" s="47"/>
      <c r="FR43" s="47"/>
      <c r="FS43" s="47"/>
      <c r="FT43" s="47"/>
      <c r="FU43" s="47"/>
      <c r="FV43" s="47"/>
      <c r="FW43" s="47"/>
      <c r="FX43" s="47"/>
      <c r="FY43" s="47"/>
      <c r="FZ43" s="47"/>
      <c r="GA43" s="47"/>
      <c r="GB43" s="47"/>
      <c r="GC43" s="47"/>
      <c r="GD43" s="47"/>
      <c r="GE43" s="47"/>
      <c r="GF43" s="47"/>
      <c r="GG43" s="47"/>
      <c r="GH43" s="47"/>
      <c r="GI43" s="47"/>
      <c r="GJ43" s="47"/>
      <c r="GK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47"/>
      <c r="FG44" s="47"/>
      <c r="FH44" s="47"/>
      <c r="FI44" s="47"/>
      <c r="FJ44" s="47"/>
      <c r="FK44" s="47"/>
      <c r="FL44" s="47"/>
      <c r="FM44" s="47"/>
      <c r="FN44" s="47"/>
      <c r="FO44" s="47"/>
      <c r="FP44" s="47"/>
      <c r="FQ44" s="47"/>
      <c r="FR44" s="47"/>
      <c r="FS44" s="47"/>
      <c r="FT44" s="47"/>
      <c r="FU44" s="47"/>
      <c r="FV44" s="47"/>
      <c r="FW44" s="47"/>
      <c r="FX44" s="47"/>
      <c r="FY44" s="47"/>
      <c r="FZ44" s="47"/>
      <c r="GA44" s="47"/>
      <c r="GB44" s="47"/>
      <c r="GC44" s="47"/>
      <c r="GD44" s="47"/>
      <c r="GE44" s="47"/>
      <c r="GF44" s="47"/>
      <c r="GG44" s="47"/>
      <c r="GH44" s="47"/>
      <c r="GI44" s="47"/>
      <c r="GJ44" s="47"/>
      <c r="GK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47"/>
      <c r="FG45" s="47"/>
      <c r="FH45" s="47"/>
      <c r="FI45" s="47"/>
      <c r="FJ45" s="47"/>
      <c r="FK45" s="47"/>
      <c r="FL45" s="47"/>
      <c r="FM45" s="47"/>
      <c r="FN45" s="47"/>
      <c r="FO45" s="47"/>
      <c r="FP45" s="47"/>
      <c r="FQ45" s="47"/>
      <c r="FR45" s="47"/>
      <c r="FS45" s="47"/>
      <c r="FT45" s="47"/>
      <c r="FU45" s="47"/>
      <c r="FV45" s="47"/>
      <c r="FW45" s="47"/>
      <c r="FX45" s="47"/>
      <c r="FY45" s="47"/>
      <c r="FZ45" s="47"/>
      <c r="GA45" s="47"/>
      <c r="GB45" s="47"/>
      <c r="GC45" s="47"/>
      <c r="GD45" s="47"/>
      <c r="GE45" s="47"/>
      <c r="GF45" s="47"/>
      <c r="GG45" s="47"/>
      <c r="GH45" s="47"/>
      <c r="GI45" s="47"/>
      <c r="GJ45" s="47"/>
      <c r="GK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47"/>
      <c r="FG46" s="47"/>
      <c r="FH46" s="47"/>
      <c r="FI46" s="47"/>
      <c r="FJ46" s="47"/>
      <c r="FK46" s="47"/>
      <c r="FL46" s="47"/>
      <c r="FM46" s="47"/>
      <c r="FN46" s="47"/>
      <c r="FO46" s="47"/>
      <c r="FP46" s="47"/>
      <c r="FQ46" s="47"/>
      <c r="FR46" s="47"/>
      <c r="FS46" s="47"/>
      <c r="FT46" s="47"/>
      <c r="FU46" s="47"/>
      <c r="FV46" s="47"/>
      <c r="FW46" s="47"/>
      <c r="FX46" s="47"/>
      <c r="FY46" s="47"/>
      <c r="FZ46" s="47"/>
      <c r="GA46" s="47"/>
      <c r="GB46" s="47"/>
      <c r="GC46" s="47"/>
      <c r="GD46" s="47"/>
      <c r="GE46" s="47"/>
      <c r="GF46" s="47"/>
      <c r="GG46" s="47"/>
      <c r="GH46" s="47"/>
      <c r="GI46" s="47"/>
      <c r="GJ46" s="47"/>
      <c r="GK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47"/>
      <c r="FG47" s="47"/>
      <c r="FH47" s="47"/>
      <c r="FI47" s="47"/>
      <c r="FJ47" s="47"/>
      <c r="FK47" s="47"/>
      <c r="FL47" s="47"/>
      <c r="FM47" s="47"/>
      <c r="FN47" s="47"/>
      <c r="FO47" s="47"/>
      <c r="FP47" s="47"/>
      <c r="FQ47" s="47"/>
      <c r="FR47" s="47"/>
      <c r="FS47" s="47"/>
      <c r="FT47" s="47"/>
      <c r="FU47" s="47"/>
      <c r="FV47" s="47"/>
      <c r="FW47" s="47"/>
      <c r="FX47" s="47"/>
      <c r="FY47" s="47"/>
      <c r="FZ47" s="47"/>
      <c r="GA47" s="47"/>
      <c r="GB47" s="47"/>
      <c r="GC47" s="47"/>
      <c r="GD47" s="47"/>
      <c r="GE47" s="47"/>
      <c r="GF47" s="47"/>
      <c r="GG47" s="47"/>
      <c r="GH47" s="47"/>
      <c r="GI47" s="47"/>
      <c r="GJ47" s="47"/>
      <c r="GK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47"/>
      <c r="FG48" s="47"/>
      <c r="FH48" s="47"/>
      <c r="FI48" s="47"/>
      <c r="FJ48" s="47"/>
      <c r="FK48" s="47"/>
      <c r="FL48" s="47"/>
      <c r="FM48" s="47"/>
      <c r="FN48" s="47"/>
      <c r="FO48" s="47"/>
      <c r="FP48" s="47"/>
      <c r="FQ48" s="47"/>
      <c r="FR48" s="47"/>
      <c r="FS48" s="47"/>
      <c r="FT48" s="47"/>
      <c r="FU48" s="47"/>
      <c r="FV48" s="47"/>
      <c r="FW48" s="47"/>
      <c r="FX48" s="47"/>
      <c r="FY48" s="47"/>
      <c r="FZ48" s="47"/>
      <c r="GA48" s="47"/>
      <c r="GB48" s="47"/>
      <c r="GC48" s="47"/>
      <c r="GD48" s="47"/>
      <c r="GE48" s="47"/>
      <c r="GF48" s="47"/>
      <c r="GG48" s="47"/>
      <c r="GH48" s="47"/>
      <c r="GI48" s="47"/>
      <c r="GJ48" s="47"/>
      <c r="GK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47"/>
      <c r="FG49" s="47"/>
      <c r="FH49" s="47"/>
      <c r="FI49" s="47"/>
      <c r="FJ49" s="47"/>
      <c r="FK49" s="47"/>
      <c r="FL49" s="47"/>
      <c r="FM49" s="47"/>
      <c r="FN49" s="47"/>
      <c r="FO49" s="47"/>
      <c r="FP49" s="47"/>
      <c r="FQ49" s="47"/>
      <c r="FR49" s="47"/>
      <c r="FS49" s="47"/>
      <c r="FT49" s="47"/>
      <c r="FU49" s="47"/>
      <c r="FV49" s="47"/>
      <c r="FW49" s="47"/>
      <c r="FX49" s="47"/>
      <c r="FY49" s="47"/>
      <c r="FZ49" s="47"/>
      <c r="GA49" s="47"/>
      <c r="GB49" s="47"/>
      <c r="GC49" s="47"/>
      <c r="GD49" s="47"/>
      <c r="GE49" s="47"/>
      <c r="GF49" s="47"/>
      <c r="GG49" s="47"/>
      <c r="GH49" s="47"/>
      <c r="GI49" s="47"/>
      <c r="GJ49" s="47"/>
      <c r="GK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47"/>
      <c r="FG50" s="47"/>
      <c r="FH50" s="47"/>
      <c r="FI50" s="47"/>
      <c r="FJ50" s="47"/>
      <c r="FK50" s="47"/>
      <c r="FL50" s="47"/>
      <c r="FM50" s="47"/>
      <c r="FN50" s="47"/>
      <c r="FO50" s="47"/>
      <c r="FP50" s="47"/>
      <c r="FQ50" s="47"/>
      <c r="FR50" s="47"/>
      <c r="FS50" s="47"/>
      <c r="FT50" s="47"/>
      <c r="FU50" s="47"/>
      <c r="FV50" s="47"/>
      <c r="FW50" s="47"/>
      <c r="FX50" s="47"/>
      <c r="FY50" s="47"/>
      <c r="FZ50" s="47"/>
      <c r="GA50" s="47"/>
      <c r="GB50" s="47"/>
      <c r="GC50" s="47"/>
      <c r="GD50" s="47"/>
      <c r="GE50" s="47"/>
      <c r="GF50" s="47"/>
      <c r="GG50" s="47"/>
      <c r="GH50" s="47"/>
      <c r="GI50" s="47"/>
      <c r="GJ50" s="47"/>
      <c r="GK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47"/>
      <c r="FG51" s="47"/>
      <c r="FH51" s="47"/>
      <c r="FI51" s="47"/>
      <c r="FJ51" s="47"/>
      <c r="FK51" s="47"/>
      <c r="FL51" s="47"/>
      <c r="FM51" s="47"/>
      <c r="FN51" s="47"/>
      <c r="FO51" s="47"/>
      <c r="FP51" s="47"/>
      <c r="FQ51" s="47"/>
      <c r="FR51" s="47"/>
      <c r="FS51" s="47"/>
      <c r="FT51" s="47"/>
      <c r="FU51" s="47"/>
      <c r="FV51" s="47"/>
      <c r="FW51" s="47"/>
      <c r="FX51" s="47"/>
      <c r="FY51" s="47"/>
      <c r="FZ51" s="47"/>
      <c r="GA51" s="47"/>
      <c r="GB51" s="47"/>
      <c r="GC51" s="47"/>
      <c r="GD51" s="47"/>
      <c r="GE51" s="47"/>
      <c r="GF51" s="47"/>
      <c r="GG51" s="47"/>
      <c r="GH51" s="47"/>
      <c r="GI51" s="47"/>
      <c r="GJ51" s="47"/>
      <c r="GK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47"/>
      <c r="FG52" s="47"/>
      <c r="FH52" s="47"/>
      <c r="FI52" s="47"/>
      <c r="FJ52" s="47"/>
      <c r="FK52" s="47"/>
      <c r="FL52" s="47"/>
      <c r="FM52" s="47"/>
      <c r="FN52" s="47"/>
      <c r="FO52" s="47"/>
      <c r="FP52" s="47"/>
      <c r="FQ52" s="47"/>
      <c r="FR52" s="47"/>
      <c r="FS52" s="47"/>
      <c r="FT52" s="47"/>
      <c r="FU52" s="47"/>
      <c r="FV52" s="47"/>
      <c r="FW52" s="47"/>
      <c r="FX52" s="47"/>
      <c r="FY52" s="47"/>
      <c r="FZ52" s="47"/>
      <c r="GA52" s="47"/>
      <c r="GB52" s="47"/>
      <c r="GC52" s="47"/>
      <c r="GD52" s="47"/>
      <c r="GE52" s="47"/>
      <c r="GF52" s="47"/>
      <c r="GG52" s="47"/>
      <c r="GH52" s="47"/>
      <c r="GI52" s="47"/>
      <c r="GJ52" s="47"/>
      <c r="GK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47"/>
      <c r="FU53" s="47"/>
      <c r="FV53" s="47"/>
      <c r="FW53" s="47"/>
      <c r="FX53" s="47"/>
      <c r="FY53" s="47"/>
      <c r="FZ53" s="47"/>
      <c r="GA53" s="47"/>
      <c r="GB53" s="47"/>
      <c r="GC53" s="47"/>
      <c r="GD53" s="47"/>
      <c r="GE53" s="47"/>
      <c r="GF53" s="47"/>
      <c r="GG53" s="47"/>
      <c r="GH53" s="47"/>
      <c r="GI53" s="47"/>
      <c r="GJ53" s="47"/>
      <c r="GK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  <c r="GE54" s="47"/>
      <c r="GF54" s="47"/>
      <c r="GG54" s="47"/>
      <c r="GH54" s="47"/>
      <c r="GI54" s="47"/>
      <c r="GJ54" s="47"/>
      <c r="GK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47"/>
      <c r="FO55" s="47"/>
      <c r="FP55" s="47"/>
      <c r="FQ55" s="47"/>
      <c r="FR55" s="47"/>
      <c r="FS55" s="47"/>
      <c r="FT55" s="47"/>
      <c r="FU55" s="47"/>
      <c r="FV55" s="47"/>
      <c r="FW55" s="47"/>
      <c r="FX55" s="47"/>
      <c r="FY55" s="47"/>
      <c r="FZ55" s="47"/>
      <c r="GA55" s="47"/>
      <c r="GB55" s="47"/>
      <c r="GC55" s="47"/>
      <c r="GD55" s="47"/>
      <c r="GE55" s="47"/>
      <c r="GF55" s="47"/>
      <c r="GG55" s="47"/>
      <c r="GH55" s="47"/>
      <c r="GI55" s="47"/>
      <c r="GJ55" s="47"/>
      <c r="GK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47"/>
      <c r="FG56" s="47"/>
      <c r="FH56" s="47"/>
      <c r="FI56" s="47"/>
      <c r="FJ56" s="47"/>
      <c r="FK56" s="47"/>
      <c r="FL56" s="47"/>
      <c r="FM56" s="47"/>
      <c r="FN56" s="47"/>
      <c r="FO56" s="47"/>
      <c r="FP56" s="47"/>
      <c r="FQ56" s="47"/>
      <c r="FR56" s="47"/>
      <c r="FS56" s="47"/>
      <c r="FT56" s="47"/>
      <c r="FU56" s="47"/>
      <c r="FV56" s="47"/>
      <c r="FW56" s="47"/>
      <c r="FX56" s="47"/>
      <c r="FY56" s="47"/>
      <c r="FZ56" s="47"/>
      <c r="GA56" s="47"/>
      <c r="GB56" s="47"/>
      <c r="GC56" s="47"/>
      <c r="GD56" s="47"/>
      <c r="GE56" s="47"/>
      <c r="GF56" s="47"/>
      <c r="GG56" s="47"/>
      <c r="GH56" s="47"/>
      <c r="GI56" s="47"/>
      <c r="GJ56" s="47"/>
      <c r="GK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47"/>
      <c r="FG57" s="47"/>
      <c r="FH57" s="47"/>
      <c r="FI57" s="47"/>
      <c r="FJ57" s="47"/>
      <c r="FK57" s="47"/>
      <c r="FL57" s="47"/>
      <c r="FM57" s="47"/>
      <c r="FN57" s="47"/>
      <c r="FO57" s="47"/>
      <c r="FP57" s="47"/>
      <c r="FQ57" s="47"/>
      <c r="FR57" s="47"/>
      <c r="FS57" s="47"/>
      <c r="FT57" s="47"/>
      <c r="FU57" s="47"/>
      <c r="FV57" s="47"/>
      <c r="FW57" s="47"/>
      <c r="FX57" s="47"/>
      <c r="FY57" s="47"/>
      <c r="FZ57" s="47"/>
      <c r="GA57" s="47"/>
      <c r="GB57" s="47"/>
      <c r="GC57" s="47"/>
      <c r="GD57" s="47"/>
      <c r="GE57" s="47"/>
      <c r="GF57" s="47"/>
      <c r="GG57" s="47"/>
      <c r="GH57" s="47"/>
      <c r="GI57" s="47"/>
      <c r="GJ57" s="47"/>
      <c r="GK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47"/>
      <c r="FG58" s="47"/>
      <c r="FH58" s="47"/>
      <c r="FI58" s="47"/>
      <c r="FJ58" s="47"/>
      <c r="FK58" s="47"/>
      <c r="FL58" s="47"/>
      <c r="FM58" s="47"/>
      <c r="FN58" s="47"/>
      <c r="FO58" s="47"/>
      <c r="FP58" s="47"/>
      <c r="FQ58" s="47"/>
      <c r="FR58" s="47"/>
      <c r="FS58" s="47"/>
      <c r="FT58" s="47"/>
      <c r="FU58" s="47"/>
      <c r="FV58" s="47"/>
      <c r="FW58" s="47"/>
      <c r="FX58" s="47"/>
      <c r="FY58" s="47"/>
      <c r="FZ58" s="47"/>
      <c r="GA58" s="47"/>
      <c r="GB58" s="47"/>
      <c r="GC58" s="47"/>
      <c r="GD58" s="47"/>
      <c r="GE58" s="47"/>
      <c r="GF58" s="47"/>
      <c r="GG58" s="47"/>
      <c r="GH58" s="47"/>
      <c r="GI58" s="47"/>
      <c r="GJ58" s="47"/>
      <c r="GK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47"/>
      <c r="FG59" s="47"/>
      <c r="FH59" s="47"/>
      <c r="FI59" s="47"/>
      <c r="FJ59" s="47"/>
      <c r="FK59" s="47"/>
      <c r="FL59" s="47"/>
      <c r="FM59" s="47"/>
      <c r="FN59" s="47"/>
      <c r="FO59" s="47"/>
      <c r="FP59" s="47"/>
      <c r="FQ59" s="47"/>
      <c r="FR59" s="47"/>
      <c r="FS59" s="47"/>
      <c r="FT59" s="47"/>
      <c r="FU59" s="47"/>
      <c r="FV59" s="47"/>
      <c r="FW59" s="47"/>
      <c r="FX59" s="47"/>
      <c r="FY59" s="47"/>
      <c r="FZ59" s="47"/>
      <c r="GA59" s="47"/>
      <c r="GB59" s="47"/>
      <c r="GC59" s="47"/>
      <c r="GD59" s="47"/>
      <c r="GE59" s="47"/>
      <c r="GF59" s="47"/>
      <c r="GG59" s="47"/>
      <c r="GH59" s="47"/>
      <c r="GI59" s="47"/>
      <c r="GJ59" s="47"/>
      <c r="GK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47"/>
      <c r="FG60" s="47"/>
      <c r="FH60" s="47"/>
      <c r="FI60" s="47"/>
      <c r="FJ60" s="47"/>
      <c r="FK60" s="47"/>
      <c r="FL60" s="47"/>
      <c r="FM60" s="47"/>
      <c r="FN60" s="47"/>
      <c r="FO60" s="47"/>
      <c r="FP60" s="47"/>
      <c r="FQ60" s="47"/>
      <c r="FR60" s="47"/>
      <c r="FS60" s="47"/>
      <c r="FT60" s="47"/>
      <c r="FU60" s="47"/>
      <c r="FV60" s="47"/>
      <c r="FW60" s="47"/>
      <c r="FX60" s="47"/>
      <c r="FY60" s="47"/>
      <c r="FZ60" s="47"/>
      <c r="GA60" s="47"/>
      <c r="GB60" s="47"/>
      <c r="GC60" s="47"/>
      <c r="GD60" s="47"/>
      <c r="GE60" s="47"/>
      <c r="GF60" s="47"/>
      <c r="GG60" s="47"/>
      <c r="GH60" s="47"/>
      <c r="GI60" s="47"/>
      <c r="GJ60" s="47"/>
      <c r="GK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7"/>
      <c r="FP61" s="47"/>
      <c r="FQ61" s="47"/>
      <c r="FR61" s="47"/>
      <c r="FS61" s="47"/>
      <c r="FT61" s="47"/>
      <c r="FU61" s="47"/>
      <c r="FV61" s="47"/>
      <c r="FW61" s="47"/>
      <c r="FX61" s="47"/>
      <c r="FY61" s="47"/>
      <c r="FZ61" s="47"/>
      <c r="GA61" s="47"/>
      <c r="GB61" s="47"/>
      <c r="GC61" s="47"/>
      <c r="GD61" s="47"/>
      <c r="GE61" s="47"/>
      <c r="GF61" s="47"/>
      <c r="GG61" s="47"/>
      <c r="GH61" s="47"/>
      <c r="GI61" s="47"/>
      <c r="GJ61" s="47"/>
      <c r="GK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47"/>
      <c r="FG62" s="47"/>
      <c r="FH62" s="47"/>
      <c r="FI62" s="47"/>
      <c r="FJ62" s="47"/>
      <c r="FK62" s="47"/>
      <c r="FL62" s="47"/>
      <c r="FM62" s="47"/>
      <c r="FN62" s="47"/>
      <c r="FO62" s="47"/>
      <c r="FP62" s="47"/>
      <c r="FQ62" s="47"/>
      <c r="FR62" s="47"/>
      <c r="FS62" s="47"/>
      <c r="FT62" s="47"/>
      <c r="FU62" s="47"/>
      <c r="FV62" s="47"/>
      <c r="FW62" s="47"/>
      <c r="FX62" s="47"/>
      <c r="FY62" s="47"/>
      <c r="FZ62" s="47"/>
      <c r="GA62" s="47"/>
      <c r="GB62" s="47"/>
      <c r="GC62" s="47"/>
      <c r="GD62" s="47"/>
      <c r="GE62" s="47"/>
      <c r="GF62" s="47"/>
      <c r="GG62" s="47"/>
      <c r="GH62" s="47"/>
      <c r="GI62" s="47"/>
      <c r="GJ62" s="47"/>
      <c r="GK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7"/>
      <c r="FP63" s="47"/>
      <c r="FQ63" s="47"/>
      <c r="FR63" s="47"/>
      <c r="FS63" s="47"/>
      <c r="FT63" s="47"/>
      <c r="FU63" s="47"/>
      <c r="FV63" s="47"/>
      <c r="FW63" s="47"/>
      <c r="FX63" s="47"/>
      <c r="FY63" s="47"/>
      <c r="FZ63" s="47"/>
      <c r="GA63" s="47"/>
      <c r="GB63" s="47"/>
      <c r="GC63" s="47"/>
      <c r="GD63" s="47"/>
      <c r="GE63" s="47"/>
      <c r="GF63" s="47"/>
      <c r="GG63" s="47"/>
      <c r="GH63" s="47"/>
      <c r="GI63" s="47"/>
      <c r="GJ63" s="47"/>
      <c r="GK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47"/>
      <c r="FG64" s="47"/>
      <c r="FH64" s="47"/>
      <c r="FI64" s="47"/>
      <c r="FJ64" s="47"/>
      <c r="FK64" s="47"/>
      <c r="FL64" s="47"/>
      <c r="FM64" s="47"/>
      <c r="FN64" s="47"/>
      <c r="FO64" s="47"/>
      <c r="FP64" s="47"/>
      <c r="FQ64" s="47"/>
      <c r="FR64" s="47"/>
      <c r="FS64" s="47"/>
      <c r="FT64" s="47"/>
      <c r="FU64" s="47"/>
      <c r="FV64" s="47"/>
      <c r="FW64" s="47"/>
      <c r="FX64" s="47"/>
      <c r="FY64" s="47"/>
      <c r="FZ64" s="47"/>
      <c r="GA64" s="47"/>
      <c r="GB64" s="47"/>
      <c r="GC64" s="47"/>
      <c r="GD64" s="47"/>
      <c r="GE64" s="47"/>
      <c r="GF64" s="47"/>
      <c r="GG64" s="47"/>
      <c r="GH64" s="47"/>
      <c r="GI64" s="47"/>
      <c r="GJ64" s="47"/>
      <c r="GK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47"/>
      <c r="FG65" s="47"/>
      <c r="FH65" s="47"/>
      <c r="FI65" s="47"/>
      <c r="FJ65" s="47"/>
      <c r="FK65" s="47"/>
      <c r="FL65" s="47"/>
      <c r="FM65" s="47"/>
      <c r="FN65" s="47"/>
      <c r="FO65" s="47"/>
      <c r="FP65" s="47"/>
      <c r="FQ65" s="47"/>
      <c r="FR65" s="47"/>
      <c r="FS65" s="47"/>
      <c r="FT65" s="47"/>
      <c r="FU65" s="47"/>
      <c r="FV65" s="47"/>
      <c r="FW65" s="47"/>
      <c r="FX65" s="47"/>
      <c r="FY65" s="47"/>
      <c r="FZ65" s="47"/>
      <c r="GA65" s="47"/>
      <c r="GB65" s="47"/>
      <c r="GC65" s="47"/>
      <c r="GD65" s="47"/>
      <c r="GE65" s="47"/>
      <c r="GF65" s="47"/>
      <c r="GG65" s="47"/>
      <c r="GH65" s="47"/>
      <c r="GI65" s="47"/>
      <c r="GJ65" s="47"/>
      <c r="GK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47"/>
      <c r="FG66" s="47"/>
      <c r="FH66" s="47"/>
      <c r="FI66" s="47"/>
      <c r="FJ66" s="47"/>
      <c r="FK66" s="47"/>
      <c r="FL66" s="47"/>
      <c r="FM66" s="47"/>
      <c r="FN66" s="47"/>
      <c r="FO66" s="47"/>
      <c r="FP66" s="47"/>
      <c r="FQ66" s="47"/>
      <c r="FR66" s="47"/>
      <c r="FS66" s="47"/>
      <c r="FT66" s="47"/>
      <c r="FU66" s="47"/>
      <c r="FV66" s="47"/>
      <c r="FW66" s="47"/>
      <c r="FX66" s="47"/>
      <c r="FY66" s="47"/>
      <c r="FZ66" s="47"/>
      <c r="GA66" s="47"/>
      <c r="GB66" s="47"/>
      <c r="GC66" s="47"/>
      <c r="GD66" s="47"/>
      <c r="GE66" s="47"/>
      <c r="GF66" s="47"/>
      <c r="GG66" s="47"/>
      <c r="GH66" s="47"/>
      <c r="GI66" s="47"/>
      <c r="GJ66" s="47"/>
      <c r="GK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47"/>
      <c r="FG67" s="47"/>
      <c r="FH67" s="47"/>
      <c r="FI67" s="47"/>
      <c r="FJ67" s="47"/>
      <c r="FK67" s="47"/>
      <c r="FL67" s="47"/>
      <c r="FM67" s="47"/>
      <c r="FN67" s="47"/>
      <c r="FO67" s="47"/>
      <c r="FP67" s="47"/>
      <c r="FQ67" s="47"/>
      <c r="FR67" s="47"/>
      <c r="FS67" s="47"/>
      <c r="FT67" s="47"/>
      <c r="FU67" s="47"/>
      <c r="FV67" s="47"/>
      <c r="FW67" s="47"/>
      <c r="FX67" s="47"/>
      <c r="FY67" s="47"/>
      <c r="FZ67" s="47"/>
      <c r="GA67" s="47"/>
      <c r="GB67" s="47"/>
      <c r="GC67" s="47"/>
      <c r="GD67" s="47"/>
      <c r="GE67" s="47"/>
      <c r="GF67" s="47"/>
      <c r="GG67" s="47"/>
      <c r="GH67" s="47"/>
      <c r="GI67" s="47"/>
      <c r="GJ67" s="47"/>
      <c r="GK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47"/>
      <c r="FG68" s="47"/>
      <c r="FH68" s="47"/>
      <c r="FI68" s="47"/>
      <c r="FJ68" s="47"/>
      <c r="FK68" s="47"/>
      <c r="FL68" s="47"/>
      <c r="FM68" s="47"/>
      <c r="FN68" s="47"/>
      <c r="FO68" s="47"/>
      <c r="FP68" s="47"/>
      <c r="FQ68" s="47"/>
      <c r="FR68" s="47"/>
      <c r="FS68" s="47"/>
      <c r="FT68" s="47"/>
      <c r="FU68" s="47"/>
      <c r="FV68" s="47"/>
      <c r="FW68" s="47"/>
      <c r="FX68" s="47"/>
      <c r="FY68" s="47"/>
      <c r="FZ68" s="47"/>
      <c r="GA68" s="47"/>
      <c r="GB68" s="47"/>
      <c r="GC68" s="47"/>
      <c r="GD68" s="47"/>
      <c r="GE68" s="47"/>
      <c r="GF68" s="47"/>
      <c r="GG68" s="47"/>
      <c r="GH68" s="47"/>
      <c r="GI68" s="47"/>
      <c r="GJ68" s="47"/>
      <c r="GK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47"/>
      <c r="FG69" s="47"/>
      <c r="FH69" s="47"/>
      <c r="FI69" s="47"/>
      <c r="FJ69" s="47"/>
      <c r="FK69" s="47"/>
      <c r="FL69" s="47"/>
      <c r="FM69" s="47"/>
      <c r="FN69" s="47"/>
      <c r="FO69" s="47"/>
      <c r="FP69" s="47"/>
      <c r="FQ69" s="47"/>
      <c r="FR69" s="47"/>
      <c r="FS69" s="47"/>
      <c r="FT69" s="47"/>
      <c r="FU69" s="47"/>
      <c r="FV69" s="47"/>
      <c r="FW69" s="47"/>
      <c r="FX69" s="47"/>
      <c r="FY69" s="47"/>
      <c r="FZ69" s="47"/>
      <c r="GA69" s="47"/>
      <c r="GB69" s="47"/>
      <c r="GC69" s="47"/>
      <c r="GD69" s="47"/>
      <c r="GE69" s="47"/>
      <c r="GF69" s="47"/>
      <c r="GG69" s="47"/>
      <c r="GH69" s="47"/>
      <c r="GI69" s="47"/>
      <c r="GJ69" s="47"/>
      <c r="GK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47"/>
      <c r="FG70" s="47"/>
      <c r="FH70" s="47"/>
      <c r="FI70" s="47"/>
      <c r="FJ70" s="47"/>
      <c r="FK70" s="47"/>
      <c r="FL70" s="47"/>
      <c r="FM70" s="47"/>
      <c r="FN70" s="47"/>
      <c r="FO70" s="47"/>
      <c r="FP70" s="47"/>
      <c r="FQ70" s="47"/>
      <c r="FR70" s="47"/>
      <c r="FS70" s="47"/>
      <c r="FT70" s="47"/>
      <c r="FU70" s="47"/>
      <c r="FV70" s="47"/>
      <c r="FW70" s="47"/>
      <c r="FX70" s="47"/>
      <c r="FY70" s="47"/>
      <c r="FZ70" s="47"/>
      <c r="GA70" s="47"/>
      <c r="GB70" s="47"/>
      <c r="GC70" s="47"/>
      <c r="GD70" s="47"/>
      <c r="GE70" s="47"/>
      <c r="GF70" s="47"/>
      <c r="GG70" s="47"/>
      <c r="GH70" s="47"/>
      <c r="GI70" s="47"/>
      <c r="GJ70" s="47"/>
      <c r="GK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47"/>
      <c r="FG71" s="47"/>
      <c r="FH71" s="47"/>
      <c r="FI71" s="47"/>
      <c r="FJ71" s="47"/>
      <c r="FK71" s="47"/>
      <c r="FL71" s="47"/>
      <c r="FM71" s="47"/>
      <c r="FN71" s="47"/>
      <c r="FO71" s="47"/>
      <c r="FP71" s="47"/>
      <c r="FQ71" s="47"/>
      <c r="FR71" s="47"/>
      <c r="FS71" s="47"/>
      <c r="FT71" s="47"/>
      <c r="FU71" s="47"/>
      <c r="FV71" s="47"/>
      <c r="FW71" s="47"/>
      <c r="FX71" s="47"/>
      <c r="FY71" s="47"/>
      <c r="FZ71" s="47"/>
      <c r="GA71" s="47"/>
      <c r="GB71" s="47"/>
      <c r="GC71" s="47"/>
      <c r="GD71" s="47"/>
      <c r="GE71" s="47"/>
      <c r="GF71" s="47"/>
      <c r="GG71" s="47"/>
      <c r="GH71" s="47"/>
      <c r="GI71" s="47"/>
      <c r="GJ71" s="47"/>
      <c r="GK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  <c r="EY72" s="47"/>
      <c r="EZ72" s="47"/>
      <c r="FA72" s="47"/>
      <c r="FB72" s="47"/>
      <c r="FC72" s="47"/>
      <c r="FD72" s="47"/>
      <c r="FE72" s="47"/>
      <c r="FF72" s="47"/>
      <c r="FG72" s="47"/>
      <c r="FH72" s="47"/>
      <c r="FI72" s="47"/>
      <c r="FJ72" s="47"/>
      <c r="FK72" s="47"/>
      <c r="FL72" s="47"/>
      <c r="FM72" s="47"/>
      <c r="FN72" s="47"/>
      <c r="FO72" s="47"/>
      <c r="FP72" s="47"/>
      <c r="FQ72" s="47"/>
      <c r="FR72" s="47"/>
      <c r="FS72" s="47"/>
      <c r="FT72" s="47"/>
      <c r="FU72" s="47"/>
      <c r="FV72" s="47"/>
      <c r="FW72" s="47"/>
      <c r="FX72" s="47"/>
      <c r="FY72" s="47"/>
      <c r="FZ72" s="47"/>
      <c r="GA72" s="47"/>
      <c r="GB72" s="47"/>
      <c r="GC72" s="47"/>
      <c r="GD72" s="47"/>
      <c r="GE72" s="47"/>
      <c r="GF72" s="47"/>
      <c r="GG72" s="47"/>
      <c r="GH72" s="47"/>
      <c r="GI72" s="47"/>
      <c r="GJ72" s="47"/>
      <c r="GK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47"/>
      <c r="EG73" s="47"/>
      <c r="EH73" s="47"/>
      <c r="EI73" s="47"/>
      <c r="EJ73" s="47"/>
      <c r="EK73" s="47"/>
      <c r="EL73" s="47"/>
      <c r="EM73" s="47"/>
      <c r="EN73" s="47"/>
      <c r="EO73" s="47"/>
      <c r="EP73" s="47"/>
      <c r="EQ73" s="47"/>
      <c r="ER73" s="47"/>
      <c r="ES73" s="47"/>
      <c r="ET73" s="47"/>
      <c r="EU73" s="47"/>
      <c r="EV73" s="47"/>
      <c r="EW73" s="47"/>
      <c r="EX73" s="47"/>
      <c r="EY73" s="47"/>
      <c r="EZ73" s="47"/>
      <c r="FA73" s="47"/>
      <c r="FB73" s="47"/>
      <c r="FC73" s="47"/>
      <c r="FD73" s="47"/>
      <c r="FE73" s="47"/>
      <c r="FF73" s="47"/>
      <c r="FG73" s="47"/>
      <c r="FH73" s="47"/>
      <c r="FI73" s="47"/>
      <c r="FJ73" s="47"/>
      <c r="FK73" s="47"/>
      <c r="FL73" s="47"/>
      <c r="FM73" s="47"/>
      <c r="FN73" s="47"/>
      <c r="FO73" s="47"/>
      <c r="FP73" s="47"/>
      <c r="FQ73" s="47"/>
      <c r="FR73" s="47"/>
      <c r="FS73" s="47"/>
      <c r="FT73" s="47"/>
      <c r="FU73" s="47"/>
      <c r="FV73" s="47"/>
      <c r="FW73" s="47"/>
      <c r="FX73" s="47"/>
      <c r="FY73" s="47"/>
      <c r="FZ73" s="47"/>
      <c r="GA73" s="47"/>
      <c r="GB73" s="47"/>
      <c r="GC73" s="47"/>
      <c r="GD73" s="47"/>
      <c r="GE73" s="47"/>
      <c r="GF73" s="47"/>
      <c r="GG73" s="47"/>
      <c r="GH73" s="47"/>
      <c r="GI73" s="47"/>
      <c r="GJ73" s="47"/>
      <c r="GK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47"/>
      <c r="EG74" s="47"/>
      <c r="EH74" s="47"/>
      <c r="EI74" s="47"/>
      <c r="EJ74" s="47"/>
      <c r="EK74" s="47"/>
      <c r="EL74" s="47"/>
      <c r="EM74" s="47"/>
      <c r="EN74" s="47"/>
      <c r="EO74" s="47"/>
      <c r="EP74" s="47"/>
      <c r="EQ74" s="47"/>
      <c r="ER74" s="47"/>
      <c r="ES74" s="47"/>
      <c r="ET74" s="47"/>
      <c r="EU74" s="47"/>
      <c r="EV74" s="47"/>
      <c r="EW74" s="47"/>
      <c r="EX74" s="47"/>
      <c r="EY74" s="47"/>
      <c r="EZ74" s="47"/>
      <c r="FA74" s="47"/>
      <c r="FB74" s="47"/>
      <c r="FC74" s="47"/>
      <c r="FD74" s="47"/>
      <c r="FE74" s="47"/>
      <c r="FF74" s="47"/>
      <c r="FG74" s="47"/>
      <c r="FH74" s="47"/>
      <c r="FI74" s="47"/>
      <c r="FJ74" s="47"/>
      <c r="FK74" s="47"/>
      <c r="FL74" s="47"/>
      <c r="FM74" s="47"/>
      <c r="FN74" s="47"/>
      <c r="FO74" s="47"/>
      <c r="FP74" s="47"/>
      <c r="FQ74" s="47"/>
      <c r="FR74" s="47"/>
      <c r="FS74" s="47"/>
      <c r="FT74" s="47"/>
      <c r="FU74" s="47"/>
      <c r="FV74" s="47"/>
      <c r="FW74" s="47"/>
      <c r="FX74" s="47"/>
      <c r="FY74" s="47"/>
      <c r="FZ74" s="47"/>
      <c r="GA74" s="47"/>
      <c r="GB74" s="47"/>
      <c r="GC74" s="47"/>
      <c r="GD74" s="47"/>
      <c r="GE74" s="47"/>
      <c r="GF74" s="47"/>
      <c r="GG74" s="47"/>
      <c r="GH74" s="47"/>
      <c r="GI74" s="47"/>
      <c r="GJ74" s="47"/>
      <c r="GK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47"/>
      <c r="EG75" s="47"/>
      <c r="EH75" s="47"/>
      <c r="EI75" s="47"/>
      <c r="EJ75" s="47"/>
      <c r="EK75" s="47"/>
      <c r="EL75" s="47"/>
      <c r="EM75" s="47"/>
      <c r="EN75" s="47"/>
      <c r="EO75" s="47"/>
      <c r="EP75" s="47"/>
      <c r="EQ75" s="47"/>
      <c r="ER75" s="47"/>
      <c r="ES75" s="47"/>
      <c r="ET75" s="47"/>
      <c r="EU75" s="47"/>
      <c r="EV75" s="47"/>
      <c r="EW75" s="47"/>
      <c r="EX75" s="47"/>
      <c r="EY75" s="47"/>
      <c r="EZ75" s="47"/>
      <c r="FA75" s="47"/>
      <c r="FB75" s="47"/>
      <c r="FC75" s="47"/>
      <c r="FD75" s="47"/>
      <c r="FE75" s="47"/>
      <c r="FF75" s="47"/>
      <c r="FG75" s="47"/>
      <c r="FH75" s="47"/>
      <c r="FI75" s="47"/>
      <c r="FJ75" s="47"/>
      <c r="FK75" s="47"/>
      <c r="FL75" s="47"/>
      <c r="FM75" s="47"/>
      <c r="FN75" s="47"/>
      <c r="FO75" s="47"/>
      <c r="FP75" s="47"/>
      <c r="FQ75" s="47"/>
      <c r="FR75" s="47"/>
      <c r="FS75" s="47"/>
      <c r="FT75" s="47"/>
      <c r="FU75" s="47"/>
      <c r="FV75" s="47"/>
      <c r="FW75" s="47"/>
      <c r="FX75" s="47"/>
      <c r="FY75" s="47"/>
      <c r="FZ75" s="47"/>
      <c r="GA75" s="47"/>
      <c r="GB75" s="47"/>
      <c r="GC75" s="47"/>
      <c r="GD75" s="47"/>
      <c r="GE75" s="47"/>
      <c r="GF75" s="47"/>
      <c r="GG75" s="47"/>
      <c r="GH75" s="47"/>
      <c r="GI75" s="47"/>
      <c r="GJ75" s="47"/>
      <c r="GK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47"/>
      <c r="FG76" s="47"/>
      <c r="FH76" s="47"/>
      <c r="FI76" s="47"/>
      <c r="FJ76" s="47"/>
      <c r="FK76" s="47"/>
      <c r="FL76" s="47"/>
      <c r="FM76" s="47"/>
      <c r="FN76" s="47"/>
      <c r="FO76" s="47"/>
      <c r="FP76" s="47"/>
      <c r="FQ76" s="47"/>
      <c r="FR76" s="47"/>
      <c r="FS76" s="47"/>
      <c r="FT76" s="47"/>
      <c r="FU76" s="47"/>
      <c r="FV76" s="47"/>
      <c r="FW76" s="47"/>
      <c r="FX76" s="47"/>
      <c r="FY76" s="47"/>
      <c r="FZ76" s="47"/>
      <c r="GA76" s="47"/>
      <c r="GB76" s="47"/>
      <c r="GC76" s="47"/>
      <c r="GD76" s="47"/>
      <c r="GE76" s="47"/>
      <c r="GF76" s="47"/>
      <c r="GG76" s="47"/>
      <c r="GH76" s="47"/>
      <c r="GI76" s="47"/>
      <c r="GJ76" s="47"/>
      <c r="GK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47"/>
      <c r="FG77" s="47"/>
      <c r="FH77" s="47"/>
      <c r="FI77" s="47"/>
      <c r="FJ77" s="47"/>
      <c r="FK77" s="47"/>
      <c r="FL77" s="47"/>
      <c r="FM77" s="47"/>
      <c r="FN77" s="47"/>
      <c r="FO77" s="47"/>
      <c r="FP77" s="47"/>
      <c r="FQ77" s="47"/>
      <c r="FR77" s="47"/>
      <c r="FS77" s="47"/>
      <c r="FT77" s="47"/>
      <c r="FU77" s="47"/>
      <c r="FV77" s="47"/>
      <c r="FW77" s="47"/>
      <c r="FX77" s="47"/>
      <c r="FY77" s="47"/>
      <c r="FZ77" s="47"/>
      <c r="GA77" s="47"/>
      <c r="GB77" s="47"/>
      <c r="GC77" s="47"/>
      <c r="GD77" s="47"/>
      <c r="GE77" s="47"/>
      <c r="GF77" s="47"/>
      <c r="GG77" s="47"/>
      <c r="GH77" s="47"/>
      <c r="GI77" s="47"/>
      <c r="GJ77" s="47"/>
      <c r="GK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47"/>
      <c r="FG78" s="47"/>
      <c r="FH78" s="47"/>
      <c r="FI78" s="47"/>
      <c r="FJ78" s="47"/>
      <c r="FK78" s="47"/>
      <c r="FL78" s="47"/>
      <c r="FM78" s="47"/>
      <c r="FN78" s="47"/>
      <c r="FO78" s="47"/>
      <c r="FP78" s="47"/>
      <c r="FQ78" s="47"/>
      <c r="FR78" s="47"/>
      <c r="FS78" s="47"/>
      <c r="FT78" s="47"/>
      <c r="FU78" s="47"/>
      <c r="FV78" s="47"/>
      <c r="FW78" s="47"/>
      <c r="FX78" s="47"/>
      <c r="FY78" s="47"/>
      <c r="FZ78" s="47"/>
      <c r="GA78" s="47"/>
      <c r="GB78" s="47"/>
      <c r="GC78" s="47"/>
      <c r="GD78" s="47"/>
      <c r="GE78" s="47"/>
      <c r="GF78" s="47"/>
      <c r="GG78" s="47"/>
      <c r="GH78" s="47"/>
      <c r="GI78" s="47"/>
      <c r="GJ78" s="47"/>
      <c r="GK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47"/>
      <c r="FG79" s="47"/>
      <c r="FH79" s="47"/>
      <c r="FI79" s="47"/>
      <c r="FJ79" s="47"/>
      <c r="FK79" s="47"/>
      <c r="FL79" s="47"/>
      <c r="FM79" s="47"/>
      <c r="FN79" s="47"/>
      <c r="FO79" s="47"/>
      <c r="FP79" s="47"/>
      <c r="FQ79" s="47"/>
      <c r="FR79" s="47"/>
      <c r="FS79" s="47"/>
      <c r="FT79" s="47"/>
      <c r="FU79" s="47"/>
      <c r="FV79" s="47"/>
      <c r="FW79" s="47"/>
      <c r="FX79" s="47"/>
      <c r="FY79" s="47"/>
      <c r="FZ79" s="47"/>
      <c r="GA79" s="47"/>
      <c r="GB79" s="47"/>
      <c r="GC79" s="47"/>
      <c r="GD79" s="47"/>
      <c r="GE79" s="47"/>
      <c r="GF79" s="47"/>
      <c r="GG79" s="47"/>
      <c r="GH79" s="47"/>
      <c r="GI79" s="47"/>
      <c r="GJ79" s="47"/>
      <c r="GK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47"/>
      <c r="FG80" s="47"/>
      <c r="FH80" s="47"/>
      <c r="FI80" s="47"/>
      <c r="FJ80" s="47"/>
      <c r="FK80" s="47"/>
      <c r="FL80" s="47"/>
      <c r="FM80" s="47"/>
      <c r="FN80" s="47"/>
      <c r="FO80" s="47"/>
      <c r="FP80" s="47"/>
      <c r="FQ80" s="47"/>
      <c r="FR80" s="47"/>
      <c r="FS80" s="47"/>
      <c r="FT80" s="47"/>
      <c r="FU80" s="47"/>
      <c r="FV80" s="47"/>
      <c r="FW80" s="47"/>
      <c r="FX80" s="47"/>
      <c r="FY80" s="47"/>
      <c r="FZ80" s="47"/>
      <c r="GA80" s="47"/>
      <c r="GB80" s="47"/>
      <c r="GC80" s="47"/>
      <c r="GD80" s="47"/>
      <c r="GE80" s="47"/>
      <c r="GF80" s="47"/>
      <c r="GG80" s="47"/>
      <c r="GH80" s="47"/>
      <c r="GI80" s="47"/>
      <c r="GJ80" s="47"/>
      <c r="GK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47"/>
      <c r="FG81" s="47"/>
      <c r="FH81" s="47"/>
      <c r="FI81" s="47"/>
      <c r="FJ81" s="47"/>
      <c r="FK81" s="47"/>
      <c r="FL81" s="47"/>
      <c r="FM81" s="47"/>
      <c r="FN81" s="47"/>
      <c r="FO81" s="47"/>
      <c r="FP81" s="47"/>
      <c r="FQ81" s="47"/>
      <c r="FR81" s="47"/>
      <c r="FS81" s="47"/>
      <c r="FT81" s="47"/>
      <c r="FU81" s="47"/>
      <c r="FV81" s="47"/>
      <c r="FW81" s="47"/>
      <c r="FX81" s="47"/>
      <c r="FY81" s="47"/>
      <c r="FZ81" s="47"/>
      <c r="GA81" s="47"/>
      <c r="GB81" s="47"/>
      <c r="GC81" s="47"/>
      <c r="GD81" s="47"/>
      <c r="GE81" s="47"/>
      <c r="GF81" s="47"/>
      <c r="GG81" s="47"/>
      <c r="GH81" s="47"/>
      <c r="GI81" s="47"/>
      <c r="GJ81" s="47"/>
      <c r="GK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47"/>
      <c r="FG82" s="47"/>
      <c r="FH82" s="47"/>
      <c r="FI82" s="47"/>
      <c r="FJ82" s="47"/>
      <c r="FK82" s="47"/>
      <c r="FL82" s="47"/>
      <c r="FM82" s="47"/>
      <c r="FN82" s="47"/>
      <c r="FO82" s="47"/>
      <c r="FP82" s="47"/>
      <c r="FQ82" s="47"/>
      <c r="FR82" s="47"/>
      <c r="FS82" s="47"/>
      <c r="FT82" s="47"/>
      <c r="FU82" s="47"/>
      <c r="FV82" s="47"/>
      <c r="FW82" s="47"/>
      <c r="FX82" s="47"/>
      <c r="FY82" s="47"/>
      <c r="FZ82" s="47"/>
      <c r="GA82" s="47"/>
      <c r="GB82" s="47"/>
      <c r="GC82" s="47"/>
      <c r="GD82" s="47"/>
      <c r="GE82" s="47"/>
      <c r="GF82" s="47"/>
      <c r="GG82" s="47"/>
      <c r="GH82" s="47"/>
      <c r="GI82" s="47"/>
      <c r="GJ82" s="47"/>
      <c r="GK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47"/>
      <c r="FG83" s="47"/>
      <c r="FH83" s="47"/>
      <c r="FI83" s="47"/>
      <c r="FJ83" s="47"/>
      <c r="FK83" s="47"/>
      <c r="FL83" s="47"/>
      <c r="FM83" s="47"/>
      <c r="FN83" s="47"/>
      <c r="FO83" s="47"/>
      <c r="FP83" s="47"/>
      <c r="FQ83" s="47"/>
      <c r="FR83" s="47"/>
      <c r="FS83" s="47"/>
      <c r="FT83" s="47"/>
      <c r="FU83" s="47"/>
      <c r="FV83" s="47"/>
      <c r="FW83" s="47"/>
      <c r="FX83" s="47"/>
      <c r="FY83" s="47"/>
      <c r="FZ83" s="47"/>
      <c r="GA83" s="47"/>
      <c r="GB83" s="47"/>
      <c r="GC83" s="47"/>
      <c r="GD83" s="47"/>
      <c r="GE83" s="47"/>
      <c r="GF83" s="47"/>
      <c r="GG83" s="47"/>
      <c r="GH83" s="47"/>
      <c r="GI83" s="47"/>
      <c r="GJ83" s="47"/>
      <c r="GK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47"/>
      <c r="FG84" s="47"/>
      <c r="FH84" s="47"/>
      <c r="FI84" s="47"/>
      <c r="FJ84" s="47"/>
      <c r="FK84" s="47"/>
      <c r="FL84" s="47"/>
      <c r="FM84" s="47"/>
      <c r="FN84" s="47"/>
      <c r="FO84" s="47"/>
      <c r="FP84" s="47"/>
      <c r="FQ84" s="47"/>
      <c r="FR84" s="47"/>
      <c r="FS84" s="47"/>
      <c r="FT84" s="47"/>
      <c r="FU84" s="47"/>
      <c r="FV84" s="47"/>
      <c r="FW84" s="47"/>
      <c r="FX84" s="47"/>
      <c r="FY84" s="47"/>
      <c r="FZ84" s="47"/>
      <c r="GA84" s="47"/>
      <c r="GB84" s="47"/>
      <c r="GC84" s="47"/>
      <c r="GD84" s="47"/>
      <c r="GE84" s="47"/>
      <c r="GF84" s="47"/>
      <c r="GG84" s="47"/>
      <c r="GH84" s="47"/>
      <c r="GI84" s="47"/>
      <c r="GJ84" s="47"/>
      <c r="GK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47"/>
      <c r="FG85" s="47"/>
      <c r="FH85" s="47"/>
      <c r="FI85" s="47"/>
      <c r="FJ85" s="47"/>
      <c r="FK85" s="47"/>
      <c r="FL85" s="47"/>
      <c r="FM85" s="47"/>
      <c r="FN85" s="47"/>
      <c r="FO85" s="47"/>
      <c r="FP85" s="47"/>
      <c r="FQ85" s="47"/>
      <c r="FR85" s="47"/>
      <c r="FS85" s="47"/>
      <c r="FT85" s="47"/>
      <c r="FU85" s="47"/>
      <c r="FV85" s="47"/>
      <c r="FW85" s="47"/>
      <c r="FX85" s="47"/>
      <c r="FY85" s="47"/>
      <c r="FZ85" s="47"/>
      <c r="GA85" s="47"/>
      <c r="GB85" s="47"/>
      <c r="GC85" s="47"/>
      <c r="GD85" s="47"/>
      <c r="GE85" s="47"/>
      <c r="GF85" s="47"/>
      <c r="GG85" s="47"/>
      <c r="GH85" s="47"/>
      <c r="GI85" s="47"/>
      <c r="GJ85" s="47"/>
      <c r="GK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47"/>
      <c r="FG86" s="47"/>
      <c r="FH86" s="47"/>
      <c r="FI86" s="47"/>
      <c r="FJ86" s="47"/>
      <c r="FK86" s="47"/>
      <c r="FL86" s="47"/>
      <c r="FM86" s="47"/>
      <c r="FN86" s="47"/>
      <c r="FO86" s="47"/>
      <c r="FP86" s="47"/>
      <c r="FQ86" s="47"/>
      <c r="FR86" s="47"/>
      <c r="FS86" s="47"/>
      <c r="FT86" s="47"/>
      <c r="FU86" s="47"/>
      <c r="FV86" s="47"/>
      <c r="FW86" s="47"/>
      <c r="FX86" s="47"/>
      <c r="FY86" s="47"/>
      <c r="FZ86" s="47"/>
      <c r="GA86" s="47"/>
      <c r="GB86" s="47"/>
      <c r="GC86" s="47"/>
      <c r="GD86" s="47"/>
      <c r="GE86" s="47"/>
      <c r="GF86" s="47"/>
      <c r="GG86" s="47"/>
      <c r="GH86" s="47"/>
      <c r="GI86" s="47"/>
      <c r="GJ86" s="47"/>
      <c r="GK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47"/>
      <c r="FG87" s="47"/>
      <c r="FH87" s="47"/>
      <c r="FI87" s="47"/>
      <c r="FJ87" s="47"/>
      <c r="FK87" s="47"/>
      <c r="FL87" s="47"/>
      <c r="FM87" s="47"/>
      <c r="FN87" s="47"/>
      <c r="FO87" s="47"/>
      <c r="FP87" s="47"/>
      <c r="FQ87" s="47"/>
      <c r="FR87" s="47"/>
      <c r="FS87" s="47"/>
      <c r="FT87" s="47"/>
      <c r="FU87" s="47"/>
      <c r="FV87" s="47"/>
      <c r="FW87" s="47"/>
      <c r="FX87" s="47"/>
      <c r="FY87" s="47"/>
      <c r="FZ87" s="47"/>
      <c r="GA87" s="47"/>
      <c r="GB87" s="47"/>
      <c r="GC87" s="47"/>
      <c r="GD87" s="47"/>
      <c r="GE87" s="47"/>
      <c r="GF87" s="47"/>
      <c r="GG87" s="47"/>
      <c r="GH87" s="47"/>
      <c r="GI87" s="47"/>
      <c r="GJ87" s="47"/>
      <c r="GK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47"/>
      <c r="FG88" s="47"/>
      <c r="FH88" s="47"/>
      <c r="FI88" s="47"/>
      <c r="FJ88" s="47"/>
      <c r="FK88" s="47"/>
      <c r="FL88" s="47"/>
      <c r="FM88" s="47"/>
      <c r="FN88" s="47"/>
      <c r="FO88" s="47"/>
      <c r="FP88" s="47"/>
      <c r="FQ88" s="47"/>
      <c r="FR88" s="47"/>
      <c r="FS88" s="47"/>
      <c r="FT88" s="47"/>
      <c r="FU88" s="47"/>
      <c r="FV88" s="47"/>
      <c r="FW88" s="47"/>
      <c r="FX88" s="47"/>
      <c r="FY88" s="47"/>
      <c r="FZ88" s="47"/>
      <c r="GA88" s="47"/>
      <c r="GB88" s="47"/>
      <c r="GC88" s="47"/>
      <c r="GD88" s="47"/>
      <c r="GE88" s="47"/>
      <c r="GF88" s="47"/>
      <c r="GG88" s="47"/>
      <c r="GH88" s="47"/>
      <c r="GI88" s="47"/>
      <c r="GJ88" s="47"/>
      <c r="GK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47"/>
      <c r="FG89" s="47"/>
      <c r="FH89" s="47"/>
      <c r="FI89" s="47"/>
      <c r="FJ89" s="47"/>
      <c r="FK89" s="47"/>
      <c r="FL89" s="47"/>
      <c r="FM89" s="47"/>
      <c r="FN89" s="47"/>
      <c r="FO89" s="47"/>
      <c r="FP89" s="47"/>
      <c r="FQ89" s="47"/>
      <c r="FR89" s="47"/>
      <c r="FS89" s="47"/>
      <c r="FT89" s="47"/>
      <c r="FU89" s="47"/>
      <c r="FV89" s="47"/>
      <c r="FW89" s="47"/>
      <c r="FX89" s="47"/>
      <c r="FY89" s="47"/>
      <c r="FZ89" s="47"/>
      <c r="GA89" s="47"/>
      <c r="GB89" s="47"/>
      <c r="GC89" s="47"/>
      <c r="GD89" s="47"/>
      <c r="GE89" s="47"/>
      <c r="GF89" s="47"/>
      <c r="GG89" s="47"/>
      <c r="GH89" s="47"/>
      <c r="GI89" s="47"/>
      <c r="GJ89" s="47"/>
      <c r="GK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47"/>
      <c r="FG90" s="47"/>
      <c r="FH90" s="47"/>
      <c r="FI90" s="47"/>
      <c r="FJ90" s="47"/>
      <c r="FK90" s="47"/>
      <c r="FL90" s="47"/>
      <c r="FM90" s="47"/>
      <c r="FN90" s="47"/>
      <c r="FO90" s="47"/>
      <c r="FP90" s="47"/>
      <c r="FQ90" s="47"/>
      <c r="FR90" s="47"/>
      <c r="FS90" s="47"/>
      <c r="FT90" s="47"/>
      <c r="FU90" s="47"/>
      <c r="FV90" s="47"/>
      <c r="FW90" s="47"/>
      <c r="FX90" s="47"/>
      <c r="FY90" s="47"/>
      <c r="FZ90" s="47"/>
      <c r="GA90" s="47"/>
      <c r="GB90" s="47"/>
      <c r="GC90" s="47"/>
      <c r="GD90" s="47"/>
      <c r="GE90" s="47"/>
      <c r="GF90" s="47"/>
      <c r="GG90" s="47"/>
      <c r="GH90" s="47"/>
      <c r="GI90" s="47"/>
      <c r="GJ90" s="47"/>
      <c r="GK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47"/>
      <c r="FG91" s="47"/>
      <c r="FH91" s="47"/>
      <c r="FI91" s="47"/>
      <c r="FJ91" s="47"/>
      <c r="FK91" s="47"/>
      <c r="FL91" s="47"/>
      <c r="FM91" s="47"/>
      <c r="FN91" s="47"/>
      <c r="FO91" s="47"/>
      <c r="FP91" s="47"/>
      <c r="FQ91" s="47"/>
      <c r="FR91" s="47"/>
      <c r="FS91" s="47"/>
      <c r="FT91" s="47"/>
      <c r="FU91" s="47"/>
      <c r="FV91" s="47"/>
      <c r="FW91" s="47"/>
      <c r="FX91" s="47"/>
      <c r="FY91" s="47"/>
      <c r="FZ91" s="47"/>
      <c r="GA91" s="47"/>
      <c r="GB91" s="47"/>
      <c r="GC91" s="47"/>
      <c r="GD91" s="47"/>
      <c r="GE91" s="47"/>
      <c r="GF91" s="47"/>
      <c r="GG91" s="47"/>
      <c r="GH91" s="47"/>
      <c r="GI91" s="47"/>
      <c r="GJ91" s="47"/>
      <c r="GK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47"/>
      <c r="FG92" s="47"/>
      <c r="FH92" s="47"/>
      <c r="FI92" s="47"/>
      <c r="FJ92" s="47"/>
      <c r="FK92" s="47"/>
      <c r="FL92" s="47"/>
      <c r="FM92" s="47"/>
      <c r="FN92" s="47"/>
      <c r="FO92" s="47"/>
      <c r="FP92" s="47"/>
      <c r="FQ92" s="47"/>
      <c r="FR92" s="47"/>
      <c r="FS92" s="47"/>
      <c r="FT92" s="47"/>
      <c r="FU92" s="47"/>
      <c r="FV92" s="47"/>
      <c r="FW92" s="47"/>
      <c r="FX92" s="47"/>
      <c r="FY92" s="47"/>
      <c r="FZ92" s="47"/>
      <c r="GA92" s="47"/>
      <c r="GB92" s="47"/>
      <c r="GC92" s="47"/>
      <c r="GD92" s="47"/>
      <c r="GE92" s="47"/>
      <c r="GF92" s="47"/>
      <c r="GG92" s="47"/>
      <c r="GH92" s="47"/>
      <c r="GI92" s="47"/>
      <c r="GJ92" s="47"/>
      <c r="GK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47"/>
      <c r="FG93" s="47"/>
      <c r="FH93" s="47"/>
      <c r="FI93" s="47"/>
      <c r="FJ93" s="47"/>
      <c r="FK93" s="47"/>
      <c r="FL93" s="47"/>
      <c r="FM93" s="47"/>
      <c r="FN93" s="47"/>
      <c r="FO93" s="47"/>
      <c r="FP93" s="47"/>
      <c r="FQ93" s="47"/>
      <c r="FR93" s="47"/>
      <c r="FS93" s="47"/>
      <c r="FT93" s="47"/>
      <c r="FU93" s="47"/>
      <c r="FV93" s="47"/>
      <c r="FW93" s="47"/>
      <c r="FX93" s="47"/>
      <c r="FY93" s="47"/>
      <c r="FZ93" s="47"/>
      <c r="GA93" s="47"/>
      <c r="GB93" s="47"/>
      <c r="GC93" s="47"/>
      <c r="GD93" s="47"/>
      <c r="GE93" s="47"/>
      <c r="GF93" s="47"/>
      <c r="GG93" s="47"/>
      <c r="GH93" s="47"/>
      <c r="GI93" s="47"/>
      <c r="GJ93" s="47"/>
      <c r="GK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47"/>
      <c r="FG94" s="47"/>
      <c r="FH94" s="47"/>
      <c r="FI94" s="47"/>
      <c r="FJ94" s="47"/>
      <c r="FK94" s="47"/>
      <c r="FL94" s="47"/>
      <c r="FM94" s="47"/>
      <c r="FN94" s="47"/>
      <c r="FO94" s="47"/>
      <c r="FP94" s="47"/>
      <c r="FQ94" s="47"/>
      <c r="FR94" s="47"/>
      <c r="FS94" s="47"/>
      <c r="FT94" s="47"/>
      <c r="FU94" s="47"/>
      <c r="FV94" s="47"/>
      <c r="FW94" s="47"/>
      <c r="FX94" s="47"/>
      <c r="FY94" s="47"/>
      <c r="FZ94" s="47"/>
      <c r="GA94" s="47"/>
      <c r="GB94" s="47"/>
      <c r="GC94" s="47"/>
      <c r="GD94" s="47"/>
      <c r="GE94" s="47"/>
      <c r="GF94" s="47"/>
      <c r="GG94" s="47"/>
      <c r="GH94" s="47"/>
      <c r="GI94" s="47"/>
      <c r="GJ94" s="47"/>
      <c r="GK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47"/>
      <c r="FG95" s="47"/>
      <c r="FH95" s="47"/>
      <c r="FI95" s="47"/>
      <c r="FJ95" s="47"/>
      <c r="FK95" s="47"/>
      <c r="FL95" s="47"/>
      <c r="FM95" s="47"/>
      <c r="FN95" s="47"/>
      <c r="FO95" s="47"/>
      <c r="FP95" s="47"/>
      <c r="FQ95" s="47"/>
      <c r="FR95" s="47"/>
      <c r="FS95" s="47"/>
      <c r="FT95" s="47"/>
      <c r="FU95" s="47"/>
      <c r="FV95" s="47"/>
      <c r="FW95" s="47"/>
      <c r="FX95" s="47"/>
      <c r="FY95" s="47"/>
      <c r="FZ95" s="47"/>
      <c r="GA95" s="47"/>
      <c r="GB95" s="47"/>
      <c r="GC95" s="47"/>
      <c r="GD95" s="47"/>
      <c r="GE95" s="47"/>
      <c r="GF95" s="47"/>
      <c r="GG95" s="47"/>
      <c r="GH95" s="47"/>
      <c r="GI95" s="47"/>
      <c r="GJ95" s="47"/>
      <c r="GK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47"/>
      <c r="FG96" s="47"/>
      <c r="FH96" s="47"/>
      <c r="FI96" s="47"/>
      <c r="FJ96" s="47"/>
      <c r="FK96" s="47"/>
      <c r="FL96" s="47"/>
      <c r="FM96" s="47"/>
      <c r="FN96" s="47"/>
      <c r="FO96" s="47"/>
      <c r="FP96" s="47"/>
      <c r="FQ96" s="47"/>
      <c r="FR96" s="47"/>
      <c r="FS96" s="47"/>
      <c r="FT96" s="47"/>
      <c r="FU96" s="47"/>
      <c r="FV96" s="47"/>
      <c r="FW96" s="47"/>
      <c r="FX96" s="47"/>
      <c r="FY96" s="47"/>
      <c r="FZ96" s="47"/>
      <c r="GA96" s="47"/>
      <c r="GB96" s="47"/>
      <c r="GC96" s="47"/>
      <c r="GD96" s="47"/>
      <c r="GE96" s="47"/>
      <c r="GF96" s="47"/>
      <c r="GG96" s="47"/>
      <c r="GH96" s="47"/>
      <c r="GI96" s="47"/>
      <c r="GJ96" s="47"/>
      <c r="GK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47"/>
      <c r="FG97" s="47"/>
      <c r="FH97" s="47"/>
      <c r="FI97" s="47"/>
      <c r="FJ97" s="47"/>
      <c r="FK97" s="47"/>
      <c r="FL97" s="47"/>
      <c r="FM97" s="47"/>
      <c r="FN97" s="47"/>
      <c r="FO97" s="47"/>
      <c r="FP97" s="47"/>
      <c r="FQ97" s="47"/>
      <c r="FR97" s="47"/>
      <c r="FS97" s="47"/>
      <c r="FT97" s="47"/>
      <c r="FU97" s="47"/>
      <c r="FV97" s="47"/>
      <c r="FW97" s="47"/>
      <c r="FX97" s="47"/>
      <c r="FY97" s="47"/>
      <c r="FZ97" s="47"/>
      <c r="GA97" s="47"/>
      <c r="GB97" s="47"/>
      <c r="GC97" s="47"/>
      <c r="GD97" s="47"/>
      <c r="GE97" s="47"/>
      <c r="GF97" s="47"/>
      <c r="GG97" s="47"/>
      <c r="GH97" s="47"/>
      <c r="GI97" s="47"/>
      <c r="GJ97" s="47"/>
      <c r="GK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47"/>
      <c r="FG98" s="47"/>
      <c r="FH98" s="47"/>
      <c r="FI98" s="47"/>
      <c r="FJ98" s="47"/>
      <c r="FK98" s="47"/>
      <c r="FL98" s="47"/>
      <c r="FM98" s="47"/>
      <c r="FN98" s="47"/>
      <c r="FO98" s="47"/>
      <c r="FP98" s="47"/>
      <c r="FQ98" s="47"/>
      <c r="FR98" s="47"/>
      <c r="FS98" s="47"/>
      <c r="FT98" s="47"/>
      <c r="FU98" s="47"/>
      <c r="FV98" s="47"/>
      <c r="FW98" s="47"/>
      <c r="FX98" s="47"/>
      <c r="FY98" s="47"/>
      <c r="FZ98" s="47"/>
      <c r="GA98" s="47"/>
      <c r="GB98" s="47"/>
      <c r="GC98" s="47"/>
      <c r="GD98" s="47"/>
      <c r="GE98" s="47"/>
      <c r="GF98" s="47"/>
      <c r="GG98" s="47"/>
      <c r="GH98" s="47"/>
      <c r="GI98" s="47"/>
      <c r="GJ98" s="47"/>
      <c r="GK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47"/>
      <c r="FG99" s="47"/>
      <c r="FH99" s="47"/>
      <c r="FI99" s="47"/>
      <c r="FJ99" s="47"/>
      <c r="FK99" s="47"/>
      <c r="FL99" s="47"/>
      <c r="FM99" s="47"/>
      <c r="FN99" s="47"/>
      <c r="FO99" s="47"/>
      <c r="FP99" s="47"/>
      <c r="FQ99" s="47"/>
      <c r="FR99" s="47"/>
      <c r="FS99" s="47"/>
      <c r="FT99" s="47"/>
      <c r="FU99" s="47"/>
      <c r="FV99" s="47"/>
      <c r="FW99" s="47"/>
      <c r="FX99" s="47"/>
      <c r="FY99" s="47"/>
      <c r="FZ99" s="47"/>
      <c r="GA99" s="47"/>
      <c r="GB99" s="47"/>
      <c r="GC99" s="47"/>
      <c r="GD99" s="47"/>
      <c r="GE99" s="47"/>
      <c r="GF99" s="47"/>
      <c r="GG99" s="47"/>
      <c r="GH99" s="47"/>
      <c r="GI99" s="47"/>
      <c r="GJ99" s="47"/>
      <c r="GK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47"/>
      <c r="FG100" s="47"/>
      <c r="FH100" s="47"/>
      <c r="FI100" s="47"/>
      <c r="FJ100" s="47"/>
      <c r="FK100" s="47"/>
      <c r="FL100" s="47"/>
      <c r="FM100" s="47"/>
      <c r="FN100" s="47"/>
      <c r="FO100" s="47"/>
      <c r="FP100" s="47"/>
      <c r="FQ100" s="47"/>
      <c r="FR100" s="47"/>
      <c r="FS100" s="47"/>
      <c r="FT100" s="47"/>
      <c r="FU100" s="47"/>
      <c r="FV100" s="47"/>
      <c r="FW100" s="47"/>
      <c r="FX100" s="47"/>
      <c r="FY100" s="47"/>
      <c r="FZ100" s="47"/>
      <c r="GA100" s="47"/>
      <c r="GB100" s="47"/>
      <c r="GC100" s="47"/>
      <c r="GD100" s="47"/>
      <c r="GE100" s="47"/>
      <c r="GF100" s="47"/>
      <c r="GG100" s="47"/>
      <c r="GH100" s="47"/>
      <c r="GI100" s="47"/>
      <c r="GJ100" s="47"/>
      <c r="GK100" s="4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 t="s">
        <v>32</v>
      </c>
      <c r="H6" s="41">
        <v>100.0</v>
      </c>
      <c r="I6" s="41">
        <v>50.0</v>
      </c>
      <c r="J6" s="41">
        <v>50.0</v>
      </c>
      <c r="K6" s="41">
        <v>50.0</v>
      </c>
      <c r="L6" s="36"/>
      <c r="M6" s="36"/>
      <c r="N6" s="41">
        <v>10.0</v>
      </c>
      <c r="O6" s="36"/>
      <c r="P6" s="41">
        <v>10.0</v>
      </c>
      <c r="Q6" s="36" t="s">
        <v>33</v>
      </c>
      <c r="R6" s="36" t="s">
        <v>34</v>
      </c>
      <c r="S6" s="36"/>
      <c r="T6" s="40" t="s">
        <v>35</v>
      </c>
      <c r="U6" s="42">
        <v>500.0</v>
      </c>
      <c r="V6" s="42">
        <v>500.0</v>
      </c>
      <c r="W6" s="40"/>
      <c r="X6" s="40"/>
      <c r="Y6" s="40"/>
      <c r="Z6" s="40"/>
      <c r="AA6" s="42">
        <v>50.0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61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62" t="s">
        <v>21</v>
      </c>
      <c r="AK6" s="62" t="s">
        <v>22</v>
      </c>
      <c r="AL6" s="62" t="s">
        <v>32</v>
      </c>
      <c r="AM6" s="63">
        <v>100.0</v>
      </c>
      <c r="AN6" s="63">
        <v>50.0</v>
      </c>
      <c r="AO6" s="63">
        <v>50.0</v>
      </c>
      <c r="AP6" s="45"/>
      <c r="AQ6" s="45"/>
      <c r="AR6" s="45"/>
      <c r="AS6" s="45"/>
      <c r="AT6" s="45" t="s">
        <v>33</v>
      </c>
      <c r="AU6" s="43" t="s">
        <v>34</v>
      </c>
      <c r="AV6" s="45" t="s">
        <v>35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61">
        <v>60.0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49" t="str">
        <f>IFERROR(__xludf.DUMMYFUNCTION("""COMPUTED_VALUE"""),"VerifyDbNavWindow")</f>
        <v>VerifyDbNavWindow</v>
      </c>
      <c r="Q4" s="49" t="str">
        <f>IFERROR(__xludf.DUMMYFUNCTION("""COMPUTED_VALUE"""),"VerifyGlobalDivisorWindow")</f>
        <v>VerifyGlobalDivisorWindow</v>
      </c>
      <c r="R4" s="49" t="str">
        <f>IFERROR(__xludf.DUMMYFUNCTION("""COMPUTED_VALUE"""),"VerifyPmCalculationPreferenceWindow")</f>
        <v>VerifyPmCalculationPreferenceWindow</v>
      </c>
      <c r="S4" s="49" t="str">
        <f>IFERROR(__xludf.DUMMYFUNCTION("""COMPUTED_VALUE"""),"VerifyRowCalculationBaseWindow")</f>
        <v>VerifyRowCalculationBaseWindow</v>
      </c>
      <c r="T4" s="49" t="str">
        <f>IFERROR(__xludf.DUMMYFUNCTION("""COMPUTED_VALUE"""),"VerifySecurityWindow")</f>
        <v>VerifySecurityWindow</v>
      </c>
      <c r="U4" s="49" t="str">
        <f>IFERROR(__xludf.DUMMYFUNCTION("""COMPUTED_VALUE"""),"VerifySymbolDataWindow")</f>
        <v>VerifySymbolDataWindow</v>
      </c>
      <c r="V4" s="49" t="str">
        <f>IFERROR(__xludf.DUMMYFUNCTION("""COMPUTED_VALUE"""),"VerifySymbolDivisorWindow")</f>
        <v>VerifySymbolDivisorWindow</v>
      </c>
      <c r="W4" s="49" t="str">
        <f>IFERROR(__xludf.DUMMYFUNCTION("""COMPUTED_VALUE"""),"VerifyTaxlotWindow")</f>
        <v>VerifyTaxlotWindow</v>
      </c>
      <c r="X4" s="49" t="str">
        <f>IFERROR(__xludf.DUMMYFUNCTION("""COMPUTED_VALUE"""),"RestartEsper")</f>
        <v>RestartEsper</v>
      </c>
      <c r="Y4" s="49" t="str">
        <f>IFERROR(__xludf.DUMMYFUNCTION("""COMPUTED_VALUE"""),"VerifyAccountNavPreferenceWindow")</f>
        <v>VerifyAccountNavPreferenceWindow</v>
      </c>
      <c r="Z4" s="49" t="str">
        <f>IFERROR(__xludf.DUMMYFUNCTION("""COMPUTED_VALUE"""),"VerifyAggregationAccountUnderlyingSymbolWithNav")</f>
        <v>VerifyAggregationAccountUnderlyingSymbolWithNav</v>
      </c>
      <c r="AA4" s="49" t="str">
        <f>IFERROR(__xludf.DUMMYFUNCTION("""COMPUTED_VALUE"""),"VerifyAggregationAssetWithNav")</f>
        <v>VerifyAggregationAssetWithNav</v>
      </c>
      <c r="AB4" s="49" t="str">
        <f>IFERROR(__xludf.DUMMYFUNCTION("""COMPUTED_VALUE"""),"VerifyAggregationSymbolWithNav")</f>
        <v>VerifyAggregationSymbolWithNav</v>
      </c>
      <c r="AC4" s="49" t="str">
        <f>IFERROR(__xludf.DUMMYFUNCTION("""COMPUTED_VALUE"""),"VerifyAggregationSubSectorWithNav")</f>
        <v>VerifyAggregationSubSectorWithNav</v>
      </c>
      <c r="AD4" s="49" t="str">
        <f>IFERROR(__xludf.DUMMYFUNCTION("""COMPUTED_VALUE"""),"VerifyAggregationGlobalWithNav")</f>
        <v>VerifyAggregationGlobalWithNav</v>
      </c>
      <c r="AE4" s="49" t="str">
        <f>IFERROR(__xludf.DUMMYFUNCTION("""COMPUTED_VALUE"""),"VerifyAggregationGlobalWithNav")</f>
        <v>VerifyAggregationGlobalWithNav</v>
      </c>
      <c r="AF4" s="49" t="str">
        <f>IFERROR(__xludf.DUMMYFUNCTION("""COMPUTED_VALUE"""),"VerifyGlobalDivisorWindow")</f>
        <v>VerifyGlobalDivisorWindow</v>
      </c>
      <c r="AG4" s="49" t="str">
        <f>IFERROR(__xludf.DUMMYFUNCTION("""COMPUTED_VALUE"""),"VerifyAccrualForAccountWindow")</f>
        <v>VerifyAccrualForAccountWindow</v>
      </c>
      <c r="AH4" s="49" t="str">
        <f>IFERROR(__xludf.DUMMYFUNCTION("""COMPUTED_VALUE"""),"VerifyGlobalDivisorWindow")</f>
        <v>VerifyGlobalDivisorWindow</v>
      </c>
      <c r="AI4" s="49" t="str">
        <f>IFERROR(__xludf.DUMMYFUNCTION("""COMPUTED_VALUE"""),"VerifyMasterFundDivisorWindow")</f>
        <v>VerifyMasterFundDivisorWindow</v>
      </c>
      <c r="AJ4" s="49" t="str">
        <f>IFERROR(__xludf.DUMMYFUNCTION("""COMPUTED_VALUE"""),"VerifyMasterFundSymbolDivisorWindow")</f>
        <v>VerifyMasterFundSymbolDivisorWindow</v>
      </c>
      <c r="AK4" s="49" t="str">
        <f>IFERROR(__xludf.DUMMYFUNCTION("""COMPUTED_VALUE"""),"VerifyAggAccountSymbolWithNav")</f>
        <v>VerifyAggAccountSymbolWithNav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50" t="str">
        <f>IFERROR(__xludf.DUMMYFUNCTION("""COMPUTED_VALUE"""),"masterFundId")</f>
        <v>masterFundId</v>
      </c>
      <c r="U5" s="50" t="str">
        <f>IFERROR(__xludf.DUMMYFUNCTION("""COMPUTED_VALUE"""),"masterFundName")</f>
        <v>masterFundName</v>
      </c>
      <c r="V5" s="50" t="str">
        <f>IFERROR(__xludf.DUMMYFUNCTION("""COMPUTED_VALUE"""),"putOrCall")</f>
        <v>putOrCall</v>
      </c>
      <c r="W5" s="50" t="str">
        <f>IFERROR(__xludf.DUMMYFUNCTION("""COMPUTED_VALUE"""),"strikePrice")</f>
        <v>strikePrice</v>
      </c>
      <c r="X5" s="50" t="str">
        <f>IFERROR(__xludf.DUMMYFUNCTION("""COMPUTED_VALUE"""),"riskCurrency")</f>
        <v>riskCurrency</v>
      </c>
      <c r="Y5" s="50" t="str">
        <f>IFERROR(__xludf.DUMMYFUNCTION("""COMPUTED_VALUE"""),"issuer")</f>
        <v>issuer</v>
      </c>
      <c r="Z5" s="50" t="str">
        <f>IFERROR(__xludf.DUMMYFUNCTION("""COMPUTED_VALUE"""),"countryOfRisk")</f>
        <v>countryOfRisk</v>
      </c>
      <c r="AA5" s="50" t="str">
        <f>IFERROR(__xludf.DUMMYFUNCTION("""COMPUTED_VALUE"""),"region")</f>
        <v>region</v>
      </c>
      <c r="AB5" s="50" t="str">
        <f>IFERROR(__xludf.DUMMYFUNCTION("""COMPUTED_VALUE"""),"analyst")</f>
        <v>analyst</v>
      </c>
      <c r="AC5" s="50" t="str">
        <f>IFERROR(__xludf.DUMMYFUNCTION("""COMPUTED_VALUE"""),"ucitsEligibleTag")</f>
        <v>ucitsEligibleTag</v>
      </c>
      <c r="AD5" s="50" t="str">
        <f>IFERROR(__xludf.DUMMYFUNCTION("""COMPUTED_VALUE"""),"liquidTag")</f>
        <v>liquidTag</v>
      </c>
      <c r="AE5" s="50" t="str">
        <f>IFERROR(__xludf.DUMMYFUNCTION("""COMPUTED_VALUE"""),"marketCap")</f>
        <v>marketCap</v>
      </c>
      <c r="AF5" s="50" t="str">
        <f>IFERROR(__xludf.DUMMYFUNCTION("""COMPUTED_VALUE"""),"customUDA1")</f>
        <v>customUDA1</v>
      </c>
      <c r="AG5" s="50" t="str">
        <f>IFERROR(__xludf.DUMMYFUNCTION("""COMPUTED_VALUE"""),"customUDA2")</f>
        <v>customUDA2</v>
      </c>
      <c r="AH5" s="50" t="str">
        <f>IFERROR(__xludf.DUMMYFUNCTION("""COMPUTED_VALUE"""),"customUDA3")</f>
        <v>customUDA3</v>
      </c>
      <c r="AI5" s="50" t="str">
        <f>IFERROR(__xludf.DUMMYFUNCTION("""COMPUTED_VALUE"""),"customUDA4")</f>
        <v>customUDA4</v>
      </c>
      <c r="AJ5" s="50" t="str">
        <f>IFERROR(__xludf.DUMMYFUNCTION("""COMPUTED_VALUE"""),"customUDA5")</f>
        <v>customUDA5</v>
      </c>
      <c r="AK5" s="50" t="str">
        <f>IFERROR(__xludf.DUMMYFUNCTION("""COMPUTED_VALUE"""),"customUDA6")</f>
        <v>customUDA6</v>
      </c>
      <c r="AL5" s="50" t="str">
        <f>IFERROR(__xludf.DUMMYFUNCTION("""COMPUTED_VALUE"""),"customUDA7")</f>
        <v>customUDA7</v>
      </c>
      <c r="AM5" s="50" t="str">
        <f>IFERROR(__xludf.DUMMYFUNCTION("""COMPUTED_VALUE"""),"todayAbsTradeQuantity")</f>
        <v>todayAbsTradeQuantity</v>
      </c>
      <c r="AN5" s="50" t="str">
        <f>IFERROR(__xludf.DUMMYFUNCTION("""COMPUTED_VALUE"""),"todayLongTradeQuantity")</f>
        <v>todayLongTradeQuantity</v>
      </c>
      <c r="AO5" s="50" t="str">
        <f>IFERROR(__xludf.DUMMYFUNCTION("""COMPUTED_VALUE"""),"todayShortTradeQuantity")</f>
        <v>todayShortTradeQuantity</v>
      </c>
      <c r="AP5" s="50" t="str">
        <f>IFERROR(__xludf.DUMMYFUNCTION("""COMPUTED_VALUE"""),"todayNetNotionalBase")</f>
        <v>todayNetNotionalBase</v>
      </c>
      <c r="AQ5" s="50" t="str">
        <f>IFERROR(__xludf.DUMMYFUNCTION("""COMPUTED_VALUE"""),"todayLongNotionalBase")</f>
        <v>todayLongNotionalBase</v>
      </c>
      <c r="AR5" s="50" t="str">
        <f>IFERROR(__xludf.DUMMYFUNCTION("""COMPUTED_VALUE"""),"todayShortNotionalBase")</f>
        <v>todayShortNotionalBase</v>
      </c>
      <c r="AS5" s="50" t="str">
        <f>IFERROR(__xludf.DUMMYFUNCTION("""COMPUTED_VALUE"""),"quantity")</f>
        <v>quantity</v>
      </c>
      <c r="AT5" s="50" t="str">
        <f>IFERROR(__xludf.DUMMYFUNCTION("""COMPUTED_VALUE"""),"netMarketValueLocal")</f>
        <v>netMarketValueLocal</v>
      </c>
      <c r="AU5" s="50" t="str">
        <f>IFERROR(__xludf.DUMMYFUNCTION("""COMPUTED_VALUE"""),"yesterdayMarketValueLocal")</f>
        <v>yesterdayMarketValueLocal</v>
      </c>
      <c r="AV5" s="50" t="str">
        <f>IFERROR(__xludf.DUMMYFUNCTION("""COMPUTED_VALUE"""),"grossMarketValueLocal")</f>
        <v>grossMarketValueLocal</v>
      </c>
      <c r="AW5" s="50" t="str">
        <f>IFERROR(__xludf.DUMMYFUNCTION("""COMPUTED_VALUE"""),"notionalLocal")</f>
        <v>notionalLocal</v>
      </c>
      <c r="AX5" s="50" t="str">
        <f>IFERROR(__xludf.DUMMYFUNCTION("""COMPUTED_VALUE"""),"equityHaircutLocal")</f>
        <v>equityHaircutLocal</v>
      </c>
      <c r="AY5" s="50" t="str">
        <f>IFERROR(__xludf.DUMMYFUNCTION("""COMPUTED_VALUE"""),"indexHaircutLocal")</f>
        <v>indexHaircutLocal</v>
      </c>
      <c r="AZ5" s="50" t="str">
        <f>IFERROR(__xludf.DUMMYFUNCTION("""COMPUTED_VALUE"""),"equityHaircutBase")</f>
        <v>equityHaircutBase</v>
      </c>
      <c r="BA5" s="50" t="str">
        <f>IFERROR(__xludf.DUMMYFUNCTION("""COMPUTED_VALUE"""),"indexHaircutBase")</f>
        <v>indexHaircutBase</v>
      </c>
      <c r="BB5" s="50" t="str">
        <f>IFERROR(__xludf.DUMMYFUNCTION("""COMPUTED_VALUE"""),"cashImpactLocal")</f>
        <v>cashImpactLocal</v>
      </c>
      <c r="BC5" s="50" t="str">
        <f>IFERROR(__xludf.DUMMYFUNCTION("""COMPUTED_VALUE"""),"cashInflowLocal")</f>
        <v>cashInflowLocal</v>
      </c>
      <c r="BD5" s="50" t="str">
        <f>IFERROR(__xludf.DUMMYFUNCTION("""COMPUTED_VALUE"""),"cashOutflowLocal")</f>
        <v>cashOutflowLocal</v>
      </c>
      <c r="BE5" s="50" t="str">
        <f>IFERROR(__xludf.DUMMYFUNCTION("""COMPUTED_VALUE"""),"costBasisPnLLocal")</f>
        <v>costBasisPnLLocal</v>
      </c>
      <c r="BF5" s="50" t="str">
        <f>IFERROR(__xludf.DUMMYFUNCTION("""COMPUTED_VALUE"""),"dayPnLLocal")</f>
        <v>dayPnLLocal</v>
      </c>
      <c r="BG5" s="50" t="str">
        <f>IFERROR(__xludf.DUMMYFUNCTION("""COMPUTED_VALUE"""),"netExposureLocal")</f>
        <v>netExposureLocal</v>
      </c>
      <c r="BH5" s="50" t="str">
        <f>IFERROR(__xludf.DUMMYFUNCTION("""COMPUTED_VALUE"""),"grossExposureLocal")</f>
        <v>grossExposureLocal</v>
      </c>
      <c r="BI5" s="50" t="str">
        <f>IFERROR(__xludf.DUMMYFUNCTION("""COMPUTED_VALUE"""),"betaAdjustedExposureLocal")</f>
        <v>betaAdjustedExposureLocal</v>
      </c>
      <c r="BJ5" s="50" t="str">
        <f>IFERROR(__xludf.DUMMYFUNCTION("""COMPUTED_VALUE"""),"deltaAdjPosition")</f>
        <v>deltaAdjPosition</v>
      </c>
      <c r="BK5" s="50" t="str">
        <f>IFERROR(__xludf.DUMMYFUNCTION("""COMPUTED_VALUE"""),"liquidationPnlLocal")</f>
        <v>liquidationPnlLocal</v>
      </c>
      <c r="BL5" s="50" t="str">
        <f>IFERROR(__xludf.DUMMYFUNCTION("""COMPUTED_VALUE"""),"liquidationPnlBase")</f>
        <v>liquidationPnlBase</v>
      </c>
      <c r="BM5" s="50" t="str">
        <f>IFERROR(__xludf.DUMMYFUNCTION("""COMPUTED_VALUE"""),"underlyingValueForOptionsLocal")</f>
        <v>underlyingValueForOptionsLocal</v>
      </c>
      <c r="BN5" s="50" t="str">
        <f>IFERROR(__xludf.DUMMYFUNCTION("""COMPUTED_VALUE"""),"notionalBase")</f>
        <v>notionalBase</v>
      </c>
      <c r="BO5" s="50" t="str">
        <f>IFERROR(__xludf.DUMMYFUNCTION("""COMPUTED_VALUE"""),"cashImpactBase")</f>
        <v>cashImpactBase</v>
      </c>
      <c r="BP5" s="50" t="str">
        <f>IFERROR(__xludf.DUMMYFUNCTION("""COMPUTED_VALUE"""),"cashInflowBase")</f>
        <v>cashInflowBase</v>
      </c>
      <c r="BQ5" s="50" t="str">
        <f>IFERROR(__xludf.DUMMYFUNCTION("""COMPUTED_VALUE"""),"cashOutflowBase")</f>
        <v>cashOutflowBase</v>
      </c>
      <c r="BR5" s="50" t="str">
        <f>IFERROR(__xludf.DUMMYFUNCTION("""COMPUTED_VALUE"""),"netMarketValueBase")</f>
        <v>netMarketValueBase</v>
      </c>
      <c r="BS5" s="50" t="str">
        <f>IFERROR(__xludf.DUMMYFUNCTION("""COMPUTED_VALUE"""),"yesterdayMarketValueBase")</f>
        <v>yesterdayMarketValueBase</v>
      </c>
      <c r="BT5" s="50" t="str">
        <f>IFERROR(__xludf.DUMMYFUNCTION("""COMPUTED_VALUE"""),"grossMarketValueBase")</f>
        <v>grossMarketValueBase</v>
      </c>
      <c r="BU5" s="50" t="str">
        <f>IFERROR(__xludf.DUMMYFUNCTION("""COMPUTED_VALUE"""),"costBasisPnLBase")</f>
        <v>costBasisPnLBase</v>
      </c>
      <c r="BV5" s="50" t="str">
        <f>IFERROR(__xludf.DUMMYFUNCTION("""COMPUTED_VALUE"""),"dayPnLBase")</f>
        <v>dayPnLBase</v>
      </c>
      <c r="BW5" s="50" t="str">
        <f>IFERROR(__xludf.DUMMYFUNCTION("""COMPUTED_VALUE"""),"netExposureBase")</f>
        <v>netExposureBase</v>
      </c>
      <c r="BX5" s="50" t="str">
        <f>IFERROR(__xludf.DUMMYFUNCTION("""COMPUTED_VALUE"""),"grossExposureBase")</f>
        <v>grossExposureBase</v>
      </c>
      <c r="BY5" s="50" t="str">
        <f>IFERROR(__xludf.DUMMYFUNCTION("""COMPUTED_VALUE"""),"betaAdjustedExposureBase")</f>
        <v>betaAdjustedExposureBase</v>
      </c>
      <c r="BZ5" s="50" t="str">
        <f>IFERROR(__xludf.DUMMYFUNCTION("""COMPUTED_VALUE"""),"underlyingValueForOptionsBase")</f>
        <v>underlyingValueForOptionsBase</v>
      </c>
      <c r="CA5" s="50" t="str">
        <f>IFERROR(__xludf.DUMMYFUNCTION("""COMPUTED_VALUE"""),"currentFxRate")</f>
        <v>currentFxRate</v>
      </c>
      <c r="CB5" s="50" t="str">
        <f>IFERROR(__xludf.DUMMYFUNCTION("""COMPUTED_VALUE"""),"yesterdayFxRate")</f>
        <v>yesterdayFxRate</v>
      </c>
      <c r="CC5" s="50" t="str">
        <f>IFERROR(__xludf.DUMMYFUNCTION("""COMPUTED_VALUE"""),"fxConversionMethod")</f>
        <v>fxConversionMethod</v>
      </c>
      <c r="CD5" s="50" t="str">
        <f>IFERROR(__xludf.DUMMYFUNCTION("""COMPUTED_VALUE"""),"askPrice")</f>
        <v>askPrice</v>
      </c>
      <c r="CE5" s="50" t="str">
        <f>IFERROR(__xludf.DUMMYFUNCTION("""COMPUTED_VALUE"""),"bidPrice")</f>
        <v>bidPrice</v>
      </c>
      <c r="CF5" s="50" t="str">
        <f>IFERROR(__xludf.DUMMYFUNCTION("""COMPUTED_VALUE"""),"lowPrice")</f>
        <v>lowPrice</v>
      </c>
      <c r="CG5" s="50" t="str">
        <f>IFERROR(__xludf.DUMMYFUNCTION("""COMPUTED_VALUE"""),"highPrice")</f>
        <v>highPrice</v>
      </c>
      <c r="CH5" s="50" t="str">
        <f>IFERROR(__xludf.DUMMYFUNCTION("""COMPUTED_VALUE"""),"openPrice")</f>
        <v>openPrice</v>
      </c>
      <c r="CI5" s="50" t="str">
        <f>IFERROR(__xludf.DUMMYFUNCTION("""COMPUTED_VALUE"""),"closePrice")</f>
        <v>closePrice</v>
      </c>
      <c r="CJ5" s="50" t="str">
        <f>IFERROR(__xludf.DUMMYFUNCTION("""COMPUTED_VALUE"""),"lastPrice")</f>
        <v>lastPrice</v>
      </c>
      <c r="CK5" s="50" t="str">
        <f>IFERROR(__xludf.DUMMYFUNCTION("""COMPUTED_VALUE"""),"markPrice")</f>
        <v>markPrice</v>
      </c>
      <c r="CL5" s="50" t="str">
        <f>IFERROR(__xludf.DUMMYFUNCTION("""COMPUTED_VALUE"""),"delta")</f>
        <v>delta</v>
      </c>
      <c r="CM5" s="50" t="str">
        <f>IFERROR(__xludf.DUMMYFUNCTION("""COMPUTED_VALUE"""),"leveragedFactor")</f>
        <v>leveragedFactor</v>
      </c>
      <c r="CN5" s="50" t="str">
        <f>IFERROR(__xludf.DUMMYFUNCTION("""COMPUTED_VALUE"""),"beta5YearMonthly")</f>
        <v>beta5YearMonthly</v>
      </c>
      <c r="CO5" s="50" t="str">
        <f>IFERROR(__xludf.DUMMYFUNCTION("""COMPUTED_VALUE"""),"selectedFeedPrice")</f>
        <v>selectedFeedPrice</v>
      </c>
      <c r="CP5" s="50" t="str">
        <f>IFERROR(__xludf.DUMMYFUNCTION("""COMPUTED_VALUE"""),"openInterest")</f>
        <v>openInterest</v>
      </c>
      <c r="CQ5" s="50" t="str">
        <f>IFERROR(__xludf.DUMMYFUNCTION("""COMPUTED_VALUE"""),"underlyingPrice")</f>
        <v>underlyingPrice</v>
      </c>
      <c r="CR5" s="50" t="str">
        <f>IFERROR(__xludf.DUMMYFUNCTION("""COMPUTED_VALUE"""),"avgVolume20Days")</f>
        <v>avgVolume20Days</v>
      </c>
      <c r="CS5" s="50" t="str">
        <f>IFERROR(__xludf.DUMMYFUNCTION("""COMPUTED_VALUE"""),"percentAvgVolume")</f>
        <v>percentAvgVolume</v>
      </c>
      <c r="CT5" s="50" t="str">
        <f>IFERROR(__xludf.DUMMYFUNCTION("""COMPUTED_VALUE"""),"sharesOutstanding")</f>
        <v>sharesOutstanding</v>
      </c>
      <c r="CU5" s="50" t="str">
        <f>IFERROR(__xludf.DUMMYFUNCTION("""COMPUTED_VALUE"""),"underlyingSharesOutstanding")</f>
        <v>underlyingSharesOutstanding</v>
      </c>
      <c r="CV5" s="50" t="str">
        <f>IFERROR(__xludf.DUMMYFUNCTION("""COMPUTED_VALUE"""),"marketCapitalization")</f>
        <v>marketCapitalization</v>
      </c>
      <c r="CW5" s="50" t="str">
        <f>IFERROR(__xludf.DUMMYFUNCTION("""COMPUTED_VALUE"""),"underlyingMarketCapitalization")</f>
        <v>underlyingMarketCapitalization</v>
      </c>
      <c r="CX5" s="50" t="str">
        <f>IFERROR(__xludf.DUMMYFUNCTION("""COMPUTED_VALUE"""),"avgVolume")</f>
        <v>avgVolume</v>
      </c>
      <c r="CY5" s="50" t="str">
        <f>IFERROR(__xludf.DUMMYFUNCTION("""COMPUTED_VALUE"""),"businessDaysToExpire")</f>
        <v>businessDaysToExpire</v>
      </c>
      <c r="CZ5" s="50" t="str">
        <f>IFERROR(__xludf.DUMMYFUNCTION("""COMPUTED_VALUE"""),"actualDaysToExpire")</f>
        <v>actualDaysToExpire</v>
      </c>
      <c r="DA5" s="50" t="str">
        <f>IFERROR(__xludf.DUMMYFUNCTION("""COMPUTED_VALUE"""),"equivalent")</f>
        <v>equivalent</v>
      </c>
      <c r="DB5" s="50" t="str">
        <f>IFERROR(__xludf.DUMMYFUNCTION("""COMPUTED_VALUE"""),"multiplier")</f>
        <v>multiplier</v>
      </c>
      <c r="DC5" s="50" t="str">
        <f>IFERROR(__xludf.DUMMYFUNCTION("""COMPUTED_VALUE"""),"dayInterestBase")</f>
        <v>dayInterestBase</v>
      </c>
      <c r="DD5" s="50" t="str">
        <f>IFERROR(__xludf.DUMMYFUNCTION("""COMPUTED_VALUE"""),"totalInterestBase")</f>
        <v>totalInterestBase</v>
      </c>
      <c r="DE5" s="50" t="str">
        <f>IFERROR(__xludf.DUMMYFUNCTION("""COMPUTED_VALUE"""),"dayInterestLocal")</f>
        <v>dayInterestLocal</v>
      </c>
      <c r="DF5" s="50" t="str">
        <f>IFERROR(__xludf.DUMMYFUNCTION("""COMPUTED_VALUE"""),"totalInterestLocal")</f>
        <v>totalInterestLocal</v>
      </c>
      <c r="DG5" s="50" t="str">
        <f>IFERROR(__xludf.DUMMYFUNCTION("""COMPUTED_VALUE"""),"defaultPositionSide")</f>
        <v>defaultPositionSide</v>
      </c>
      <c r="DH5" s="50" t="str">
        <f>IFERROR(__xludf.DUMMYFUNCTION("""COMPUTED_VALUE"""),"exposurePositionSide")</f>
        <v>exposurePositionSide</v>
      </c>
      <c r="DI5" s="50" t="str">
        <f>IFERROR(__xludf.DUMMYFUNCTION("""COMPUTED_VALUE"""),"longNotionalBase")</f>
        <v>longNotionalBase</v>
      </c>
      <c r="DJ5" s="50" t="str">
        <f>IFERROR(__xludf.DUMMYFUNCTION("""COMPUTED_VALUE"""),"shortNotionalBase")</f>
        <v>shortNotionalBase</v>
      </c>
      <c r="DK5" s="50" t="str">
        <f>IFERROR(__xludf.DUMMYFUNCTION("""COMPUTED_VALUE"""),"shortMarketValueBase")</f>
        <v>shortMarketValueBase</v>
      </c>
      <c r="DL5" s="50" t="str">
        <f>IFERROR(__xludf.DUMMYFUNCTION("""COMPUTED_VALUE"""),"longMarketValueBase")</f>
        <v>longMarketValueBase</v>
      </c>
      <c r="DM5" s="50" t="str">
        <f>IFERROR(__xludf.DUMMYFUNCTION("""COMPUTED_VALUE"""),"shortExposureBase")</f>
        <v>shortExposureBase</v>
      </c>
      <c r="DN5" s="50" t="str">
        <f>IFERROR(__xludf.DUMMYFUNCTION("""COMPUTED_VALUE"""),"longExposureBase")</f>
        <v>longExposureBase</v>
      </c>
      <c r="DO5" s="50" t="str">
        <f>IFERROR(__xludf.DUMMYFUNCTION("""COMPUTED_VALUE"""),"globalNav")</f>
        <v>globalNav</v>
      </c>
      <c r="DP5" s="50" t="str">
        <f>IFERROR(__xludf.DUMMYFUNCTION("""COMPUTED_VALUE"""),"startOfDayNavGlobal")</f>
        <v>startOfDayNavGlobal</v>
      </c>
      <c r="DQ5" s="50" t="str">
        <f>IFERROR(__xludf.DUMMYFUNCTION("""COMPUTED_VALUE"""),"grossMarketValueBaseGlobal")</f>
        <v>grossMarketValueBaseGlobal</v>
      </c>
      <c r="DR5" s="50" t="str">
        <f>IFERROR(__xludf.DUMMYFUNCTION("""COMPUTED_VALUE"""),"grossExposureBaseGlobal")</f>
        <v>grossExposureBaseGlobal</v>
      </c>
      <c r="DS5" s="50" t="str">
        <f>IFERROR(__xludf.DUMMYFUNCTION("""COMPUTED_VALUE"""),"netExposureBaseGlobal")</f>
        <v>netExposureBaseGlobal</v>
      </c>
      <c r="DT5" s="50" t="str">
        <f>IFERROR(__xludf.DUMMYFUNCTION("""COMPUTED_VALUE"""),"accountNav")</f>
        <v>accountNav</v>
      </c>
      <c r="DU5" s="50" t="str">
        <f>IFERROR(__xludf.DUMMYFUNCTION("""COMPUTED_VALUE"""),"accountNRA")</f>
        <v>accountNRA</v>
      </c>
      <c r="DV5" s="50" t="str">
        <f>IFERROR(__xludf.DUMMYFUNCTION("""COMPUTED_VALUE"""),"startOfDayNavAccount")</f>
        <v>startOfDayNavAccount</v>
      </c>
      <c r="DW5" s="50" t="str">
        <f>IFERROR(__xludf.DUMMYFUNCTION("""COMPUTED_VALUE"""),"grossMarketValueBaseAccount")</f>
        <v>grossMarketValueBaseAccount</v>
      </c>
      <c r="DX5" s="50" t="str">
        <f>IFERROR(__xludf.DUMMYFUNCTION("""COMPUTED_VALUE"""),"grossExposureBaseAccount")</f>
        <v>grossExposureBaseAccount</v>
      </c>
      <c r="DY5" s="50" t="str">
        <f>IFERROR(__xludf.DUMMYFUNCTION("""COMPUTED_VALUE"""),"netExposureBaseAccount")</f>
        <v>netExposureBaseAccount</v>
      </c>
      <c r="DZ5" s="50" t="str">
        <f>IFERROR(__xludf.DUMMYFUNCTION("""COMPUTED_VALUE"""),"currentCash")</f>
        <v>currentCash</v>
      </c>
      <c r="EA5" s="50" t="str">
        <f>IFERROR(__xludf.DUMMYFUNCTION("""COMPUTED_VALUE"""),"accrual")</f>
        <v>accrual</v>
      </c>
      <c r="EB5" s="50" t="str">
        <f>IFERROR(__xludf.DUMMYFUNCTION("""COMPUTED_VALUE"""),"masterFundNav")</f>
        <v>masterFundNav</v>
      </c>
      <c r="EC5" s="50" t="str">
        <f>IFERROR(__xludf.DUMMYFUNCTION("""COMPUTED_VALUE"""),"startOfDayNavMasterFund")</f>
        <v>startOfDayNavMasterFund</v>
      </c>
      <c r="ED5" s="50" t="str">
        <f>IFERROR(__xludf.DUMMYFUNCTION("""COMPUTED_VALUE"""),"grossMarketValueBaseMasterFund")</f>
        <v>grossMarketValueBaseMasterFund</v>
      </c>
      <c r="EE5" s="50" t="str">
        <f>IFERROR(__xludf.DUMMYFUNCTION("""COMPUTED_VALUE"""),"grossExposureBaseMasterFund")</f>
        <v>grossExposureBaseMasterFund</v>
      </c>
      <c r="EF5" s="50" t="str">
        <f>IFERROR(__xludf.DUMMYFUNCTION("""COMPUTED_VALUE"""),"netExposureBaseMasterFund")</f>
        <v>netExposureBaseMasterFund</v>
      </c>
      <c r="EG5" s="50" t="str">
        <f>IFERROR(__xludf.DUMMYFUNCTION("""COMPUTED_VALUE"""),"percentNetMarketValueAccount")</f>
        <v>percentNetMarketValueAccount</v>
      </c>
      <c r="EH5" s="50" t="str">
        <f>IFERROR(__xludf.DUMMYFUNCTION("""COMPUTED_VALUE"""),"percentLongExposureAccount")</f>
        <v>percentLongExposureAccount</v>
      </c>
      <c r="EI5" s="50" t="str">
        <f>IFERROR(__xludf.DUMMYFUNCTION("""COMPUTED_VALUE"""),"percentShortExposureAccount")</f>
        <v>percentShortExposureAccount</v>
      </c>
      <c r="EJ5" s="50" t="str">
        <f>IFERROR(__xludf.DUMMYFUNCTION("""COMPUTED_VALUE"""),"percentNetExposureAccount")</f>
        <v>percentNetExposureAccount</v>
      </c>
      <c r="EK5" s="50" t="str">
        <f>IFERROR(__xludf.DUMMYFUNCTION("""COMPUTED_VALUE"""),"percentBetaAdjustedExposureAccount")</f>
        <v>percentBetaAdjustedExposureAccount</v>
      </c>
      <c r="EL5" s="50" t="str">
        <f>IFERROR(__xludf.DUMMYFUNCTION("""COMPUTED_VALUE"""),"percentGrossExposureAccount")</f>
        <v>percentGrossExposureAccount</v>
      </c>
      <c r="EM5" s="50" t="str">
        <f>IFERROR(__xludf.DUMMYFUNCTION("""COMPUTED_VALUE"""),"percentLongMarketValueAccount")</f>
        <v>percentLongMarketValueAccount</v>
      </c>
      <c r="EN5" s="50" t="str">
        <f>IFERROR(__xludf.DUMMYFUNCTION("""COMPUTED_VALUE"""),"percentShortMarketValueAccount")</f>
        <v>percentShortMarketValueAccount</v>
      </c>
      <c r="EO5" s="50" t="str">
        <f>IFERROR(__xludf.DUMMYFUNCTION("""COMPUTED_VALUE"""),"percentGrossMarketValueAccount")</f>
        <v>percentGrossMarketValueAccount</v>
      </c>
      <c r="EP5" s="50" t="str">
        <f>IFERROR(__xludf.DUMMYFUNCTION("""COMPUTED_VALUE"""),"percentLongNotionalAccount")</f>
        <v>percentLongNotionalAccount</v>
      </c>
      <c r="EQ5" s="50" t="str">
        <f>IFERROR(__xludf.DUMMYFUNCTION("""COMPUTED_VALUE"""),"percentShortNotionalAccount")</f>
        <v>percentShortNotionalAccount</v>
      </c>
      <c r="ER5" s="50" t="str">
        <f>IFERROR(__xludf.DUMMYFUNCTION("""COMPUTED_VALUE"""),"percentNetNotionalAccount")</f>
        <v>percentNetNotionalAccount</v>
      </c>
      <c r="ES5" s="50" t="str">
        <f>IFERROR(__xludf.DUMMYFUNCTION("""COMPUTED_VALUE"""),"pnlContributionAccount")</f>
        <v>pnlContributionAccount</v>
      </c>
      <c r="ET5" s="50" t="str">
        <f>IFERROR(__xludf.DUMMYFUNCTION("""COMPUTED_VALUE"""),"percentCostBasisPnlAccount")</f>
        <v>percentCostBasisPnlAccount</v>
      </c>
      <c r="EU5" s="50" t="str">
        <f>IFERROR(__xludf.DUMMYFUNCTION("""COMPUTED_VALUE"""),"dayReturnAccount")</f>
        <v>dayReturnAccount</v>
      </c>
      <c r="EV5" s="50" t="str">
        <f>IFERROR(__xludf.DUMMYFUNCTION("""COMPUTED_VALUE"""),"percentNetMarketValueMasterFund")</f>
        <v>percentNetMarketValueMasterFund</v>
      </c>
      <c r="EW5" s="50" t="str">
        <f>IFERROR(__xludf.DUMMYFUNCTION("""COMPUTED_VALUE"""),"percentLongExposureMasterFund")</f>
        <v>percentLongExposureMasterFund</v>
      </c>
      <c r="EX5" s="50" t="str">
        <f>IFERROR(__xludf.DUMMYFUNCTION("""COMPUTED_VALUE"""),"percentShortExposureMasterFund")</f>
        <v>percentShortExposureMasterFund</v>
      </c>
      <c r="EY5" s="50" t="str">
        <f>IFERROR(__xludf.DUMMYFUNCTION("""COMPUTED_VALUE"""),"percentNetExposureMasterFund")</f>
        <v>percentNetExposureMasterFund</v>
      </c>
      <c r="EZ5" s="50" t="str">
        <f>IFERROR(__xludf.DUMMYFUNCTION("""COMPUTED_VALUE"""),"percentBetaAdjustedExposureMasterFund")</f>
        <v>percentBetaAdjustedExposureMasterFund</v>
      </c>
      <c r="FA5" s="50" t="str">
        <f>IFERROR(__xludf.DUMMYFUNCTION("""COMPUTED_VALUE"""),"percentGrossExposureMasterFund")</f>
        <v>percentGrossExposureMasterFund</v>
      </c>
      <c r="FB5" s="50" t="str">
        <f>IFERROR(__xludf.DUMMYFUNCTION("""COMPUTED_VALUE"""),"percentLongMarketValueMasterFund")</f>
        <v>percentLongMarketValueMasterFund</v>
      </c>
      <c r="FC5" s="50" t="str">
        <f>IFERROR(__xludf.DUMMYFUNCTION("""COMPUTED_VALUE"""),"percentShortMarketValueMasterFund")</f>
        <v>percentShortMarketValueMasterFund</v>
      </c>
      <c r="FD5" s="50" t="str">
        <f>IFERROR(__xludf.DUMMYFUNCTION("""COMPUTED_VALUE"""),"percentGrossMarketValueMasterFund")</f>
        <v>percentGrossMarketValueMasterFund</v>
      </c>
      <c r="FE5" s="50" t="str">
        <f>IFERROR(__xludf.DUMMYFUNCTION("""COMPUTED_VALUE"""),"percentLongNotionalMasterFund")</f>
        <v>percentLongNotionalMasterFund</v>
      </c>
      <c r="FF5" s="50" t="str">
        <f>IFERROR(__xludf.DUMMYFUNCTION("""COMPUTED_VALUE"""),"percentShortNotionalMasterFund")</f>
        <v>percentShortNotionalMasterFund</v>
      </c>
      <c r="FG5" s="50" t="str">
        <f>IFERROR(__xludf.DUMMYFUNCTION("""COMPUTED_VALUE"""),"percentNetNotionalMasterFund")</f>
        <v>percentNetNotionalMasterFund</v>
      </c>
      <c r="FH5" s="50" t="str">
        <f>IFERROR(__xludf.DUMMYFUNCTION("""COMPUTED_VALUE"""),"pnlContributionMasterFund")</f>
        <v>pnlContributionMasterFund</v>
      </c>
      <c r="FI5" s="50" t="str">
        <f>IFERROR(__xludf.DUMMYFUNCTION("""COMPUTED_VALUE"""),"percentCostBasisPnlMasterFund")</f>
        <v>percentCostBasisPnlMasterFund</v>
      </c>
      <c r="FJ5" s="50" t="str">
        <f>IFERROR(__xludf.DUMMYFUNCTION("""COMPUTED_VALUE"""),"dayReturnMasterFund")</f>
        <v>dayReturnMasterFund</v>
      </c>
      <c r="FK5" s="50" t="str">
        <f>IFERROR(__xludf.DUMMYFUNCTION("""COMPUTED_VALUE"""),"percentNetMarketValueGlobal")</f>
        <v>percentNetMarketValueGlobal</v>
      </c>
      <c r="FL5" s="50" t="str">
        <f>IFERROR(__xludf.DUMMYFUNCTION("""COMPUTED_VALUE"""),"percentLongExposureGlobal")</f>
        <v>percentLongExposureGlobal</v>
      </c>
      <c r="FM5" s="50" t="str">
        <f>IFERROR(__xludf.DUMMYFUNCTION("""COMPUTED_VALUE"""),"percentShortExposureGlobal")</f>
        <v>percentShortExposureGlobal</v>
      </c>
      <c r="FN5" s="50" t="str">
        <f>IFERROR(__xludf.DUMMYFUNCTION("""COMPUTED_VALUE"""),"percentNetExposureGlobal")</f>
        <v>percentNetExposureGlobal</v>
      </c>
      <c r="FO5" s="50" t="str">
        <f>IFERROR(__xludf.DUMMYFUNCTION("""COMPUTED_VALUE"""),"percentBetaAdjustedExposureGlobal")</f>
        <v>percentBetaAdjustedExposureGlobal</v>
      </c>
      <c r="FP5" s="50" t="str">
        <f>IFERROR(__xludf.DUMMYFUNCTION("""COMPUTED_VALUE"""),"percentGrossExposureGlobal")</f>
        <v>percentGrossExposureGlobal</v>
      </c>
      <c r="FQ5" s="50" t="str">
        <f>IFERROR(__xludf.DUMMYFUNCTION("""COMPUTED_VALUE"""),"percentLongMarketValueGlobal")</f>
        <v>percentLongMarketValueGlobal</v>
      </c>
      <c r="FR5" s="50" t="str">
        <f>IFERROR(__xludf.DUMMYFUNCTION("""COMPUTED_VALUE"""),"percentShortMarketValueGlobal")</f>
        <v>percentShortMarketValueGlobal</v>
      </c>
      <c r="FS5" s="50" t="str">
        <f>IFERROR(__xludf.DUMMYFUNCTION("""COMPUTED_VALUE"""),"percentGrossMarketValueGlobal")</f>
        <v>percentGrossMarketValueGlobal</v>
      </c>
      <c r="FT5" s="50" t="str">
        <f>IFERROR(__xludf.DUMMYFUNCTION("""COMPUTED_VALUE"""),"percentLongNotionalGlobal")</f>
        <v>percentLongNotionalGlobal</v>
      </c>
      <c r="FU5" s="50" t="str">
        <f>IFERROR(__xludf.DUMMYFUNCTION("""COMPUTED_VALUE"""),"percentShortNotionalGlobal")</f>
        <v>percentShortNotionalGlobal</v>
      </c>
      <c r="FV5" s="50" t="str">
        <f>IFERROR(__xludf.DUMMYFUNCTION("""COMPUTED_VALUE"""),"percentNetNotionalGlobal")</f>
        <v>percentNetNotionalGlobal</v>
      </c>
      <c r="FW5" s="50" t="str">
        <f>IFERROR(__xludf.DUMMYFUNCTION("""COMPUTED_VALUE"""),"pnlContributionGlobal")</f>
        <v>pnlContributionGlobal</v>
      </c>
      <c r="FX5" s="50" t="str">
        <f>IFERROR(__xludf.DUMMYFUNCTION("""COMPUTED_VALUE"""),"percentCostBasisPnlGlobal")</f>
        <v>percentCostBasisPnlGlobal</v>
      </c>
      <c r="FY5" s="50" t="str">
        <f>IFERROR(__xludf.DUMMYFUNCTION("""COMPUTED_VALUE"""),"dayReturnGlobal")</f>
        <v>dayReturnGlobal</v>
      </c>
      <c r="FZ5" s="50" t="str">
        <f>IFERROR(__xludf.DUMMYFUNCTION("""COMPUTED_VALUE"""),"longDebitBalance")</f>
        <v>longDebitBalance</v>
      </c>
      <c r="GA5" s="50" t="str">
        <f>IFERROR(__xludf.DUMMYFUNCTION("""COMPUTED_VALUE"""),"shortCreditBalance")</f>
        <v>shortCreditBalance</v>
      </c>
      <c r="GB5" s="50"/>
      <c r="GC5" s="50"/>
      <c r="GD5" s="50"/>
      <c r="GE5" s="50"/>
      <c r="GF5" s="50"/>
      <c r="GG5" s="50"/>
      <c r="GH5" s="50"/>
      <c r="GI5" s="50"/>
      <c r="GJ5" s="50"/>
      <c r="GK5" s="50"/>
    </row>
    <row r="6" ht="15.75" customHeight="1">
      <c r="A6" s="51"/>
      <c r="B6" s="52" t="s">
        <v>40</v>
      </c>
      <c r="C6" s="53"/>
      <c r="D6" s="52" t="s">
        <v>46</v>
      </c>
      <c r="E6" s="60" t="s">
        <v>43</v>
      </c>
      <c r="F6" s="60" t="s">
        <v>43</v>
      </c>
      <c r="G6" s="53" t="s">
        <v>21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3"/>
      <c r="AI6" s="53"/>
      <c r="AJ6" s="53"/>
      <c r="AK6" s="53"/>
      <c r="AL6" s="53"/>
      <c r="AM6" s="53"/>
      <c r="AN6" s="54"/>
      <c r="AO6" s="54"/>
      <c r="AP6" s="55">
        <v>500.0</v>
      </c>
      <c r="AQ6" s="55">
        <v>500.0</v>
      </c>
      <c r="AR6" s="55">
        <v>0.0</v>
      </c>
      <c r="AS6" s="55">
        <v>50.0</v>
      </c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</row>
    <row r="7" ht="15.75" customHeight="1">
      <c r="A7" s="53"/>
      <c r="B7" s="53" t="s">
        <v>40</v>
      </c>
      <c r="C7" s="53"/>
      <c r="D7" s="53" t="s">
        <v>46</v>
      </c>
      <c r="E7" s="60" t="s">
        <v>42</v>
      </c>
      <c r="F7" s="60" t="s">
        <v>42</v>
      </c>
      <c r="G7" s="53" t="s">
        <v>21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3"/>
      <c r="AI7" s="53"/>
      <c r="AJ7" s="53"/>
      <c r="AK7" s="53"/>
      <c r="AL7" s="53"/>
      <c r="AM7" s="53"/>
      <c r="AN7" s="54"/>
      <c r="AO7" s="54"/>
      <c r="AP7" s="55">
        <v>500.0</v>
      </c>
      <c r="AQ7" s="55">
        <v>500.0</v>
      </c>
      <c r="AR7" s="55">
        <v>0.0</v>
      </c>
      <c r="AS7" s="55">
        <v>50.0</v>
      </c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  <c r="GF36" s="47"/>
      <c r="GG36" s="47"/>
      <c r="GH36" s="47"/>
      <c r="GI36" s="47"/>
      <c r="GJ36" s="47"/>
      <c r="GK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7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  <c r="GE40" s="47"/>
      <c r="GF40" s="47"/>
      <c r="GG40" s="47"/>
      <c r="GH40" s="47"/>
      <c r="GI40" s="47"/>
      <c r="GJ40" s="47"/>
      <c r="GK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  <c r="EY41" s="47"/>
      <c r="EZ41" s="47"/>
      <c r="FA41" s="47"/>
      <c r="FB41" s="47"/>
      <c r="FC41" s="47"/>
      <c r="FD41" s="47"/>
      <c r="FE41" s="47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  <c r="GE41" s="47"/>
      <c r="GF41" s="47"/>
      <c r="GG41" s="47"/>
      <c r="GH41" s="47"/>
      <c r="GI41" s="47"/>
      <c r="GJ41" s="47"/>
      <c r="GK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47"/>
      <c r="FG42" s="47"/>
      <c r="FH42" s="47"/>
      <c r="FI42" s="47"/>
      <c r="FJ42" s="47"/>
      <c r="FK42" s="47"/>
      <c r="FL42" s="47"/>
      <c r="FM42" s="47"/>
      <c r="FN42" s="47"/>
      <c r="FO42" s="47"/>
      <c r="FP42" s="47"/>
      <c r="FQ42" s="47"/>
      <c r="FR42" s="47"/>
      <c r="FS42" s="47"/>
      <c r="FT42" s="47"/>
      <c r="FU42" s="47"/>
      <c r="FV42" s="47"/>
      <c r="FW42" s="47"/>
      <c r="FX42" s="47"/>
      <c r="FY42" s="47"/>
      <c r="FZ42" s="47"/>
      <c r="GA42" s="47"/>
      <c r="GB42" s="47"/>
      <c r="GC42" s="47"/>
      <c r="GD42" s="47"/>
      <c r="GE42" s="47"/>
      <c r="GF42" s="47"/>
      <c r="GG42" s="47"/>
      <c r="GH42" s="47"/>
      <c r="GI42" s="47"/>
      <c r="GJ42" s="47"/>
      <c r="GK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47"/>
      <c r="FG43" s="47"/>
      <c r="FH43" s="47"/>
      <c r="FI43" s="47"/>
      <c r="FJ43" s="47"/>
      <c r="FK43" s="47"/>
      <c r="FL43" s="47"/>
      <c r="FM43" s="47"/>
      <c r="FN43" s="47"/>
      <c r="FO43" s="47"/>
      <c r="FP43" s="47"/>
      <c r="FQ43" s="47"/>
      <c r="FR43" s="47"/>
      <c r="FS43" s="47"/>
      <c r="FT43" s="47"/>
      <c r="FU43" s="47"/>
      <c r="FV43" s="47"/>
      <c r="FW43" s="47"/>
      <c r="FX43" s="47"/>
      <c r="FY43" s="47"/>
      <c r="FZ43" s="47"/>
      <c r="GA43" s="47"/>
      <c r="GB43" s="47"/>
      <c r="GC43" s="47"/>
      <c r="GD43" s="47"/>
      <c r="GE43" s="47"/>
      <c r="GF43" s="47"/>
      <c r="GG43" s="47"/>
      <c r="GH43" s="47"/>
      <c r="GI43" s="47"/>
      <c r="GJ43" s="47"/>
      <c r="GK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47"/>
      <c r="FG44" s="47"/>
      <c r="FH44" s="47"/>
      <c r="FI44" s="47"/>
      <c r="FJ44" s="47"/>
      <c r="FK44" s="47"/>
      <c r="FL44" s="47"/>
      <c r="FM44" s="47"/>
      <c r="FN44" s="47"/>
      <c r="FO44" s="47"/>
      <c r="FP44" s="47"/>
      <c r="FQ44" s="47"/>
      <c r="FR44" s="47"/>
      <c r="FS44" s="47"/>
      <c r="FT44" s="47"/>
      <c r="FU44" s="47"/>
      <c r="FV44" s="47"/>
      <c r="FW44" s="47"/>
      <c r="FX44" s="47"/>
      <c r="FY44" s="47"/>
      <c r="FZ44" s="47"/>
      <c r="GA44" s="47"/>
      <c r="GB44" s="47"/>
      <c r="GC44" s="47"/>
      <c r="GD44" s="47"/>
      <c r="GE44" s="47"/>
      <c r="GF44" s="47"/>
      <c r="GG44" s="47"/>
      <c r="GH44" s="47"/>
      <c r="GI44" s="47"/>
      <c r="GJ44" s="47"/>
      <c r="GK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47"/>
      <c r="FG45" s="47"/>
      <c r="FH45" s="47"/>
      <c r="FI45" s="47"/>
      <c r="FJ45" s="47"/>
      <c r="FK45" s="47"/>
      <c r="FL45" s="47"/>
      <c r="FM45" s="47"/>
      <c r="FN45" s="47"/>
      <c r="FO45" s="47"/>
      <c r="FP45" s="47"/>
      <c r="FQ45" s="47"/>
      <c r="FR45" s="47"/>
      <c r="FS45" s="47"/>
      <c r="FT45" s="47"/>
      <c r="FU45" s="47"/>
      <c r="FV45" s="47"/>
      <c r="FW45" s="47"/>
      <c r="FX45" s="47"/>
      <c r="FY45" s="47"/>
      <c r="FZ45" s="47"/>
      <c r="GA45" s="47"/>
      <c r="GB45" s="47"/>
      <c r="GC45" s="47"/>
      <c r="GD45" s="47"/>
      <c r="GE45" s="47"/>
      <c r="GF45" s="47"/>
      <c r="GG45" s="47"/>
      <c r="GH45" s="47"/>
      <c r="GI45" s="47"/>
      <c r="GJ45" s="47"/>
      <c r="GK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47"/>
      <c r="FG46" s="47"/>
      <c r="FH46" s="47"/>
      <c r="FI46" s="47"/>
      <c r="FJ46" s="47"/>
      <c r="FK46" s="47"/>
      <c r="FL46" s="47"/>
      <c r="FM46" s="47"/>
      <c r="FN46" s="47"/>
      <c r="FO46" s="47"/>
      <c r="FP46" s="47"/>
      <c r="FQ46" s="47"/>
      <c r="FR46" s="47"/>
      <c r="FS46" s="47"/>
      <c r="FT46" s="47"/>
      <c r="FU46" s="47"/>
      <c r="FV46" s="47"/>
      <c r="FW46" s="47"/>
      <c r="FX46" s="47"/>
      <c r="FY46" s="47"/>
      <c r="FZ46" s="47"/>
      <c r="GA46" s="47"/>
      <c r="GB46" s="47"/>
      <c r="GC46" s="47"/>
      <c r="GD46" s="47"/>
      <c r="GE46" s="47"/>
      <c r="GF46" s="47"/>
      <c r="GG46" s="47"/>
      <c r="GH46" s="47"/>
      <c r="GI46" s="47"/>
      <c r="GJ46" s="47"/>
      <c r="GK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47"/>
      <c r="FG47" s="47"/>
      <c r="FH47" s="47"/>
      <c r="FI47" s="47"/>
      <c r="FJ47" s="47"/>
      <c r="FK47" s="47"/>
      <c r="FL47" s="47"/>
      <c r="FM47" s="47"/>
      <c r="FN47" s="47"/>
      <c r="FO47" s="47"/>
      <c r="FP47" s="47"/>
      <c r="FQ47" s="47"/>
      <c r="FR47" s="47"/>
      <c r="FS47" s="47"/>
      <c r="FT47" s="47"/>
      <c r="FU47" s="47"/>
      <c r="FV47" s="47"/>
      <c r="FW47" s="47"/>
      <c r="FX47" s="47"/>
      <c r="FY47" s="47"/>
      <c r="FZ47" s="47"/>
      <c r="GA47" s="47"/>
      <c r="GB47" s="47"/>
      <c r="GC47" s="47"/>
      <c r="GD47" s="47"/>
      <c r="GE47" s="47"/>
      <c r="GF47" s="47"/>
      <c r="GG47" s="47"/>
      <c r="GH47" s="47"/>
      <c r="GI47" s="47"/>
      <c r="GJ47" s="47"/>
      <c r="GK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47"/>
      <c r="FG48" s="47"/>
      <c r="FH48" s="47"/>
      <c r="FI48" s="47"/>
      <c r="FJ48" s="47"/>
      <c r="FK48" s="47"/>
      <c r="FL48" s="47"/>
      <c r="FM48" s="47"/>
      <c r="FN48" s="47"/>
      <c r="FO48" s="47"/>
      <c r="FP48" s="47"/>
      <c r="FQ48" s="47"/>
      <c r="FR48" s="47"/>
      <c r="FS48" s="47"/>
      <c r="FT48" s="47"/>
      <c r="FU48" s="47"/>
      <c r="FV48" s="47"/>
      <c r="FW48" s="47"/>
      <c r="FX48" s="47"/>
      <c r="FY48" s="47"/>
      <c r="FZ48" s="47"/>
      <c r="GA48" s="47"/>
      <c r="GB48" s="47"/>
      <c r="GC48" s="47"/>
      <c r="GD48" s="47"/>
      <c r="GE48" s="47"/>
      <c r="GF48" s="47"/>
      <c r="GG48" s="47"/>
      <c r="GH48" s="47"/>
      <c r="GI48" s="47"/>
      <c r="GJ48" s="47"/>
      <c r="GK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47"/>
      <c r="FG49" s="47"/>
      <c r="FH49" s="47"/>
      <c r="FI49" s="47"/>
      <c r="FJ49" s="47"/>
      <c r="FK49" s="47"/>
      <c r="FL49" s="47"/>
      <c r="FM49" s="47"/>
      <c r="FN49" s="47"/>
      <c r="FO49" s="47"/>
      <c r="FP49" s="47"/>
      <c r="FQ49" s="47"/>
      <c r="FR49" s="47"/>
      <c r="FS49" s="47"/>
      <c r="FT49" s="47"/>
      <c r="FU49" s="47"/>
      <c r="FV49" s="47"/>
      <c r="FW49" s="47"/>
      <c r="FX49" s="47"/>
      <c r="FY49" s="47"/>
      <c r="FZ49" s="47"/>
      <c r="GA49" s="47"/>
      <c r="GB49" s="47"/>
      <c r="GC49" s="47"/>
      <c r="GD49" s="47"/>
      <c r="GE49" s="47"/>
      <c r="GF49" s="47"/>
      <c r="GG49" s="47"/>
      <c r="GH49" s="47"/>
      <c r="GI49" s="47"/>
      <c r="GJ49" s="47"/>
      <c r="GK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47"/>
      <c r="FG50" s="47"/>
      <c r="FH50" s="47"/>
      <c r="FI50" s="47"/>
      <c r="FJ50" s="47"/>
      <c r="FK50" s="47"/>
      <c r="FL50" s="47"/>
      <c r="FM50" s="47"/>
      <c r="FN50" s="47"/>
      <c r="FO50" s="47"/>
      <c r="FP50" s="47"/>
      <c r="FQ50" s="47"/>
      <c r="FR50" s="47"/>
      <c r="FS50" s="47"/>
      <c r="FT50" s="47"/>
      <c r="FU50" s="47"/>
      <c r="FV50" s="47"/>
      <c r="FW50" s="47"/>
      <c r="FX50" s="47"/>
      <c r="FY50" s="47"/>
      <c r="FZ50" s="47"/>
      <c r="GA50" s="47"/>
      <c r="GB50" s="47"/>
      <c r="GC50" s="47"/>
      <c r="GD50" s="47"/>
      <c r="GE50" s="47"/>
      <c r="GF50" s="47"/>
      <c r="GG50" s="47"/>
      <c r="GH50" s="47"/>
      <c r="GI50" s="47"/>
      <c r="GJ50" s="47"/>
      <c r="GK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47"/>
      <c r="FG51" s="47"/>
      <c r="FH51" s="47"/>
      <c r="FI51" s="47"/>
      <c r="FJ51" s="47"/>
      <c r="FK51" s="47"/>
      <c r="FL51" s="47"/>
      <c r="FM51" s="47"/>
      <c r="FN51" s="47"/>
      <c r="FO51" s="47"/>
      <c r="FP51" s="47"/>
      <c r="FQ51" s="47"/>
      <c r="FR51" s="47"/>
      <c r="FS51" s="47"/>
      <c r="FT51" s="47"/>
      <c r="FU51" s="47"/>
      <c r="FV51" s="47"/>
      <c r="FW51" s="47"/>
      <c r="FX51" s="47"/>
      <c r="FY51" s="47"/>
      <c r="FZ51" s="47"/>
      <c r="GA51" s="47"/>
      <c r="GB51" s="47"/>
      <c r="GC51" s="47"/>
      <c r="GD51" s="47"/>
      <c r="GE51" s="47"/>
      <c r="GF51" s="47"/>
      <c r="GG51" s="47"/>
      <c r="GH51" s="47"/>
      <c r="GI51" s="47"/>
      <c r="GJ51" s="47"/>
      <c r="GK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47"/>
      <c r="FG52" s="47"/>
      <c r="FH52" s="47"/>
      <c r="FI52" s="47"/>
      <c r="FJ52" s="47"/>
      <c r="FK52" s="47"/>
      <c r="FL52" s="47"/>
      <c r="FM52" s="47"/>
      <c r="FN52" s="47"/>
      <c r="FO52" s="47"/>
      <c r="FP52" s="47"/>
      <c r="FQ52" s="47"/>
      <c r="FR52" s="47"/>
      <c r="FS52" s="47"/>
      <c r="FT52" s="47"/>
      <c r="FU52" s="47"/>
      <c r="FV52" s="47"/>
      <c r="FW52" s="47"/>
      <c r="FX52" s="47"/>
      <c r="FY52" s="47"/>
      <c r="FZ52" s="47"/>
      <c r="GA52" s="47"/>
      <c r="GB52" s="47"/>
      <c r="GC52" s="47"/>
      <c r="GD52" s="47"/>
      <c r="GE52" s="47"/>
      <c r="GF52" s="47"/>
      <c r="GG52" s="47"/>
      <c r="GH52" s="47"/>
      <c r="GI52" s="47"/>
      <c r="GJ52" s="47"/>
      <c r="GK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47"/>
      <c r="FU53" s="47"/>
      <c r="FV53" s="47"/>
      <c r="FW53" s="47"/>
      <c r="FX53" s="47"/>
      <c r="FY53" s="47"/>
      <c r="FZ53" s="47"/>
      <c r="GA53" s="47"/>
      <c r="GB53" s="47"/>
      <c r="GC53" s="47"/>
      <c r="GD53" s="47"/>
      <c r="GE53" s="47"/>
      <c r="GF53" s="47"/>
      <c r="GG53" s="47"/>
      <c r="GH53" s="47"/>
      <c r="GI53" s="47"/>
      <c r="GJ53" s="47"/>
      <c r="GK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  <c r="GE54" s="47"/>
      <c r="GF54" s="47"/>
      <c r="GG54" s="47"/>
      <c r="GH54" s="47"/>
      <c r="GI54" s="47"/>
      <c r="GJ54" s="47"/>
      <c r="GK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47"/>
      <c r="FO55" s="47"/>
      <c r="FP55" s="47"/>
      <c r="FQ55" s="47"/>
      <c r="FR55" s="47"/>
      <c r="FS55" s="47"/>
      <c r="FT55" s="47"/>
      <c r="FU55" s="47"/>
      <c r="FV55" s="47"/>
      <c r="FW55" s="47"/>
      <c r="FX55" s="47"/>
      <c r="FY55" s="47"/>
      <c r="FZ55" s="47"/>
      <c r="GA55" s="47"/>
      <c r="GB55" s="47"/>
      <c r="GC55" s="47"/>
      <c r="GD55" s="47"/>
      <c r="GE55" s="47"/>
      <c r="GF55" s="47"/>
      <c r="GG55" s="47"/>
      <c r="GH55" s="47"/>
      <c r="GI55" s="47"/>
      <c r="GJ55" s="47"/>
      <c r="GK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47"/>
      <c r="FG56" s="47"/>
      <c r="FH56" s="47"/>
      <c r="FI56" s="47"/>
      <c r="FJ56" s="47"/>
      <c r="FK56" s="47"/>
      <c r="FL56" s="47"/>
      <c r="FM56" s="47"/>
      <c r="FN56" s="47"/>
      <c r="FO56" s="47"/>
      <c r="FP56" s="47"/>
      <c r="FQ56" s="47"/>
      <c r="FR56" s="47"/>
      <c r="FS56" s="47"/>
      <c r="FT56" s="47"/>
      <c r="FU56" s="47"/>
      <c r="FV56" s="47"/>
      <c r="FW56" s="47"/>
      <c r="FX56" s="47"/>
      <c r="FY56" s="47"/>
      <c r="FZ56" s="47"/>
      <c r="GA56" s="47"/>
      <c r="GB56" s="47"/>
      <c r="GC56" s="47"/>
      <c r="GD56" s="47"/>
      <c r="GE56" s="47"/>
      <c r="GF56" s="47"/>
      <c r="GG56" s="47"/>
      <c r="GH56" s="47"/>
      <c r="GI56" s="47"/>
      <c r="GJ56" s="47"/>
      <c r="GK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47"/>
      <c r="FG57" s="47"/>
      <c r="FH57" s="47"/>
      <c r="FI57" s="47"/>
      <c r="FJ57" s="47"/>
      <c r="FK57" s="47"/>
      <c r="FL57" s="47"/>
      <c r="FM57" s="47"/>
      <c r="FN57" s="47"/>
      <c r="FO57" s="47"/>
      <c r="FP57" s="47"/>
      <c r="FQ57" s="47"/>
      <c r="FR57" s="47"/>
      <c r="FS57" s="47"/>
      <c r="FT57" s="47"/>
      <c r="FU57" s="47"/>
      <c r="FV57" s="47"/>
      <c r="FW57" s="47"/>
      <c r="FX57" s="47"/>
      <c r="FY57" s="47"/>
      <c r="FZ57" s="47"/>
      <c r="GA57" s="47"/>
      <c r="GB57" s="47"/>
      <c r="GC57" s="47"/>
      <c r="GD57" s="47"/>
      <c r="GE57" s="47"/>
      <c r="GF57" s="47"/>
      <c r="GG57" s="47"/>
      <c r="GH57" s="47"/>
      <c r="GI57" s="47"/>
      <c r="GJ57" s="47"/>
      <c r="GK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47"/>
      <c r="FG58" s="47"/>
      <c r="FH58" s="47"/>
      <c r="FI58" s="47"/>
      <c r="FJ58" s="47"/>
      <c r="FK58" s="47"/>
      <c r="FL58" s="47"/>
      <c r="FM58" s="47"/>
      <c r="FN58" s="47"/>
      <c r="FO58" s="47"/>
      <c r="FP58" s="47"/>
      <c r="FQ58" s="47"/>
      <c r="FR58" s="47"/>
      <c r="FS58" s="47"/>
      <c r="FT58" s="47"/>
      <c r="FU58" s="47"/>
      <c r="FV58" s="47"/>
      <c r="FW58" s="47"/>
      <c r="FX58" s="47"/>
      <c r="FY58" s="47"/>
      <c r="FZ58" s="47"/>
      <c r="GA58" s="47"/>
      <c r="GB58" s="47"/>
      <c r="GC58" s="47"/>
      <c r="GD58" s="47"/>
      <c r="GE58" s="47"/>
      <c r="GF58" s="47"/>
      <c r="GG58" s="47"/>
      <c r="GH58" s="47"/>
      <c r="GI58" s="47"/>
      <c r="GJ58" s="47"/>
      <c r="GK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47"/>
      <c r="FG59" s="47"/>
      <c r="FH59" s="47"/>
      <c r="FI59" s="47"/>
      <c r="FJ59" s="47"/>
      <c r="FK59" s="47"/>
      <c r="FL59" s="47"/>
      <c r="FM59" s="47"/>
      <c r="FN59" s="47"/>
      <c r="FO59" s="47"/>
      <c r="FP59" s="47"/>
      <c r="FQ59" s="47"/>
      <c r="FR59" s="47"/>
      <c r="FS59" s="47"/>
      <c r="FT59" s="47"/>
      <c r="FU59" s="47"/>
      <c r="FV59" s="47"/>
      <c r="FW59" s="47"/>
      <c r="FX59" s="47"/>
      <c r="FY59" s="47"/>
      <c r="FZ59" s="47"/>
      <c r="GA59" s="47"/>
      <c r="GB59" s="47"/>
      <c r="GC59" s="47"/>
      <c r="GD59" s="47"/>
      <c r="GE59" s="47"/>
      <c r="GF59" s="47"/>
      <c r="GG59" s="47"/>
      <c r="GH59" s="47"/>
      <c r="GI59" s="47"/>
      <c r="GJ59" s="47"/>
      <c r="GK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47"/>
      <c r="FG60" s="47"/>
      <c r="FH60" s="47"/>
      <c r="FI60" s="47"/>
      <c r="FJ60" s="47"/>
      <c r="FK60" s="47"/>
      <c r="FL60" s="47"/>
      <c r="FM60" s="47"/>
      <c r="FN60" s="47"/>
      <c r="FO60" s="47"/>
      <c r="FP60" s="47"/>
      <c r="FQ60" s="47"/>
      <c r="FR60" s="47"/>
      <c r="FS60" s="47"/>
      <c r="FT60" s="47"/>
      <c r="FU60" s="47"/>
      <c r="FV60" s="47"/>
      <c r="FW60" s="47"/>
      <c r="FX60" s="47"/>
      <c r="FY60" s="47"/>
      <c r="FZ60" s="47"/>
      <c r="GA60" s="47"/>
      <c r="GB60" s="47"/>
      <c r="GC60" s="47"/>
      <c r="GD60" s="47"/>
      <c r="GE60" s="47"/>
      <c r="GF60" s="47"/>
      <c r="GG60" s="47"/>
      <c r="GH60" s="47"/>
      <c r="GI60" s="47"/>
      <c r="GJ60" s="47"/>
      <c r="GK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7"/>
      <c r="FP61" s="47"/>
      <c r="FQ61" s="47"/>
      <c r="FR61" s="47"/>
      <c r="FS61" s="47"/>
      <c r="FT61" s="47"/>
      <c r="FU61" s="47"/>
      <c r="FV61" s="47"/>
      <c r="FW61" s="47"/>
      <c r="FX61" s="47"/>
      <c r="FY61" s="47"/>
      <c r="FZ61" s="47"/>
      <c r="GA61" s="47"/>
      <c r="GB61" s="47"/>
      <c r="GC61" s="47"/>
      <c r="GD61" s="47"/>
      <c r="GE61" s="47"/>
      <c r="GF61" s="47"/>
      <c r="GG61" s="47"/>
      <c r="GH61" s="47"/>
      <c r="GI61" s="47"/>
      <c r="GJ61" s="47"/>
      <c r="GK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47"/>
      <c r="FG62" s="47"/>
      <c r="FH62" s="47"/>
      <c r="FI62" s="47"/>
      <c r="FJ62" s="47"/>
      <c r="FK62" s="47"/>
      <c r="FL62" s="47"/>
      <c r="FM62" s="47"/>
      <c r="FN62" s="47"/>
      <c r="FO62" s="47"/>
      <c r="FP62" s="47"/>
      <c r="FQ62" s="47"/>
      <c r="FR62" s="47"/>
      <c r="FS62" s="47"/>
      <c r="FT62" s="47"/>
      <c r="FU62" s="47"/>
      <c r="FV62" s="47"/>
      <c r="FW62" s="47"/>
      <c r="FX62" s="47"/>
      <c r="FY62" s="47"/>
      <c r="FZ62" s="47"/>
      <c r="GA62" s="47"/>
      <c r="GB62" s="47"/>
      <c r="GC62" s="47"/>
      <c r="GD62" s="47"/>
      <c r="GE62" s="47"/>
      <c r="GF62" s="47"/>
      <c r="GG62" s="47"/>
      <c r="GH62" s="47"/>
      <c r="GI62" s="47"/>
      <c r="GJ62" s="47"/>
      <c r="GK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7"/>
      <c r="FP63" s="47"/>
      <c r="FQ63" s="47"/>
      <c r="FR63" s="47"/>
      <c r="FS63" s="47"/>
      <c r="FT63" s="47"/>
      <c r="FU63" s="47"/>
      <c r="FV63" s="47"/>
      <c r="FW63" s="47"/>
      <c r="FX63" s="47"/>
      <c r="FY63" s="47"/>
      <c r="FZ63" s="47"/>
      <c r="GA63" s="47"/>
      <c r="GB63" s="47"/>
      <c r="GC63" s="47"/>
      <c r="GD63" s="47"/>
      <c r="GE63" s="47"/>
      <c r="GF63" s="47"/>
      <c r="GG63" s="47"/>
      <c r="GH63" s="47"/>
      <c r="GI63" s="47"/>
      <c r="GJ63" s="47"/>
      <c r="GK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47"/>
      <c r="FG64" s="47"/>
      <c r="FH64" s="47"/>
      <c r="FI64" s="47"/>
      <c r="FJ64" s="47"/>
      <c r="FK64" s="47"/>
      <c r="FL64" s="47"/>
      <c r="FM64" s="47"/>
      <c r="FN64" s="47"/>
      <c r="FO64" s="47"/>
      <c r="FP64" s="47"/>
      <c r="FQ64" s="47"/>
      <c r="FR64" s="47"/>
      <c r="FS64" s="47"/>
      <c r="FT64" s="47"/>
      <c r="FU64" s="47"/>
      <c r="FV64" s="47"/>
      <c r="FW64" s="47"/>
      <c r="FX64" s="47"/>
      <c r="FY64" s="47"/>
      <c r="FZ64" s="47"/>
      <c r="GA64" s="47"/>
      <c r="GB64" s="47"/>
      <c r="GC64" s="47"/>
      <c r="GD64" s="47"/>
      <c r="GE64" s="47"/>
      <c r="GF64" s="47"/>
      <c r="GG64" s="47"/>
      <c r="GH64" s="47"/>
      <c r="GI64" s="47"/>
      <c r="GJ64" s="47"/>
      <c r="GK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47"/>
      <c r="FG65" s="47"/>
      <c r="FH65" s="47"/>
      <c r="FI65" s="47"/>
      <c r="FJ65" s="47"/>
      <c r="FK65" s="47"/>
      <c r="FL65" s="47"/>
      <c r="FM65" s="47"/>
      <c r="FN65" s="47"/>
      <c r="FO65" s="47"/>
      <c r="FP65" s="47"/>
      <c r="FQ65" s="47"/>
      <c r="FR65" s="47"/>
      <c r="FS65" s="47"/>
      <c r="FT65" s="47"/>
      <c r="FU65" s="47"/>
      <c r="FV65" s="47"/>
      <c r="FW65" s="47"/>
      <c r="FX65" s="47"/>
      <c r="FY65" s="47"/>
      <c r="FZ65" s="47"/>
      <c r="GA65" s="47"/>
      <c r="GB65" s="47"/>
      <c r="GC65" s="47"/>
      <c r="GD65" s="47"/>
      <c r="GE65" s="47"/>
      <c r="GF65" s="47"/>
      <c r="GG65" s="47"/>
      <c r="GH65" s="47"/>
      <c r="GI65" s="47"/>
      <c r="GJ65" s="47"/>
      <c r="GK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47"/>
      <c r="FG66" s="47"/>
      <c r="FH66" s="47"/>
      <c r="FI66" s="47"/>
      <c r="FJ66" s="47"/>
      <c r="FK66" s="47"/>
      <c r="FL66" s="47"/>
      <c r="FM66" s="47"/>
      <c r="FN66" s="47"/>
      <c r="FO66" s="47"/>
      <c r="FP66" s="47"/>
      <c r="FQ66" s="47"/>
      <c r="FR66" s="47"/>
      <c r="FS66" s="47"/>
      <c r="FT66" s="47"/>
      <c r="FU66" s="47"/>
      <c r="FV66" s="47"/>
      <c r="FW66" s="47"/>
      <c r="FX66" s="47"/>
      <c r="FY66" s="47"/>
      <c r="FZ66" s="47"/>
      <c r="GA66" s="47"/>
      <c r="GB66" s="47"/>
      <c r="GC66" s="47"/>
      <c r="GD66" s="47"/>
      <c r="GE66" s="47"/>
      <c r="GF66" s="47"/>
      <c r="GG66" s="47"/>
      <c r="GH66" s="47"/>
      <c r="GI66" s="47"/>
      <c r="GJ66" s="47"/>
      <c r="GK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47"/>
      <c r="FG67" s="47"/>
      <c r="FH67" s="47"/>
      <c r="FI67" s="47"/>
      <c r="FJ67" s="47"/>
      <c r="FK67" s="47"/>
      <c r="FL67" s="47"/>
      <c r="FM67" s="47"/>
      <c r="FN67" s="47"/>
      <c r="FO67" s="47"/>
      <c r="FP67" s="47"/>
      <c r="FQ67" s="47"/>
      <c r="FR67" s="47"/>
      <c r="FS67" s="47"/>
      <c r="FT67" s="47"/>
      <c r="FU67" s="47"/>
      <c r="FV67" s="47"/>
      <c r="FW67" s="47"/>
      <c r="FX67" s="47"/>
      <c r="FY67" s="47"/>
      <c r="FZ67" s="47"/>
      <c r="GA67" s="47"/>
      <c r="GB67" s="47"/>
      <c r="GC67" s="47"/>
      <c r="GD67" s="47"/>
      <c r="GE67" s="47"/>
      <c r="GF67" s="47"/>
      <c r="GG67" s="47"/>
      <c r="GH67" s="47"/>
      <c r="GI67" s="47"/>
      <c r="GJ67" s="47"/>
      <c r="GK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47"/>
      <c r="FG68" s="47"/>
      <c r="FH68" s="47"/>
      <c r="FI68" s="47"/>
      <c r="FJ68" s="47"/>
      <c r="FK68" s="47"/>
      <c r="FL68" s="47"/>
      <c r="FM68" s="47"/>
      <c r="FN68" s="47"/>
      <c r="FO68" s="47"/>
      <c r="FP68" s="47"/>
      <c r="FQ68" s="47"/>
      <c r="FR68" s="47"/>
      <c r="FS68" s="47"/>
      <c r="FT68" s="47"/>
      <c r="FU68" s="47"/>
      <c r="FV68" s="47"/>
      <c r="FW68" s="47"/>
      <c r="FX68" s="47"/>
      <c r="FY68" s="47"/>
      <c r="FZ68" s="47"/>
      <c r="GA68" s="47"/>
      <c r="GB68" s="47"/>
      <c r="GC68" s="47"/>
      <c r="GD68" s="47"/>
      <c r="GE68" s="47"/>
      <c r="GF68" s="47"/>
      <c r="GG68" s="47"/>
      <c r="GH68" s="47"/>
      <c r="GI68" s="47"/>
      <c r="GJ68" s="47"/>
      <c r="GK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47"/>
      <c r="FG69" s="47"/>
      <c r="FH69" s="47"/>
      <c r="FI69" s="47"/>
      <c r="FJ69" s="47"/>
      <c r="FK69" s="47"/>
      <c r="FL69" s="47"/>
      <c r="FM69" s="47"/>
      <c r="FN69" s="47"/>
      <c r="FO69" s="47"/>
      <c r="FP69" s="47"/>
      <c r="FQ69" s="47"/>
      <c r="FR69" s="47"/>
      <c r="FS69" s="47"/>
      <c r="FT69" s="47"/>
      <c r="FU69" s="47"/>
      <c r="FV69" s="47"/>
      <c r="FW69" s="47"/>
      <c r="FX69" s="47"/>
      <c r="FY69" s="47"/>
      <c r="FZ69" s="47"/>
      <c r="GA69" s="47"/>
      <c r="GB69" s="47"/>
      <c r="GC69" s="47"/>
      <c r="GD69" s="47"/>
      <c r="GE69" s="47"/>
      <c r="GF69" s="47"/>
      <c r="GG69" s="47"/>
      <c r="GH69" s="47"/>
      <c r="GI69" s="47"/>
      <c r="GJ69" s="47"/>
      <c r="GK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47"/>
      <c r="FG70" s="47"/>
      <c r="FH70" s="47"/>
      <c r="FI70" s="47"/>
      <c r="FJ70" s="47"/>
      <c r="FK70" s="47"/>
      <c r="FL70" s="47"/>
      <c r="FM70" s="47"/>
      <c r="FN70" s="47"/>
      <c r="FO70" s="47"/>
      <c r="FP70" s="47"/>
      <c r="FQ70" s="47"/>
      <c r="FR70" s="47"/>
      <c r="FS70" s="47"/>
      <c r="FT70" s="47"/>
      <c r="FU70" s="47"/>
      <c r="FV70" s="47"/>
      <c r="FW70" s="47"/>
      <c r="FX70" s="47"/>
      <c r="FY70" s="47"/>
      <c r="FZ70" s="47"/>
      <c r="GA70" s="47"/>
      <c r="GB70" s="47"/>
      <c r="GC70" s="47"/>
      <c r="GD70" s="47"/>
      <c r="GE70" s="47"/>
      <c r="GF70" s="47"/>
      <c r="GG70" s="47"/>
      <c r="GH70" s="47"/>
      <c r="GI70" s="47"/>
      <c r="GJ70" s="47"/>
      <c r="GK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47"/>
      <c r="FG71" s="47"/>
      <c r="FH71" s="47"/>
      <c r="FI71" s="47"/>
      <c r="FJ71" s="47"/>
      <c r="FK71" s="47"/>
      <c r="FL71" s="47"/>
      <c r="FM71" s="47"/>
      <c r="FN71" s="47"/>
      <c r="FO71" s="47"/>
      <c r="FP71" s="47"/>
      <c r="FQ71" s="47"/>
      <c r="FR71" s="47"/>
      <c r="FS71" s="47"/>
      <c r="FT71" s="47"/>
      <c r="FU71" s="47"/>
      <c r="FV71" s="47"/>
      <c r="FW71" s="47"/>
      <c r="FX71" s="47"/>
      <c r="FY71" s="47"/>
      <c r="FZ71" s="47"/>
      <c r="GA71" s="47"/>
      <c r="GB71" s="47"/>
      <c r="GC71" s="47"/>
      <c r="GD71" s="47"/>
      <c r="GE71" s="47"/>
      <c r="GF71" s="47"/>
      <c r="GG71" s="47"/>
      <c r="GH71" s="47"/>
      <c r="GI71" s="47"/>
      <c r="GJ71" s="47"/>
      <c r="GK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  <c r="EY72" s="47"/>
      <c r="EZ72" s="47"/>
      <c r="FA72" s="47"/>
      <c r="FB72" s="47"/>
      <c r="FC72" s="47"/>
      <c r="FD72" s="47"/>
      <c r="FE72" s="47"/>
      <c r="FF72" s="47"/>
      <c r="FG72" s="47"/>
      <c r="FH72" s="47"/>
      <c r="FI72" s="47"/>
      <c r="FJ72" s="47"/>
      <c r="FK72" s="47"/>
      <c r="FL72" s="47"/>
      <c r="FM72" s="47"/>
      <c r="FN72" s="47"/>
      <c r="FO72" s="47"/>
      <c r="FP72" s="47"/>
      <c r="FQ72" s="47"/>
      <c r="FR72" s="47"/>
      <c r="FS72" s="47"/>
      <c r="FT72" s="47"/>
      <c r="FU72" s="47"/>
      <c r="FV72" s="47"/>
      <c r="FW72" s="47"/>
      <c r="FX72" s="47"/>
      <c r="FY72" s="47"/>
      <c r="FZ72" s="47"/>
      <c r="GA72" s="47"/>
      <c r="GB72" s="47"/>
      <c r="GC72" s="47"/>
      <c r="GD72" s="47"/>
      <c r="GE72" s="47"/>
      <c r="GF72" s="47"/>
      <c r="GG72" s="47"/>
      <c r="GH72" s="47"/>
      <c r="GI72" s="47"/>
      <c r="GJ72" s="47"/>
      <c r="GK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47"/>
      <c r="EG73" s="47"/>
      <c r="EH73" s="47"/>
      <c r="EI73" s="47"/>
      <c r="EJ73" s="47"/>
      <c r="EK73" s="47"/>
      <c r="EL73" s="47"/>
      <c r="EM73" s="47"/>
      <c r="EN73" s="47"/>
      <c r="EO73" s="47"/>
      <c r="EP73" s="47"/>
      <c r="EQ73" s="47"/>
      <c r="ER73" s="47"/>
      <c r="ES73" s="47"/>
      <c r="ET73" s="47"/>
      <c r="EU73" s="47"/>
      <c r="EV73" s="47"/>
      <c r="EW73" s="47"/>
      <c r="EX73" s="47"/>
      <c r="EY73" s="47"/>
      <c r="EZ73" s="47"/>
      <c r="FA73" s="47"/>
      <c r="FB73" s="47"/>
      <c r="FC73" s="47"/>
      <c r="FD73" s="47"/>
      <c r="FE73" s="47"/>
      <c r="FF73" s="47"/>
      <c r="FG73" s="47"/>
      <c r="FH73" s="47"/>
      <c r="FI73" s="47"/>
      <c r="FJ73" s="47"/>
      <c r="FK73" s="47"/>
      <c r="FL73" s="47"/>
      <c r="FM73" s="47"/>
      <c r="FN73" s="47"/>
      <c r="FO73" s="47"/>
      <c r="FP73" s="47"/>
      <c r="FQ73" s="47"/>
      <c r="FR73" s="47"/>
      <c r="FS73" s="47"/>
      <c r="FT73" s="47"/>
      <c r="FU73" s="47"/>
      <c r="FV73" s="47"/>
      <c r="FW73" s="47"/>
      <c r="FX73" s="47"/>
      <c r="FY73" s="47"/>
      <c r="FZ73" s="47"/>
      <c r="GA73" s="47"/>
      <c r="GB73" s="47"/>
      <c r="GC73" s="47"/>
      <c r="GD73" s="47"/>
      <c r="GE73" s="47"/>
      <c r="GF73" s="47"/>
      <c r="GG73" s="47"/>
      <c r="GH73" s="47"/>
      <c r="GI73" s="47"/>
      <c r="GJ73" s="47"/>
      <c r="GK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47"/>
      <c r="EG74" s="47"/>
      <c r="EH74" s="47"/>
      <c r="EI74" s="47"/>
      <c r="EJ74" s="47"/>
      <c r="EK74" s="47"/>
      <c r="EL74" s="47"/>
      <c r="EM74" s="47"/>
      <c r="EN74" s="47"/>
      <c r="EO74" s="47"/>
      <c r="EP74" s="47"/>
      <c r="EQ74" s="47"/>
      <c r="ER74" s="47"/>
      <c r="ES74" s="47"/>
      <c r="ET74" s="47"/>
      <c r="EU74" s="47"/>
      <c r="EV74" s="47"/>
      <c r="EW74" s="47"/>
      <c r="EX74" s="47"/>
      <c r="EY74" s="47"/>
      <c r="EZ74" s="47"/>
      <c r="FA74" s="47"/>
      <c r="FB74" s="47"/>
      <c r="FC74" s="47"/>
      <c r="FD74" s="47"/>
      <c r="FE74" s="47"/>
      <c r="FF74" s="47"/>
      <c r="FG74" s="47"/>
      <c r="FH74" s="47"/>
      <c r="FI74" s="47"/>
      <c r="FJ74" s="47"/>
      <c r="FK74" s="47"/>
      <c r="FL74" s="47"/>
      <c r="FM74" s="47"/>
      <c r="FN74" s="47"/>
      <c r="FO74" s="47"/>
      <c r="FP74" s="47"/>
      <c r="FQ74" s="47"/>
      <c r="FR74" s="47"/>
      <c r="FS74" s="47"/>
      <c r="FT74" s="47"/>
      <c r="FU74" s="47"/>
      <c r="FV74" s="47"/>
      <c r="FW74" s="47"/>
      <c r="FX74" s="47"/>
      <c r="FY74" s="47"/>
      <c r="FZ74" s="47"/>
      <c r="GA74" s="47"/>
      <c r="GB74" s="47"/>
      <c r="GC74" s="47"/>
      <c r="GD74" s="47"/>
      <c r="GE74" s="47"/>
      <c r="GF74" s="47"/>
      <c r="GG74" s="47"/>
      <c r="GH74" s="47"/>
      <c r="GI74" s="47"/>
      <c r="GJ74" s="47"/>
      <c r="GK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47"/>
      <c r="EG75" s="47"/>
      <c r="EH75" s="47"/>
      <c r="EI75" s="47"/>
      <c r="EJ75" s="47"/>
      <c r="EK75" s="47"/>
      <c r="EL75" s="47"/>
      <c r="EM75" s="47"/>
      <c r="EN75" s="47"/>
      <c r="EO75" s="47"/>
      <c r="EP75" s="47"/>
      <c r="EQ75" s="47"/>
      <c r="ER75" s="47"/>
      <c r="ES75" s="47"/>
      <c r="ET75" s="47"/>
      <c r="EU75" s="47"/>
      <c r="EV75" s="47"/>
      <c r="EW75" s="47"/>
      <c r="EX75" s="47"/>
      <c r="EY75" s="47"/>
      <c r="EZ75" s="47"/>
      <c r="FA75" s="47"/>
      <c r="FB75" s="47"/>
      <c r="FC75" s="47"/>
      <c r="FD75" s="47"/>
      <c r="FE75" s="47"/>
      <c r="FF75" s="47"/>
      <c r="FG75" s="47"/>
      <c r="FH75" s="47"/>
      <c r="FI75" s="47"/>
      <c r="FJ75" s="47"/>
      <c r="FK75" s="47"/>
      <c r="FL75" s="47"/>
      <c r="FM75" s="47"/>
      <c r="FN75" s="47"/>
      <c r="FO75" s="47"/>
      <c r="FP75" s="47"/>
      <c r="FQ75" s="47"/>
      <c r="FR75" s="47"/>
      <c r="FS75" s="47"/>
      <c r="FT75" s="47"/>
      <c r="FU75" s="47"/>
      <c r="FV75" s="47"/>
      <c r="FW75" s="47"/>
      <c r="FX75" s="47"/>
      <c r="FY75" s="47"/>
      <c r="FZ75" s="47"/>
      <c r="GA75" s="47"/>
      <c r="GB75" s="47"/>
      <c r="GC75" s="47"/>
      <c r="GD75" s="47"/>
      <c r="GE75" s="47"/>
      <c r="GF75" s="47"/>
      <c r="GG75" s="47"/>
      <c r="GH75" s="47"/>
      <c r="GI75" s="47"/>
      <c r="GJ75" s="47"/>
      <c r="GK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47"/>
      <c r="FG76" s="47"/>
      <c r="FH76" s="47"/>
      <c r="FI76" s="47"/>
      <c r="FJ76" s="47"/>
      <c r="FK76" s="47"/>
      <c r="FL76" s="47"/>
      <c r="FM76" s="47"/>
      <c r="FN76" s="47"/>
      <c r="FO76" s="47"/>
      <c r="FP76" s="47"/>
      <c r="FQ76" s="47"/>
      <c r="FR76" s="47"/>
      <c r="FS76" s="47"/>
      <c r="FT76" s="47"/>
      <c r="FU76" s="47"/>
      <c r="FV76" s="47"/>
      <c r="FW76" s="47"/>
      <c r="FX76" s="47"/>
      <c r="FY76" s="47"/>
      <c r="FZ76" s="47"/>
      <c r="GA76" s="47"/>
      <c r="GB76" s="47"/>
      <c r="GC76" s="47"/>
      <c r="GD76" s="47"/>
      <c r="GE76" s="47"/>
      <c r="GF76" s="47"/>
      <c r="GG76" s="47"/>
      <c r="GH76" s="47"/>
      <c r="GI76" s="47"/>
      <c r="GJ76" s="47"/>
      <c r="GK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47"/>
      <c r="FG77" s="47"/>
      <c r="FH77" s="47"/>
      <c r="FI77" s="47"/>
      <c r="FJ77" s="47"/>
      <c r="FK77" s="47"/>
      <c r="FL77" s="47"/>
      <c r="FM77" s="47"/>
      <c r="FN77" s="47"/>
      <c r="FO77" s="47"/>
      <c r="FP77" s="47"/>
      <c r="FQ77" s="47"/>
      <c r="FR77" s="47"/>
      <c r="FS77" s="47"/>
      <c r="FT77" s="47"/>
      <c r="FU77" s="47"/>
      <c r="FV77" s="47"/>
      <c r="FW77" s="47"/>
      <c r="FX77" s="47"/>
      <c r="FY77" s="47"/>
      <c r="FZ77" s="47"/>
      <c r="GA77" s="47"/>
      <c r="GB77" s="47"/>
      <c r="GC77" s="47"/>
      <c r="GD77" s="47"/>
      <c r="GE77" s="47"/>
      <c r="GF77" s="47"/>
      <c r="GG77" s="47"/>
      <c r="GH77" s="47"/>
      <c r="GI77" s="47"/>
      <c r="GJ77" s="47"/>
      <c r="GK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47"/>
      <c r="FG78" s="47"/>
      <c r="FH78" s="47"/>
      <c r="FI78" s="47"/>
      <c r="FJ78" s="47"/>
      <c r="FK78" s="47"/>
      <c r="FL78" s="47"/>
      <c r="FM78" s="47"/>
      <c r="FN78" s="47"/>
      <c r="FO78" s="47"/>
      <c r="FP78" s="47"/>
      <c r="FQ78" s="47"/>
      <c r="FR78" s="47"/>
      <c r="FS78" s="47"/>
      <c r="FT78" s="47"/>
      <c r="FU78" s="47"/>
      <c r="FV78" s="47"/>
      <c r="FW78" s="47"/>
      <c r="FX78" s="47"/>
      <c r="FY78" s="47"/>
      <c r="FZ78" s="47"/>
      <c r="GA78" s="47"/>
      <c r="GB78" s="47"/>
      <c r="GC78" s="47"/>
      <c r="GD78" s="47"/>
      <c r="GE78" s="47"/>
      <c r="GF78" s="47"/>
      <c r="GG78" s="47"/>
      <c r="GH78" s="47"/>
      <c r="GI78" s="47"/>
      <c r="GJ78" s="47"/>
      <c r="GK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47"/>
      <c r="FG79" s="47"/>
      <c r="FH79" s="47"/>
      <c r="FI79" s="47"/>
      <c r="FJ79" s="47"/>
      <c r="FK79" s="47"/>
      <c r="FL79" s="47"/>
      <c r="FM79" s="47"/>
      <c r="FN79" s="47"/>
      <c r="FO79" s="47"/>
      <c r="FP79" s="47"/>
      <c r="FQ79" s="47"/>
      <c r="FR79" s="47"/>
      <c r="FS79" s="47"/>
      <c r="FT79" s="47"/>
      <c r="FU79" s="47"/>
      <c r="FV79" s="47"/>
      <c r="FW79" s="47"/>
      <c r="FX79" s="47"/>
      <c r="FY79" s="47"/>
      <c r="FZ79" s="47"/>
      <c r="GA79" s="47"/>
      <c r="GB79" s="47"/>
      <c r="GC79" s="47"/>
      <c r="GD79" s="47"/>
      <c r="GE79" s="47"/>
      <c r="GF79" s="47"/>
      <c r="GG79" s="47"/>
      <c r="GH79" s="47"/>
      <c r="GI79" s="47"/>
      <c r="GJ79" s="47"/>
      <c r="GK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47"/>
      <c r="FG80" s="47"/>
      <c r="FH80" s="47"/>
      <c r="FI80" s="47"/>
      <c r="FJ80" s="47"/>
      <c r="FK80" s="47"/>
      <c r="FL80" s="47"/>
      <c r="FM80" s="47"/>
      <c r="FN80" s="47"/>
      <c r="FO80" s="47"/>
      <c r="FP80" s="47"/>
      <c r="FQ80" s="47"/>
      <c r="FR80" s="47"/>
      <c r="FS80" s="47"/>
      <c r="FT80" s="47"/>
      <c r="FU80" s="47"/>
      <c r="FV80" s="47"/>
      <c r="FW80" s="47"/>
      <c r="FX80" s="47"/>
      <c r="FY80" s="47"/>
      <c r="FZ80" s="47"/>
      <c r="GA80" s="47"/>
      <c r="GB80" s="47"/>
      <c r="GC80" s="47"/>
      <c r="GD80" s="47"/>
      <c r="GE80" s="47"/>
      <c r="GF80" s="47"/>
      <c r="GG80" s="47"/>
      <c r="GH80" s="47"/>
      <c r="GI80" s="47"/>
      <c r="GJ80" s="47"/>
      <c r="GK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47"/>
      <c r="FG81" s="47"/>
      <c r="FH81" s="47"/>
      <c r="FI81" s="47"/>
      <c r="FJ81" s="47"/>
      <c r="FK81" s="47"/>
      <c r="FL81" s="47"/>
      <c r="FM81" s="47"/>
      <c r="FN81" s="47"/>
      <c r="FO81" s="47"/>
      <c r="FP81" s="47"/>
      <c r="FQ81" s="47"/>
      <c r="FR81" s="47"/>
      <c r="FS81" s="47"/>
      <c r="FT81" s="47"/>
      <c r="FU81" s="47"/>
      <c r="FV81" s="47"/>
      <c r="FW81" s="47"/>
      <c r="FX81" s="47"/>
      <c r="FY81" s="47"/>
      <c r="FZ81" s="47"/>
      <c r="GA81" s="47"/>
      <c r="GB81" s="47"/>
      <c r="GC81" s="47"/>
      <c r="GD81" s="47"/>
      <c r="GE81" s="47"/>
      <c r="GF81" s="47"/>
      <c r="GG81" s="47"/>
      <c r="GH81" s="47"/>
      <c r="GI81" s="47"/>
      <c r="GJ81" s="47"/>
      <c r="GK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47"/>
      <c r="FG82" s="47"/>
      <c r="FH82" s="47"/>
      <c r="FI82" s="47"/>
      <c r="FJ82" s="47"/>
      <c r="FK82" s="47"/>
      <c r="FL82" s="47"/>
      <c r="FM82" s="47"/>
      <c r="FN82" s="47"/>
      <c r="FO82" s="47"/>
      <c r="FP82" s="47"/>
      <c r="FQ82" s="47"/>
      <c r="FR82" s="47"/>
      <c r="FS82" s="47"/>
      <c r="FT82" s="47"/>
      <c r="FU82" s="47"/>
      <c r="FV82" s="47"/>
      <c r="FW82" s="47"/>
      <c r="FX82" s="47"/>
      <c r="FY82" s="47"/>
      <c r="FZ82" s="47"/>
      <c r="GA82" s="47"/>
      <c r="GB82" s="47"/>
      <c r="GC82" s="47"/>
      <c r="GD82" s="47"/>
      <c r="GE82" s="47"/>
      <c r="GF82" s="47"/>
      <c r="GG82" s="47"/>
      <c r="GH82" s="47"/>
      <c r="GI82" s="47"/>
      <c r="GJ82" s="47"/>
      <c r="GK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47"/>
      <c r="FG83" s="47"/>
      <c r="FH83" s="47"/>
      <c r="FI83" s="47"/>
      <c r="FJ83" s="47"/>
      <c r="FK83" s="47"/>
      <c r="FL83" s="47"/>
      <c r="FM83" s="47"/>
      <c r="FN83" s="47"/>
      <c r="FO83" s="47"/>
      <c r="FP83" s="47"/>
      <c r="FQ83" s="47"/>
      <c r="FR83" s="47"/>
      <c r="FS83" s="47"/>
      <c r="FT83" s="47"/>
      <c r="FU83" s="47"/>
      <c r="FV83" s="47"/>
      <c r="FW83" s="47"/>
      <c r="FX83" s="47"/>
      <c r="FY83" s="47"/>
      <c r="FZ83" s="47"/>
      <c r="GA83" s="47"/>
      <c r="GB83" s="47"/>
      <c r="GC83" s="47"/>
      <c r="GD83" s="47"/>
      <c r="GE83" s="47"/>
      <c r="GF83" s="47"/>
      <c r="GG83" s="47"/>
      <c r="GH83" s="47"/>
      <c r="GI83" s="47"/>
      <c r="GJ83" s="47"/>
      <c r="GK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47"/>
      <c r="FG84" s="47"/>
      <c r="FH84" s="47"/>
      <c r="FI84" s="47"/>
      <c r="FJ84" s="47"/>
      <c r="FK84" s="47"/>
      <c r="FL84" s="47"/>
      <c r="FM84" s="47"/>
      <c r="FN84" s="47"/>
      <c r="FO84" s="47"/>
      <c r="FP84" s="47"/>
      <c r="FQ84" s="47"/>
      <c r="FR84" s="47"/>
      <c r="FS84" s="47"/>
      <c r="FT84" s="47"/>
      <c r="FU84" s="47"/>
      <c r="FV84" s="47"/>
      <c r="FW84" s="47"/>
      <c r="FX84" s="47"/>
      <c r="FY84" s="47"/>
      <c r="FZ84" s="47"/>
      <c r="GA84" s="47"/>
      <c r="GB84" s="47"/>
      <c r="GC84" s="47"/>
      <c r="GD84" s="47"/>
      <c r="GE84" s="47"/>
      <c r="GF84" s="47"/>
      <c r="GG84" s="47"/>
      <c r="GH84" s="47"/>
      <c r="GI84" s="47"/>
      <c r="GJ84" s="47"/>
      <c r="GK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47"/>
      <c r="FG85" s="47"/>
      <c r="FH85" s="47"/>
      <c r="FI85" s="47"/>
      <c r="FJ85" s="47"/>
      <c r="FK85" s="47"/>
      <c r="FL85" s="47"/>
      <c r="FM85" s="47"/>
      <c r="FN85" s="47"/>
      <c r="FO85" s="47"/>
      <c r="FP85" s="47"/>
      <c r="FQ85" s="47"/>
      <c r="FR85" s="47"/>
      <c r="FS85" s="47"/>
      <c r="FT85" s="47"/>
      <c r="FU85" s="47"/>
      <c r="FV85" s="47"/>
      <c r="FW85" s="47"/>
      <c r="FX85" s="47"/>
      <c r="FY85" s="47"/>
      <c r="FZ85" s="47"/>
      <c r="GA85" s="47"/>
      <c r="GB85" s="47"/>
      <c r="GC85" s="47"/>
      <c r="GD85" s="47"/>
      <c r="GE85" s="47"/>
      <c r="GF85" s="47"/>
      <c r="GG85" s="47"/>
      <c r="GH85" s="47"/>
      <c r="GI85" s="47"/>
      <c r="GJ85" s="47"/>
      <c r="GK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47"/>
      <c r="FG86" s="47"/>
      <c r="FH86" s="47"/>
      <c r="FI86" s="47"/>
      <c r="FJ86" s="47"/>
      <c r="FK86" s="47"/>
      <c r="FL86" s="47"/>
      <c r="FM86" s="47"/>
      <c r="FN86" s="47"/>
      <c r="FO86" s="47"/>
      <c r="FP86" s="47"/>
      <c r="FQ86" s="47"/>
      <c r="FR86" s="47"/>
      <c r="FS86" s="47"/>
      <c r="FT86" s="47"/>
      <c r="FU86" s="47"/>
      <c r="FV86" s="47"/>
      <c r="FW86" s="47"/>
      <c r="FX86" s="47"/>
      <c r="FY86" s="47"/>
      <c r="FZ86" s="47"/>
      <c r="GA86" s="47"/>
      <c r="GB86" s="47"/>
      <c r="GC86" s="47"/>
      <c r="GD86" s="47"/>
      <c r="GE86" s="47"/>
      <c r="GF86" s="47"/>
      <c r="GG86" s="47"/>
      <c r="GH86" s="47"/>
      <c r="GI86" s="47"/>
      <c r="GJ86" s="47"/>
      <c r="GK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47"/>
      <c r="FG87" s="47"/>
      <c r="FH87" s="47"/>
      <c r="FI87" s="47"/>
      <c r="FJ87" s="47"/>
      <c r="FK87" s="47"/>
      <c r="FL87" s="47"/>
      <c r="FM87" s="47"/>
      <c r="FN87" s="47"/>
      <c r="FO87" s="47"/>
      <c r="FP87" s="47"/>
      <c r="FQ87" s="47"/>
      <c r="FR87" s="47"/>
      <c r="FS87" s="47"/>
      <c r="FT87" s="47"/>
      <c r="FU87" s="47"/>
      <c r="FV87" s="47"/>
      <c r="FW87" s="47"/>
      <c r="FX87" s="47"/>
      <c r="FY87" s="47"/>
      <c r="FZ87" s="47"/>
      <c r="GA87" s="47"/>
      <c r="GB87" s="47"/>
      <c r="GC87" s="47"/>
      <c r="GD87" s="47"/>
      <c r="GE87" s="47"/>
      <c r="GF87" s="47"/>
      <c r="GG87" s="47"/>
      <c r="GH87" s="47"/>
      <c r="GI87" s="47"/>
      <c r="GJ87" s="47"/>
      <c r="GK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47"/>
      <c r="FG88" s="47"/>
      <c r="FH88" s="47"/>
      <c r="FI88" s="47"/>
      <c r="FJ88" s="47"/>
      <c r="FK88" s="47"/>
      <c r="FL88" s="47"/>
      <c r="FM88" s="47"/>
      <c r="FN88" s="47"/>
      <c r="FO88" s="47"/>
      <c r="FP88" s="47"/>
      <c r="FQ88" s="47"/>
      <c r="FR88" s="47"/>
      <c r="FS88" s="47"/>
      <c r="FT88" s="47"/>
      <c r="FU88" s="47"/>
      <c r="FV88" s="47"/>
      <c r="FW88" s="47"/>
      <c r="FX88" s="47"/>
      <c r="FY88" s="47"/>
      <c r="FZ88" s="47"/>
      <c r="GA88" s="47"/>
      <c r="GB88" s="47"/>
      <c r="GC88" s="47"/>
      <c r="GD88" s="47"/>
      <c r="GE88" s="47"/>
      <c r="GF88" s="47"/>
      <c r="GG88" s="47"/>
      <c r="GH88" s="47"/>
      <c r="GI88" s="47"/>
      <c r="GJ88" s="47"/>
      <c r="GK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47"/>
      <c r="FG89" s="47"/>
      <c r="FH89" s="47"/>
      <c r="FI89" s="47"/>
      <c r="FJ89" s="47"/>
      <c r="FK89" s="47"/>
      <c r="FL89" s="47"/>
      <c r="FM89" s="47"/>
      <c r="FN89" s="47"/>
      <c r="FO89" s="47"/>
      <c r="FP89" s="47"/>
      <c r="FQ89" s="47"/>
      <c r="FR89" s="47"/>
      <c r="FS89" s="47"/>
      <c r="FT89" s="47"/>
      <c r="FU89" s="47"/>
      <c r="FV89" s="47"/>
      <c r="FW89" s="47"/>
      <c r="FX89" s="47"/>
      <c r="FY89" s="47"/>
      <c r="FZ89" s="47"/>
      <c r="GA89" s="47"/>
      <c r="GB89" s="47"/>
      <c r="GC89" s="47"/>
      <c r="GD89" s="47"/>
      <c r="GE89" s="47"/>
      <c r="GF89" s="47"/>
      <c r="GG89" s="47"/>
      <c r="GH89" s="47"/>
      <c r="GI89" s="47"/>
      <c r="GJ89" s="47"/>
      <c r="GK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47"/>
      <c r="FG90" s="47"/>
      <c r="FH90" s="47"/>
      <c r="FI90" s="47"/>
      <c r="FJ90" s="47"/>
      <c r="FK90" s="47"/>
      <c r="FL90" s="47"/>
      <c r="FM90" s="47"/>
      <c r="FN90" s="47"/>
      <c r="FO90" s="47"/>
      <c r="FP90" s="47"/>
      <c r="FQ90" s="47"/>
      <c r="FR90" s="47"/>
      <c r="FS90" s="47"/>
      <c r="FT90" s="47"/>
      <c r="FU90" s="47"/>
      <c r="FV90" s="47"/>
      <c r="FW90" s="47"/>
      <c r="FX90" s="47"/>
      <c r="FY90" s="47"/>
      <c r="FZ90" s="47"/>
      <c r="GA90" s="47"/>
      <c r="GB90" s="47"/>
      <c r="GC90" s="47"/>
      <c r="GD90" s="47"/>
      <c r="GE90" s="47"/>
      <c r="GF90" s="47"/>
      <c r="GG90" s="47"/>
      <c r="GH90" s="47"/>
      <c r="GI90" s="47"/>
      <c r="GJ90" s="47"/>
      <c r="GK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47"/>
      <c r="FG91" s="47"/>
      <c r="FH91" s="47"/>
      <c r="FI91" s="47"/>
      <c r="FJ91" s="47"/>
      <c r="FK91" s="47"/>
      <c r="FL91" s="47"/>
      <c r="FM91" s="47"/>
      <c r="FN91" s="47"/>
      <c r="FO91" s="47"/>
      <c r="FP91" s="47"/>
      <c r="FQ91" s="47"/>
      <c r="FR91" s="47"/>
      <c r="FS91" s="47"/>
      <c r="FT91" s="47"/>
      <c r="FU91" s="47"/>
      <c r="FV91" s="47"/>
      <c r="FW91" s="47"/>
      <c r="FX91" s="47"/>
      <c r="FY91" s="47"/>
      <c r="FZ91" s="47"/>
      <c r="GA91" s="47"/>
      <c r="GB91" s="47"/>
      <c r="GC91" s="47"/>
      <c r="GD91" s="47"/>
      <c r="GE91" s="47"/>
      <c r="GF91" s="47"/>
      <c r="GG91" s="47"/>
      <c r="GH91" s="47"/>
      <c r="GI91" s="47"/>
      <c r="GJ91" s="47"/>
      <c r="GK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47"/>
      <c r="FG92" s="47"/>
      <c r="FH92" s="47"/>
      <c r="FI92" s="47"/>
      <c r="FJ92" s="47"/>
      <c r="FK92" s="47"/>
      <c r="FL92" s="47"/>
      <c r="FM92" s="47"/>
      <c r="FN92" s="47"/>
      <c r="FO92" s="47"/>
      <c r="FP92" s="47"/>
      <c r="FQ92" s="47"/>
      <c r="FR92" s="47"/>
      <c r="FS92" s="47"/>
      <c r="FT92" s="47"/>
      <c r="FU92" s="47"/>
      <c r="FV92" s="47"/>
      <c r="FW92" s="47"/>
      <c r="FX92" s="47"/>
      <c r="FY92" s="47"/>
      <c r="FZ92" s="47"/>
      <c r="GA92" s="47"/>
      <c r="GB92" s="47"/>
      <c r="GC92" s="47"/>
      <c r="GD92" s="47"/>
      <c r="GE92" s="47"/>
      <c r="GF92" s="47"/>
      <c r="GG92" s="47"/>
      <c r="GH92" s="47"/>
      <c r="GI92" s="47"/>
      <c r="GJ92" s="47"/>
      <c r="GK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47"/>
      <c r="FG93" s="47"/>
      <c r="FH93" s="47"/>
      <c r="FI93" s="47"/>
      <c r="FJ93" s="47"/>
      <c r="FK93" s="47"/>
      <c r="FL93" s="47"/>
      <c r="FM93" s="47"/>
      <c r="FN93" s="47"/>
      <c r="FO93" s="47"/>
      <c r="FP93" s="47"/>
      <c r="FQ93" s="47"/>
      <c r="FR93" s="47"/>
      <c r="FS93" s="47"/>
      <c r="FT93" s="47"/>
      <c r="FU93" s="47"/>
      <c r="FV93" s="47"/>
      <c r="FW93" s="47"/>
      <c r="FX93" s="47"/>
      <c r="FY93" s="47"/>
      <c r="FZ93" s="47"/>
      <c r="GA93" s="47"/>
      <c r="GB93" s="47"/>
      <c r="GC93" s="47"/>
      <c r="GD93" s="47"/>
      <c r="GE93" s="47"/>
      <c r="GF93" s="47"/>
      <c r="GG93" s="47"/>
      <c r="GH93" s="47"/>
      <c r="GI93" s="47"/>
      <c r="GJ93" s="47"/>
      <c r="GK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47"/>
      <c r="FG94" s="47"/>
      <c r="FH94" s="47"/>
      <c r="FI94" s="47"/>
      <c r="FJ94" s="47"/>
      <c r="FK94" s="47"/>
      <c r="FL94" s="47"/>
      <c r="FM94" s="47"/>
      <c r="FN94" s="47"/>
      <c r="FO94" s="47"/>
      <c r="FP94" s="47"/>
      <c r="FQ94" s="47"/>
      <c r="FR94" s="47"/>
      <c r="FS94" s="47"/>
      <c r="FT94" s="47"/>
      <c r="FU94" s="47"/>
      <c r="FV94" s="47"/>
      <c r="FW94" s="47"/>
      <c r="FX94" s="47"/>
      <c r="FY94" s="47"/>
      <c r="FZ94" s="47"/>
      <c r="GA94" s="47"/>
      <c r="GB94" s="47"/>
      <c r="GC94" s="47"/>
      <c r="GD94" s="47"/>
      <c r="GE94" s="47"/>
      <c r="GF94" s="47"/>
      <c r="GG94" s="47"/>
      <c r="GH94" s="47"/>
      <c r="GI94" s="47"/>
      <c r="GJ94" s="47"/>
      <c r="GK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47"/>
      <c r="FG95" s="47"/>
      <c r="FH95" s="47"/>
      <c r="FI95" s="47"/>
      <c r="FJ95" s="47"/>
      <c r="FK95" s="47"/>
      <c r="FL95" s="47"/>
      <c r="FM95" s="47"/>
      <c r="FN95" s="47"/>
      <c r="FO95" s="47"/>
      <c r="FP95" s="47"/>
      <c r="FQ95" s="47"/>
      <c r="FR95" s="47"/>
      <c r="FS95" s="47"/>
      <c r="FT95" s="47"/>
      <c r="FU95" s="47"/>
      <c r="FV95" s="47"/>
      <c r="FW95" s="47"/>
      <c r="FX95" s="47"/>
      <c r="FY95" s="47"/>
      <c r="FZ95" s="47"/>
      <c r="GA95" s="47"/>
      <c r="GB95" s="47"/>
      <c r="GC95" s="47"/>
      <c r="GD95" s="47"/>
      <c r="GE95" s="47"/>
      <c r="GF95" s="47"/>
      <c r="GG95" s="47"/>
      <c r="GH95" s="47"/>
      <c r="GI95" s="47"/>
      <c r="GJ95" s="47"/>
      <c r="GK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47"/>
      <c r="FG96" s="47"/>
      <c r="FH96" s="47"/>
      <c r="FI96" s="47"/>
      <c r="FJ96" s="47"/>
      <c r="FK96" s="47"/>
      <c r="FL96" s="47"/>
      <c r="FM96" s="47"/>
      <c r="FN96" s="47"/>
      <c r="FO96" s="47"/>
      <c r="FP96" s="47"/>
      <c r="FQ96" s="47"/>
      <c r="FR96" s="47"/>
      <c r="FS96" s="47"/>
      <c r="FT96" s="47"/>
      <c r="FU96" s="47"/>
      <c r="FV96" s="47"/>
      <c r="FW96" s="47"/>
      <c r="FX96" s="47"/>
      <c r="FY96" s="47"/>
      <c r="FZ96" s="47"/>
      <c r="GA96" s="47"/>
      <c r="GB96" s="47"/>
      <c r="GC96" s="47"/>
      <c r="GD96" s="47"/>
      <c r="GE96" s="47"/>
      <c r="GF96" s="47"/>
      <c r="GG96" s="47"/>
      <c r="GH96" s="47"/>
      <c r="GI96" s="47"/>
      <c r="GJ96" s="47"/>
      <c r="GK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47"/>
      <c r="FG97" s="47"/>
      <c r="FH97" s="47"/>
      <c r="FI97" s="47"/>
      <c r="FJ97" s="47"/>
      <c r="FK97" s="47"/>
      <c r="FL97" s="47"/>
      <c r="FM97" s="47"/>
      <c r="FN97" s="47"/>
      <c r="FO97" s="47"/>
      <c r="FP97" s="47"/>
      <c r="FQ97" s="47"/>
      <c r="FR97" s="47"/>
      <c r="FS97" s="47"/>
      <c r="FT97" s="47"/>
      <c r="FU97" s="47"/>
      <c r="FV97" s="47"/>
      <c r="FW97" s="47"/>
      <c r="FX97" s="47"/>
      <c r="FY97" s="47"/>
      <c r="FZ97" s="47"/>
      <c r="GA97" s="47"/>
      <c r="GB97" s="47"/>
      <c r="GC97" s="47"/>
      <c r="GD97" s="47"/>
      <c r="GE97" s="47"/>
      <c r="GF97" s="47"/>
      <c r="GG97" s="47"/>
      <c r="GH97" s="47"/>
      <c r="GI97" s="47"/>
      <c r="GJ97" s="47"/>
      <c r="GK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47"/>
      <c r="FG98" s="47"/>
      <c r="FH98" s="47"/>
      <c r="FI98" s="47"/>
      <c r="FJ98" s="47"/>
      <c r="FK98" s="47"/>
      <c r="FL98" s="47"/>
      <c r="FM98" s="47"/>
      <c r="FN98" s="47"/>
      <c r="FO98" s="47"/>
      <c r="FP98" s="47"/>
      <c r="FQ98" s="47"/>
      <c r="FR98" s="47"/>
      <c r="FS98" s="47"/>
      <c r="FT98" s="47"/>
      <c r="FU98" s="47"/>
      <c r="FV98" s="47"/>
      <c r="FW98" s="47"/>
      <c r="FX98" s="47"/>
      <c r="FY98" s="47"/>
      <c r="FZ98" s="47"/>
      <c r="GA98" s="47"/>
      <c r="GB98" s="47"/>
      <c r="GC98" s="47"/>
      <c r="GD98" s="47"/>
      <c r="GE98" s="47"/>
      <c r="GF98" s="47"/>
      <c r="GG98" s="47"/>
      <c r="GH98" s="47"/>
      <c r="GI98" s="47"/>
      <c r="GJ98" s="47"/>
      <c r="GK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47"/>
      <c r="FG99" s="47"/>
      <c r="FH99" s="47"/>
      <c r="FI99" s="47"/>
      <c r="FJ99" s="47"/>
      <c r="FK99" s="47"/>
      <c r="FL99" s="47"/>
      <c r="FM99" s="47"/>
      <c r="FN99" s="47"/>
      <c r="FO99" s="47"/>
      <c r="FP99" s="47"/>
      <c r="FQ99" s="47"/>
      <c r="FR99" s="47"/>
      <c r="FS99" s="47"/>
      <c r="FT99" s="47"/>
      <c r="FU99" s="47"/>
      <c r="FV99" s="47"/>
      <c r="FW99" s="47"/>
      <c r="FX99" s="47"/>
      <c r="FY99" s="47"/>
      <c r="FZ99" s="47"/>
      <c r="GA99" s="47"/>
      <c r="GB99" s="47"/>
      <c r="GC99" s="47"/>
      <c r="GD99" s="47"/>
      <c r="GE99" s="47"/>
      <c r="GF99" s="47"/>
      <c r="GG99" s="47"/>
      <c r="GH99" s="47"/>
      <c r="GI99" s="47"/>
      <c r="GJ99" s="47"/>
      <c r="GK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47"/>
      <c r="FG100" s="47"/>
      <c r="FH100" s="47"/>
      <c r="FI100" s="47"/>
      <c r="FJ100" s="47"/>
      <c r="FK100" s="47"/>
      <c r="FL100" s="47"/>
      <c r="FM100" s="47"/>
      <c r="FN100" s="47"/>
      <c r="FO100" s="47"/>
      <c r="FP100" s="47"/>
      <c r="FQ100" s="47"/>
      <c r="FR100" s="47"/>
      <c r="FS100" s="47"/>
      <c r="FT100" s="47"/>
      <c r="FU100" s="47"/>
      <c r="FV100" s="47"/>
      <c r="FW100" s="47"/>
      <c r="FX100" s="47"/>
      <c r="FY100" s="47"/>
      <c r="FZ100" s="47"/>
      <c r="GA100" s="47"/>
      <c r="GB100" s="47"/>
      <c r="GC100" s="47"/>
      <c r="GD100" s="47"/>
      <c r="GE100" s="47"/>
      <c r="GF100" s="47"/>
      <c r="GG100" s="47"/>
      <c r="GH100" s="47"/>
      <c r="GI100" s="47"/>
      <c r="GJ100" s="47"/>
      <c r="GK100" s="4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53" t="s">
        <v>21</v>
      </c>
      <c r="D6" s="35"/>
      <c r="E6" s="53"/>
      <c r="F6" s="53" t="s">
        <v>39</v>
      </c>
      <c r="G6" s="53"/>
      <c r="H6" s="53" t="s">
        <v>21</v>
      </c>
      <c r="I6" s="38">
        <v>25.0</v>
      </c>
      <c r="J6" s="38"/>
      <c r="K6" s="53"/>
      <c r="L6" s="53"/>
      <c r="M6" s="53"/>
      <c r="N6" s="53"/>
      <c r="O6" s="53"/>
      <c r="P6" s="53"/>
      <c r="Q6" s="53"/>
      <c r="R6" s="53"/>
      <c r="S6" s="53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3"/>
      <c r="B7" s="53"/>
      <c r="C7" s="53" t="s">
        <v>21</v>
      </c>
      <c r="D7" s="53"/>
      <c r="E7" s="53"/>
      <c r="F7" s="53" t="s">
        <v>39</v>
      </c>
      <c r="G7" s="53"/>
      <c r="H7" s="53" t="s">
        <v>21</v>
      </c>
      <c r="I7" s="38">
        <v>25.0</v>
      </c>
      <c r="J7" s="38"/>
      <c r="K7" s="53"/>
      <c r="L7" s="53"/>
      <c r="M7" s="53"/>
      <c r="N7" s="53"/>
      <c r="O7" s="53"/>
      <c r="P7" s="53"/>
      <c r="Q7" s="53"/>
      <c r="R7" s="53"/>
      <c r="S7" s="53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 t="s">
        <v>21</v>
      </c>
      <c r="D8" s="40"/>
      <c r="E8" s="40"/>
      <c r="F8" s="40" t="s">
        <v>40</v>
      </c>
      <c r="G8" s="36"/>
      <c r="H8" s="36" t="s">
        <v>21</v>
      </c>
      <c r="I8" s="38">
        <v>25.0</v>
      </c>
      <c r="J8" s="55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 t="s">
        <v>21</v>
      </c>
      <c r="D9" s="40"/>
      <c r="E9" s="40"/>
      <c r="F9" s="40" t="s">
        <v>40</v>
      </c>
      <c r="G9" s="36"/>
      <c r="H9" s="36" t="s">
        <v>21</v>
      </c>
      <c r="I9" s="38">
        <v>25.0</v>
      </c>
      <c r="J9" s="55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56" t="s">
        <v>21</v>
      </c>
      <c r="I6" s="57">
        <v>0.0</v>
      </c>
      <c r="J6" s="57">
        <v>25.0</v>
      </c>
      <c r="K6" s="57">
        <v>25.0</v>
      </c>
      <c r="L6" s="57">
        <v>25.0</v>
      </c>
      <c r="M6" s="56" t="s">
        <v>39</v>
      </c>
      <c r="N6" s="58"/>
      <c r="O6" s="56" t="s">
        <v>22</v>
      </c>
      <c r="P6" s="58"/>
      <c r="Q6" s="58" t="s">
        <v>21</v>
      </c>
      <c r="R6" s="58"/>
      <c r="S6" s="58"/>
      <c r="T6" s="59" t="s">
        <v>42</v>
      </c>
      <c r="U6" s="59" t="s">
        <v>42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2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6" t="s">
        <v>21</v>
      </c>
      <c r="I7" s="57">
        <v>0.0</v>
      </c>
      <c r="J7" s="57">
        <v>25.0</v>
      </c>
      <c r="K7" s="57">
        <v>25.0</v>
      </c>
      <c r="L7" s="57">
        <v>25.0</v>
      </c>
      <c r="M7" s="56" t="s">
        <v>39</v>
      </c>
      <c r="N7" s="58"/>
      <c r="O7" s="56" t="s">
        <v>22</v>
      </c>
      <c r="P7" s="58"/>
      <c r="Q7" s="58" t="s">
        <v>21</v>
      </c>
      <c r="R7" s="58"/>
      <c r="S7" s="58"/>
      <c r="T7" s="59" t="s">
        <v>43</v>
      </c>
      <c r="U7" s="59" t="s">
        <v>43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2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6" t="s">
        <v>21</v>
      </c>
      <c r="I8" s="57">
        <v>0.0</v>
      </c>
      <c r="J8" s="57">
        <v>25.0</v>
      </c>
      <c r="K8" s="57">
        <v>25.0</v>
      </c>
      <c r="L8" s="57">
        <v>25.0</v>
      </c>
      <c r="M8" s="56" t="s">
        <v>40</v>
      </c>
      <c r="N8" s="58"/>
      <c r="O8" s="56" t="s">
        <v>22</v>
      </c>
      <c r="P8" s="58"/>
      <c r="Q8" s="58" t="s">
        <v>21</v>
      </c>
      <c r="R8" s="58"/>
      <c r="S8" s="58"/>
      <c r="T8" s="59" t="s">
        <v>42</v>
      </c>
      <c r="U8" s="59" t="s">
        <v>42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2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6" t="s">
        <v>21</v>
      </c>
      <c r="I9" s="57">
        <v>0.0</v>
      </c>
      <c r="J9" s="57">
        <v>25.0</v>
      </c>
      <c r="K9" s="57">
        <v>25.0</v>
      </c>
      <c r="L9" s="57">
        <v>25.0</v>
      </c>
      <c r="M9" s="56" t="s">
        <v>40</v>
      </c>
      <c r="N9" s="58"/>
      <c r="O9" s="56" t="s">
        <v>22</v>
      </c>
      <c r="P9" s="58"/>
      <c r="Q9" s="58" t="s">
        <v>21</v>
      </c>
      <c r="R9" s="58"/>
      <c r="S9" s="58"/>
      <c r="T9" s="59" t="s">
        <v>43</v>
      </c>
      <c r="U9" s="59" t="s">
        <v>43</v>
      </c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2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32</v>
      </c>
      <c r="AL6" s="42">
        <v>100.0</v>
      </c>
      <c r="AM6" s="42"/>
      <c r="AN6" s="64">
        <v>50.0</v>
      </c>
      <c r="AO6" s="64"/>
      <c r="AP6" s="42"/>
      <c r="AQ6" s="64"/>
      <c r="AR6" s="42">
        <v>10.0</v>
      </c>
      <c r="AS6" s="40" t="s">
        <v>33</v>
      </c>
      <c r="AT6" s="40" t="s">
        <v>34</v>
      </c>
      <c r="AU6" s="40" t="s">
        <v>35</v>
      </c>
      <c r="AV6" s="42">
        <v>500.0</v>
      </c>
      <c r="AW6" s="42">
        <v>500.0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65">
        <v>10.0</v>
      </c>
      <c r="C6" s="36"/>
      <c r="D6" s="35" t="s">
        <v>21</v>
      </c>
      <c r="E6" s="36"/>
      <c r="F6" s="36" t="s">
        <v>22</v>
      </c>
      <c r="G6" s="36" t="s">
        <v>32</v>
      </c>
      <c r="H6" s="41">
        <v>100.0</v>
      </c>
      <c r="I6" s="41">
        <v>50.0</v>
      </c>
      <c r="J6" s="41">
        <v>50.0</v>
      </c>
      <c r="K6" s="41"/>
      <c r="L6" s="36"/>
      <c r="M6" s="36"/>
      <c r="N6" s="36"/>
      <c r="O6" s="36"/>
      <c r="P6" s="36"/>
      <c r="Q6" s="36" t="s">
        <v>33</v>
      </c>
      <c r="R6" s="36" t="s">
        <v>34</v>
      </c>
      <c r="S6" s="36"/>
      <c r="T6" s="40" t="s">
        <v>35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66"/>
      <c r="E6" s="36"/>
      <c r="F6" s="36"/>
      <c r="G6" s="37">
        <v>50.0</v>
      </c>
      <c r="H6" s="36"/>
      <c r="I6" s="36"/>
      <c r="J6" s="52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67" t="s">
        <v>52</v>
      </c>
      <c r="AL6" s="64">
        <v>60.0</v>
      </c>
      <c r="AM6" s="67">
        <v>50.0</v>
      </c>
      <c r="AN6" s="40"/>
      <c r="AO6" s="42">
        <v>10.0</v>
      </c>
      <c r="AP6" s="42">
        <v>10.0</v>
      </c>
      <c r="AQ6" s="40"/>
      <c r="AR6" s="40"/>
      <c r="AS6" s="40"/>
      <c r="AT6" s="40"/>
      <c r="AU6" s="40"/>
      <c r="AV6" s="40"/>
      <c r="AW6" s="40"/>
      <c r="AX6" s="64">
        <v>10.0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5"/>
      <c r="B6" s="35"/>
      <c r="C6" s="53" t="s">
        <v>21</v>
      </c>
      <c r="D6" s="68">
        <v>25.0</v>
      </c>
      <c r="E6" s="36" t="s">
        <v>43</v>
      </c>
      <c r="F6" s="36" t="s">
        <v>55</v>
      </c>
      <c r="G6" s="38">
        <v>10.0</v>
      </c>
      <c r="H6" s="36" t="s">
        <v>56</v>
      </c>
      <c r="I6" s="68"/>
      <c r="J6" s="36"/>
      <c r="K6" s="68">
        <v>0.0</v>
      </c>
      <c r="L6" s="36"/>
      <c r="M6" s="36"/>
      <c r="N6" s="68">
        <v>-250.0</v>
      </c>
      <c r="O6" s="53" t="s">
        <v>57</v>
      </c>
      <c r="P6" s="36" t="s">
        <v>58</v>
      </c>
      <c r="Q6" s="68">
        <v>-250.0</v>
      </c>
      <c r="R6" s="36" t="s">
        <v>33</v>
      </c>
      <c r="S6" s="36" t="s">
        <v>59</v>
      </c>
      <c r="T6" s="54" t="s">
        <v>60</v>
      </c>
      <c r="U6" s="54" t="s">
        <v>61</v>
      </c>
      <c r="V6" s="54" t="s">
        <v>62</v>
      </c>
      <c r="W6" s="54" t="s">
        <v>63</v>
      </c>
      <c r="X6" s="40"/>
      <c r="Y6" s="42">
        <v>1.0</v>
      </c>
      <c r="Z6" s="54"/>
      <c r="AA6" s="54"/>
      <c r="AB6" s="42">
        <v>0.0</v>
      </c>
      <c r="AC6" s="42">
        <v>0.0</v>
      </c>
      <c r="AD6" s="69">
        <v>0.0</v>
      </c>
      <c r="AE6" s="69">
        <v>0.0</v>
      </c>
      <c r="AF6" s="69">
        <v>25.0</v>
      </c>
      <c r="AG6" s="69">
        <v>0.0</v>
      </c>
      <c r="AH6" s="69">
        <v>0.0</v>
      </c>
      <c r="AI6" s="69">
        <v>0.0</v>
      </c>
      <c r="AJ6" s="70"/>
      <c r="AK6" s="69">
        <v>-250.0</v>
      </c>
      <c r="AL6" s="42">
        <v>1.0</v>
      </c>
      <c r="AM6" s="42">
        <v>1.0</v>
      </c>
      <c r="AN6" s="54" t="s">
        <v>22</v>
      </c>
      <c r="AO6" s="54"/>
      <c r="AP6" s="54" t="s">
        <v>56</v>
      </c>
      <c r="AQ6" s="54" t="s">
        <v>21</v>
      </c>
      <c r="AR6" s="55">
        <v>0.0</v>
      </c>
      <c r="AS6" s="42">
        <v>1.0</v>
      </c>
      <c r="AT6" s="54"/>
      <c r="AU6" s="54" t="s">
        <v>64</v>
      </c>
      <c r="AV6" s="54"/>
      <c r="AW6" s="69">
        <v>-250.0</v>
      </c>
      <c r="AX6" s="42">
        <v>0.0</v>
      </c>
      <c r="AY6" s="42">
        <v>0.0</v>
      </c>
      <c r="AZ6" s="69">
        <v>0.0</v>
      </c>
      <c r="BA6" s="40"/>
      <c r="BB6" s="54"/>
      <c r="BC6" s="54"/>
      <c r="BD6" s="69">
        <v>-250.0</v>
      </c>
      <c r="BE6" s="54" t="s">
        <v>60</v>
      </c>
      <c r="BF6" s="54" t="s">
        <v>65</v>
      </c>
      <c r="BG6" s="54" t="s">
        <v>66</v>
      </c>
      <c r="BH6" s="54"/>
      <c r="BI6" s="54"/>
      <c r="BJ6" s="42">
        <v>0.0</v>
      </c>
      <c r="BK6" s="42">
        <v>0.0</v>
      </c>
      <c r="BL6" s="42">
        <v>0.0</v>
      </c>
      <c r="BM6" s="42">
        <v>0.0</v>
      </c>
      <c r="BN6" s="54"/>
      <c r="BO6" s="69">
        <v>-250.0</v>
      </c>
      <c r="BP6" s="42">
        <v>0.0</v>
      </c>
      <c r="BQ6" s="54"/>
      <c r="BR6" s="54" t="s">
        <v>33</v>
      </c>
      <c r="BS6" s="42">
        <v>0.0</v>
      </c>
      <c r="BT6" s="42">
        <v>0.0</v>
      </c>
      <c r="BU6" s="54" t="s">
        <v>60</v>
      </c>
      <c r="BV6" s="54"/>
      <c r="BW6" s="54"/>
      <c r="BX6" s="69">
        <v>0.0</v>
      </c>
      <c r="BY6" s="69">
        <v>0.0</v>
      </c>
      <c r="BZ6" s="42">
        <v>0.0</v>
      </c>
      <c r="CA6" s="42">
        <v>0.0</v>
      </c>
      <c r="CB6" s="54"/>
      <c r="CC6" s="42">
        <v>0.0</v>
      </c>
      <c r="CD6" s="69">
        <v>-250.0</v>
      </c>
      <c r="CE6" s="42">
        <v>0.0</v>
      </c>
      <c r="CF6" s="42">
        <v>0.0</v>
      </c>
      <c r="CG6" s="69">
        <v>-250.0</v>
      </c>
      <c r="CH6" s="42">
        <v>-100.0</v>
      </c>
      <c r="CI6" s="42">
        <v>0.0</v>
      </c>
      <c r="CJ6" s="42">
        <v>0.0</v>
      </c>
      <c r="CK6" s="71" t="b">
        <v>0</v>
      </c>
      <c r="CL6" s="54"/>
      <c r="CM6" s="54"/>
      <c r="CN6" s="54"/>
      <c r="CO6" s="54"/>
      <c r="CP6" s="54" t="s">
        <v>67</v>
      </c>
      <c r="CQ6" s="54"/>
      <c r="CR6" s="54"/>
      <c r="CS6" s="42">
        <v>10.0</v>
      </c>
      <c r="CT6" s="54"/>
      <c r="CU6" s="54"/>
      <c r="CV6" s="54"/>
      <c r="CW6" s="54"/>
      <c r="CX6" s="54"/>
      <c r="CY6" s="54"/>
      <c r="CZ6" s="54"/>
      <c r="DA6" s="69">
        <v>0.0</v>
      </c>
      <c r="DB6" s="40"/>
      <c r="DC6" s="54"/>
      <c r="DD6" s="69">
        <v>25.0</v>
      </c>
      <c r="DE6" s="54"/>
      <c r="DF6" s="54"/>
      <c r="DG6" s="54"/>
      <c r="DH6" s="54" t="s">
        <v>58</v>
      </c>
      <c r="DI6" s="42">
        <v>0.0</v>
      </c>
      <c r="DJ6" s="54" t="s">
        <v>22</v>
      </c>
      <c r="DK6" s="42">
        <v>0.0</v>
      </c>
      <c r="DL6" s="42">
        <v>0.0</v>
      </c>
      <c r="DM6" s="42">
        <v>1.0</v>
      </c>
      <c r="DN6" s="40"/>
      <c r="DO6" s="54"/>
      <c r="DP6" s="54" t="s">
        <v>56</v>
      </c>
      <c r="DQ6" s="54" t="s">
        <v>68</v>
      </c>
      <c r="DR6" s="54" t="s">
        <v>69</v>
      </c>
      <c r="DS6" s="54" t="s">
        <v>68</v>
      </c>
      <c r="DT6" s="54" t="s">
        <v>68</v>
      </c>
      <c r="DU6" s="72" t="s">
        <v>70</v>
      </c>
      <c r="DV6" s="54" t="s">
        <v>68</v>
      </c>
      <c r="DW6" s="73"/>
      <c r="DX6" s="54"/>
      <c r="DY6" s="74" t="s">
        <v>68</v>
      </c>
      <c r="DZ6" s="74" t="s">
        <v>57</v>
      </c>
      <c r="EA6" s="74" t="s">
        <v>70</v>
      </c>
      <c r="EB6" s="74" t="s">
        <v>68</v>
      </c>
      <c r="EC6" s="74" t="s">
        <v>68</v>
      </c>
      <c r="ED6" s="54" t="s">
        <v>63</v>
      </c>
      <c r="EE6" s="54"/>
      <c r="EF6" s="54"/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54" t="s">
        <v>56</v>
      </c>
      <c r="EM6" s="42">
        <v>0.0</v>
      </c>
      <c r="EN6" s="42">
        <v>0.0</v>
      </c>
      <c r="EO6" s="42">
        <v>0.0</v>
      </c>
      <c r="EP6" s="42">
        <v>0.0</v>
      </c>
      <c r="EQ6" s="42">
        <v>0.0</v>
      </c>
      <c r="ER6" s="42">
        <v>0.0</v>
      </c>
      <c r="ES6" s="69">
        <v>-500.0</v>
      </c>
      <c r="ET6" s="42">
        <v>0.0</v>
      </c>
      <c r="EU6" s="42">
        <v>0.0</v>
      </c>
      <c r="EV6" s="54" t="s">
        <v>56</v>
      </c>
      <c r="EW6" s="42">
        <v>-250.0</v>
      </c>
      <c r="EX6" s="75" t="b">
        <v>0</v>
      </c>
      <c r="EY6" s="54"/>
      <c r="EZ6" s="54"/>
      <c r="FA6" s="54"/>
      <c r="FB6" s="54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53" t="s">
        <v>21</v>
      </c>
      <c r="D7" s="68">
        <v>25.0</v>
      </c>
      <c r="E7" s="36" t="s">
        <v>42</v>
      </c>
      <c r="F7" s="36" t="s">
        <v>71</v>
      </c>
      <c r="G7" s="38">
        <v>10.0</v>
      </c>
      <c r="H7" s="36" t="s">
        <v>56</v>
      </c>
      <c r="I7" s="68"/>
      <c r="J7" s="36"/>
      <c r="K7" s="68">
        <v>0.0</v>
      </c>
      <c r="L7" s="36"/>
      <c r="M7" s="36"/>
      <c r="N7" s="38">
        <v>-250.0</v>
      </c>
      <c r="O7" s="53" t="s">
        <v>57</v>
      </c>
      <c r="P7" s="36" t="s">
        <v>58</v>
      </c>
      <c r="Q7" s="68">
        <v>-250.0</v>
      </c>
      <c r="R7" s="36" t="s">
        <v>72</v>
      </c>
      <c r="S7" s="36" t="s">
        <v>59</v>
      </c>
      <c r="T7" s="54" t="s">
        <v>60</v>
      </c>
      <c r="U7" s="54" t="s">
        <v>61</v>
      </c>
      <c r="V7" s="54" t="s">
        <v>62</v>
      </c>
      <c r="W7" s="54" t="s">
        <v>63</v>
      </c>
      <c r="X7" s="40"/>
      <c r="Y7" s="42">
        <v>1.0</v>
      </c>
      <c r="Z7" s="54"/>
      <c r="AA7" s="54"/>
      <c r="AB7" s="42">
        <v>0.0</v>
      </c>
      <c r="AC7" s="42">
        <v>0.0</v>
      </c>
      <c r="AD7" s="69">
        <v>0.0</v>
      </c>
      <c r="AE7" s="69">
        <v>0.0</v>
      </c>
      <c r="AF7" s="69">
        <v>25.0</v>
      </c>
      <c r="AG7" s="69">
        <v>0.0</v>
      </c>
      <c r="AH7" s="69">
        <v>0.0</v>
      </c>
      <c r="AI7" s="69">
        <v>0.0</v>
      </c>
      <c r="AJ7" s="70"/>
      <c r="AK7" s="69">
        <v>-250.0</v>
      </c>
      <c r="AL7" s="42">
        <v>1.0</v>
      </c>
      <c r="AM7" s="42">
        <v>1.0</v>
      </c>
      <c r="AN7" s="54" t="s">
        <v>22</v>
      </c>
      <c r="AO7" s="54"/>
      <c r="AP7" s="54" t="s">
        <v>56</v>
      </c>
      <c r="AQ7" s="54" t="s">
        <v>21</v>
      </c>
      <c r="AR7" s="55">
        <v>0.0</v>
      </c>
      <c r="AS7" s="42">
        <v>1.0</v>
      </c>
      <c r="AT7" s="54"/>
      <c r="AU7" s="54" t="s">
        <v>64</v>
      </c>
      <c r="AV7" s="54"/>
      <c r="AW7" s="69">
        <v>-250.0</v>
      </c>
      <c r="AX7" s="42">
        <v>0.0</v>
      </c>
      <c r="AY7" s="42">
        <v>0.0</v>
      </c>
      <c r="AZ7" s="69">
        <v>0.0</v>
      </c>
      <c r="BA7" s="40"/>
      <c r="BB7" s="54"/>
      <c r="BC7" s="54"/>
      <c r="BD7" s="69">
        <v>-250.0</v>
      </c>
      <c r="BE7" s="54" t="s">
        <v>60</v>
      </c>
      <c r="BF7" s="54" t="s">
        <v>65</v>
      </c>
      <c r="BG7" s="54" t="s">
        <v>66</v>
      </c>
      <c r="BH7" s="54"/>
      <c r="BI7" s="54"/>
      <c r="BJ7" s="42">
        <v>0.0</v>
      </c>
      <c r="BK7" s="42">
        <v>0.0</v>
      </c>
      <c r="BL7" s="42">
        <v>0.0</v>
      </c>
      <c r="BM7" s="42">
        <v>0.0</v>
      </c>
      <c r="BN7" s="54"/>
      <c r="BO7" s="69">
        <v>-250.0</v>
      </c>
      <c r="BP7" s="42">
        <v>0.0</v>
      </c>
      <c r="BQ7" s="54"/>
      <c r="BR7" s="54" t="s">
        <v>33</v>
      </c>
      <c r="BS7" s="42">
        <v>0.0</v>
      </c>
      <c r="BT7" s="42">
        <v>0.0</v>
      </c>
      <c r="BU7" s="54" t="s">
        <v>60</v>
      </c>
      <c r="BV7" s="54"/>
      <c r="BW7" s="54"/>
      <c r="BX7" s="69">
        <v>0.0</v>
      </c>
      <c r="BY7" s="69">
        <v>0.0</v>
      </c>
      <c r="BZ7" s="42">
        <v>0.0</v>
      </c>
      <c r="CA7" s="42">
        <v>0.0</v>
      </c>
      <c r="CB7" s="54"/>
      <c r="CC7" s="42">
        <v>0.0</v>
      </c>
      <c r="CD7" s="69">
        <v>-250.0</v>
      </c>
      <c r="CE7" s="42">
        <v>0.0</v>
      </c>
      <c r="CF7" s="42">
        <v>0.0</v>
      </c>
      <c r="CG7" s="69">
        <v>-250.0</v>
      </c>
      <c r="CH7" s="42">
        <v>-100.0</v>
      </c>
      <c r="CI7" s="42">
        <v>0.0</v>
      </c>
      <c r="CJ7" s="42">
        <v>0.0</v>
      </c>
      <c r="CK7" s="71" t="b">
        <v>0</v>
      </c>
      <c r="CL7" s="54"/>
      <c r="CM7" s="54"/>
      <c r="CN7" s="54"/>
      <c r="CO7" s="54"/>
      <c r="CP7" s="54" t="s">
        <v>67</v>
      </c>
      <c r="CQ7" s="54"/>
      <c r="CR7" s="54"/>
      <c r="CS7" s="42">
        <v>10.0</v>
      </c>
      <c r="CT7" s="54"/>
      <c r="CU7" s="54"/>
      <c r="CV7" s="54"/>
      <c r="CW7" s="54"/>
      <c r="CX7" s="54"/>
      <c r="CY7" s="54"/>
      <c r="CZ7" s="54"/>
      <c r="DA7" s="69">
        <v>0.0</v>
      </c>
      <c r="DB7" s="40"/>
      <c r="DC7" s="54"/>
      <c r="DD7" s="69">
        <v>25.0</v>
      </c>
      <c r="DE7" s="54"/>
      <c r="DF7" s="54"/>
      <c r="DG7" s="54"/>
      <c r="DH7" s="54" t="s">
        <v>58</v>
      </c>
      <c r="DI7" s="42">
        <v>0.0</v>
      </c>
      <c r="DJ7" s="54" t="s">
        <v>22</v>
      </c>
      <c r="DK7" s="42">
        <v>0.0</v>
      </c>
      <c r="DL7" s="42">
        <v>0.0</v>
      </c>
      <c r="DM7" s="42">
        <v>1.0</v>
      </c>
      <c r="DN7" s="40"/>
      <c r="DO7" s="54"/>
      <c r="DP7" s="54" t="s">
        <v>56</v>
      </c>
      <c r="DQ7" s="54" t="s">
        <v>68</v>
      </c>
      <c r="DR7" s="54" t="s">
        <v>69</v>
      </c>
      <c r="DS7" s="54" t="s">
        <v>68</v>
      </c>
      <c r="DT7" s="54" t="s">
        <v>68</v>
      </c>
      <c r="DU7" s="72" t="s">
        <v>70</v>
      </c>
      <c r="DV7" s="54" t="s">
        <v>68</v>
      </c>
      <c r="DW7" s="73"/>
      <c r="DX7" s="54"/>
      <c r="DY7" s="74" t="s">
        <v>68</v>
      </c>
      <c r="DZ7" s="74" t="s">
        <v>57</v>
      </c>
      <c r="EA7" s="74" t="s">
        <v>70</v>
      </c>
      <c r="EB7" s="74" t="s">
        <v>68</v>
      </c>
      <c r="EC7" s="74" t="s">
        <v>68</v>
      </c>
      <c r="ED7" s="54" t="s">
        <v>63</v>
      </c>
      <c r="EE7" s="54"/>
      <c r="EF7" s="54"/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54" t="s">
        <v>56</v>
      </c>
      <c r="EM7" s="42">
        <v>0.0</v>
      </c>
      <c r="EN7" s="42">
        <v>0.0</v>
      </c>
      <c r="EO7" s="42">
        <v>0.0</v>
      </c>
      <c r="EP7" s="42">
        <v>0.0</v>
      </c>
      <c r="EQ7" s="42">
        <v>0.0</v>
      </c>
      <c r="ER7" s="42">
        <v>0.0</v>
      </c>
      <c r="ES7" s="69">
        <v>-500.0</v>
      </c>
      <c r="ET7" s="42">
        <v>0.0</v>
      </c>
      <c r="EU7" s="42">
        <v>0.0</v>
      </c>
      <c r="EV7" s="54" t="s">
        <v>56</v>
      </c>
      <c r="EW7" s="42">
        <v>-250.0</v>
      </c>
      <c r="EX7" s="75" t="b">
        <v>0</v>
      </c>
      <c r="EY7" s="54"/>
      <c r="EZ7" s="54"/>
      <c r="FA7" s="54"/>
      <c r="FB7" s="54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6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