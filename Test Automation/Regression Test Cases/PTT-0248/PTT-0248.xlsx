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DoneAwayOrder" sheetId="1" r:id="rId4"/>
    <sheet state="visible" name="PricingInput" sheetId="2" r:id="rId5"/>
    <sheet state="visible" name="GetDailyCash" sheetId="3" r:id="rId6"/>
    <sheet state="visible" name="UpdateMultipleDailyCash" sheetId="4" r:id="rId7"/>
    <sheet state="visible" name="CalculatePTT" sheetId="5" r:id="rId8"/>
    <sheet state="visible" name="VerifyPTT" sheetId="6" r:id="rId9"/>
    <sheet state="visible" name="CalculatePTT1" sheetId="7" r:id="rId10"/>
    <sheet state="visible" name="VerifyPTT1" sheetId="8" r:id="rId11"/>
    <sheet state="visible" name="CalculatePTT2" sheetId="9" r:id="rId12"/>
    <sheet state="visible" name="VerifyPTT2" sheetId="10" r:id="rId13"/>
  </sheets>
  <definedNames/>
  <calcPr/>
</workbook>
</file>

<file path=xl/sharedStrings.xml><?xml version="1.0" encoding="utf-8"?>
<sst xmlns="http://schemas.openxmlformats.org/spreadsheetml/2006/main" count="231" uniqueCount="126">
  <si>
    <t/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</si>
  <si>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</si>
  <si>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</si>
  <si>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</si>
  <si>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</si>
  <si>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</si>
  <si>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</si>
  <si>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</si>
  <si>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</si>
  <si>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</si>
  <si>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</si>
  <si>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</si>
  <si>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</si>
  <si>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</si>
  <si>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</si>
  <si>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</si>
  <si>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</si>
  <si>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</si>
  <si>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</si>
  <si>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</si>
  <si>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</si>
  <si>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</si>
  <si>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</si>
  <si>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</si>
  <si>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</si>
  <si>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</si>
  <si>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</si>
  <si>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</si>
  <si>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</si>
  <si>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</si>
  <si>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</si>
  <si>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</si>
  <si>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</si>
  <si>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</si>
  <si>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</si>
  <si>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</si>
  <si>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</si>
  <si>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</si>
  <si>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</si>
  <si>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</si>
  <si>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</si>
  <si>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</si>
  <si>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</si>
  <si>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</si>
  <si>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</si>
  <si>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</si>
  <si>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</si>
  <si>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</si>
  <si>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</si>
  <si>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</si>
  <si>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</si>
  <si>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</si>
  <si>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</si>
  <si>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</si>
  <si>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</si>
  <si>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</si>
  <si>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</si>
  <si>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</si>
  <si>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</si>
  <si>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</si>
  <si>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</si>
  <si>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</si>
  <si>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AAPL</t>
  </si>
  <si>
    <t>Buy</t>
  </si>
  <si>
    <t>Allocation1</t>
  </si>
  <si>
    <t>Allocation3</t>
  </si>
  <si>
    <t>TSLA</t>
  </si>
  <si>
    <t>Sell short</t>
  </si>
  <si>
    <t>Allocation2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</si>
  <si>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</si>
  <si>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</si>
  <si>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</si>
  <si>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</si>
  <si>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</si>
  <si>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</si>
  <si>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</si>
  <si>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</si>
  <si>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</si>
  <si>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</si>
  <si>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</si>
  <si>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</si>
  <si>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</si>
  <si>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</si>
  <si>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</si>
  <si>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</si>
  <si>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</si>
  <si>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</si>
  <si>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Select Date</t>
  </si>
  <si>
    <t>Copy From</t>
  </si>
  <si>
    <t>Local Currency</t>
  </si>
  <si>
    <t>Cash Value Local</t>
  </si>
  <si>
    <t>USD</t>
  </si>
  <si>
    <t>Allocation4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</si>
  <si>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</si>
  <si>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</si>
  <si>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</si>
  <si>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</si>
  <si>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</si>
  <si>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</si>
  <si>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</si>
  <si>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Round Lots</t>
  </si>
  <si>
    <t>Use Custodian Broker</t>
  </si>
  <si>
    <t>Set</t>
  </si>
  <si>
    <t>Percentage</t>
  </si>
  <si>
    <t>No</t>
  </si>
  <si>
    <t>MasterFund</t>
  </si>
  <si>
    <t>NewMF1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</si>
  <si>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</si>
  <si>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</si>
  <si>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</si>
  <si>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</si>
  <si>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</si>
  <si>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</si>
  <si>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</si>
  <si>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</si>
  <si>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</si>
  <si>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</si>
  <si>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</si>
  <si>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</si>
  <si>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Starting BP</t>
  </si>
  <si>
    <t>BP Change</t>
  </si>
  <si>
    <t>Ending BP</t>
  </si>
  <si>
    <t>MasterFund Name</t>
  </si>
  <si>
    <t>Verify RoundLots In Input Parameters</t>
  </si>
  <si>
    <t>Buy to Close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</si>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</sst>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b/>
      <sz val="10.0"/>
      <color rgb="FFFFFFFF"/>
      <name val="Calibri"/>
    </font>
    <font>
      <sz val="10.0"/>
      <color rgb="FFFFFFFF"/>
      <name val="Arial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/>
    </xf>
    <xf borderId="1" fillId="3" fontId="5" numFmtId="0" xfId="0" applyBorder="1" applyFill="1" applyFont="1"/>
    <xf borderId="1" fillId="3" fontId="6" numFmtId="0" xfId="0" applyBorder="1" applyFont="1"/>
    <xf borderId="0" fillId="0" fontId="4" numFmtId="14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82" width="12.63"/>
  </cols>
  <sheetData>
    <row r="5" ht="15.7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37</v>
      </c>
      <c r="AM5" s="2" t="s">
        <v>38</v>
      </c>
      <c r="AN5" s="2" t="s">
        <v>39</v>
      </c>
      <c r="AO5" s="2" t="s">
        <v>40</v>
      </c>
      <c r="AP5" s="2" t="s">
        <v>41</v>
      </c>
      <c r="AQ5" s="2" t="s">
        <v>42</v>
      </c>
      <c r="AR5" s="2" t="s">
        <v>43</v>
      </c>
      <c r="AS5" s="2" t="s">
        <v>44</v>
      </c>
      <c r="AT5" s="2" t="s">
        <v>45</v>
      </c>
      <c r="AU5" s="2" t="s">
        <v>46</v>
      </c>
      <c r="AV5" s="2" t="s">
        <v>47</v>
      </c>
      <c r="AW5" s="2" t="s">
        <v>48</v>
      </c>
      <c r="AX5" s="2" t="s">
        <v>49</v>
      </c>
      <c r="AY5" s="2" t="s">
        <v>50</v>
      </c>
      <c r="AZ5" s="2" t="s">
        <v>51</v>
      </c>
      <c r="BA5" s="2" t="s">
        <v>52</v>
      </c>
      <c r="BB5" s="2" t="s">
        <v>53</v>
      </c>
      <c r="BC5" s="2" t="s">
        <v>54</v>
      </c>
      <c r="BD5" s="2" t="s">
        <v>55</v>
      </c>
      <c r="BE5" s="2" t="s">
        <v>56</v>
      </c>
      <c r="BF5" s="2" t="s">
        <v>57</v>
      </c>
      <c r="BG5" s="2" t="s">
        <v>58</v>
      </c>
      <c r="BH5" s="2" t="s">
        <v>59</v>
      </c>
      <c r="BI5" s="2" t="s">
        <v>60</v>
      </c>
      <c r="BJ5" s="2" t="s">
        <v>61</v>
      </c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</row>
    <row r="6" ht="15.75" customHeight="1">
      <c r="A6" s="3"/>
      <c r="B6" s="4" t="s">
        <v>62</v>
      </c>
      <c r="C6" s="4" t="s">
        <v>63</v>
      </c>
      <c r="D6" s="5">
        <v>100.0</v>
      </c>
      <c r="E6" s="5">
        <v>100.0</v>
      </c>
      <c r="F6" s="4" t="s">
        <v>64</v>
      </c>
      <c r="G6" s="4"/>
      <c r="H6" s="4"/>
      <c r="I6" s="4"/>
      <c r="J6" s="5">
        <v>10.0</v>
      </c>
      <c r="K6" s="4"/>
      <c r="L6" s="3"/>
      <c r="M6" s="3"/>
      <c r="N6" s="3"/>
      <c r="O6" s="3"/>
    </row>
    <row r="7" ht="15.75" customHeight="1">
      <c r="A7" s="3"/>
      <c r="B7" s="4" t="s">
        <v>62</v>
      </c>
      <c r="C7" s="4" t="s">
        <v>63</v>
      </c>
      <c r="D7" s="5">
        <v>100.0</v>
      </c>
      <c r="E7" s="5">
        <v>100.0</v>
      </c>
      <c r="F7" s="4" t="s">
        <v>65</v>
      </c>
      <c r="G7" s="4"/>
      <c r="H7" s="4"/>
      <c r="I7" s="4"/>
      <c r="J7" s="5">
        <v>10.0</v>
      </c>
      <c r="K7" s="4"/>
      <c r="L7" s="3"/>
      <c r="M7" s="3"/>
      <c r="N7" s="3"/>
      <c r="O7" s="3"/>
    </row>
    <row r="8" ht="15.75" customHeight="1">
      <c r="A8" s="6"/>
      <c r="B8" s="3" t="s">
        <v>66</v>
      </c>
      <c r="C8" s="3" t="s">
        <v>67</v>
      </c>
      <c r="D8" s="7">
        <v>100000.0</v>
      </c>
      <c r="E8" s="7">
        <v>100000.0</v>
      </c>
      <c r="F8" s="3" t="s">
        <v>68</v>
      </c>
      <c r="G8" s="6"/>
      <c r="H8" s="6"/>
      <c r="I8" s="6"/>
      <c r="J8" s="7">
        <v>2.0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</row>
    <row r="9" ht="15.75" customHeight="1">
      <c r="A9" s="6"/>
      <c r="B9" s="3" t="s">
        <v>66</v>
      </c>
      <c r="C9" s="3" t="s">
        <v>63</v>
      </c>
      <c r="D9" s="7">
        <v>100.0</v>
      </c>
      <c r="E9" s="7">
        <v>100.0</v>
      </c>
      <c r="F9" s="3" t="s">
        <v>68</v>
      </c>
      <c r="G9" s="6"/>
      <c r="H9" s="6"/>
      <c r="I9" s="6"/>
      <c r="J9" s="7">
        <v>140.0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</row>
    <row r="10" ht="15.75" customHeight="1">
      <c r="A10" s="6"/>
      <c r="B10" s="6"/>
      <c r="C10" s="6"/>
      <c r="D10" s="7"/>
      <c r="E10" s="7"/>
      <c r="F10" s="6"/>
      <c r="G10" s="6"/>
      <c r="H10" s="6"/>
      <c r="I10" s="6"/>
      <c r="J10" s="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</row>
    <row r="11" ht="15.75" customHeight="1">
      <c r="A11" s="6"/>
      <c r="B11" s="6"/>
      <c r="C11" s="6"/>
      <c r="D11" s="7"/>
      <c r="E11" s="7"/>
      <c r="F11" s="6"/>
      <c r="G11" s="6"/>
      <c r="H11" s="6"/>
      <c r="I11" s="6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1" width="12.63"/>
  </cols>
  <sheetData>
    <row r="5" ht="15.75" customHeight="1">
      <c r="A5" s="1" t="s">
        <v>0</v>
      </c>
      <c r="B5" s="1" t="s">
        <v>1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H5" s="1" t="s">
        <v>47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 t="s">
        <v>79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84</v>
      </c>
      <c r="T5" s="2" t="s">
        <v>85</v>
      </c>
      <c r="U5" s="2" t="s">
        <v>86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ht="15.75" customHeight="1">
      <c r="A6" s="6"/>
      <c r="B6" s="3" t="s">
        <v>66</v>
      </c>
      <c r="C6" s="7">
        <v>140.0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75" customHeight="1">
      <c r="A7" s="3"/>
      <c r="B7" s="4" t="s">
        <v>62</v>
      </c>
      <c r="C7" s="5">
        <v>140.0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3" width="12.63"/>
    <col customWidth="1" min="24" max="26" width="15.13"/>
  </cols>
  <sheetData>
    <row r="5" ht="15.75" customHeight="1">
      <c r="A5" s="8" t="s">
        <v>0</v>
      </c>
      <c r="B5" s="8" t="s">
        <v>87</v>
      </c>
      <c r="C5" s="8" t="s">
        <v>88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9"/>
    </row>
    <row r="6" ht="15.75" customHeight="1">
      <c r="A6" s="3"/>
      <c r="B6" s="10">
        <f>today()-1</f>
        <v>45922</v>
      </c>
      <c r="C6" s="10">
        <f>today()</f>
        <v>45923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4" width="12.63"/>
    <col customWidth="1" min="25" max="26" width="15.13"/>
  </cols>
  <sheetData>
    <row r="5" ht="15.75" customHeight="1">
      <c r="A5" s="8" t="s">
        <v>0</v>
      </c>
      <c r="B5" s="8" t="s">
        <v>36</v>
      </c>
      <c r="C5" s="8" t="s">
        <v>89</v>
      </c>
      <c r="D5" s="8" t="s">
        <v>90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9"/>
    </row>
    <row r="6" ht="15.75" customHeight="1">
      <c r="A6" s="3"/>
      <c r="B6" s="4" t="s">
        <v>64</v>
      </c>
      <c r="C6" s="4" t="s">
        <v>91</v>
      </c>
      <c r="D6" s="5">
        <v>10000.0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5.75" customHeight="1">
      <c r="A7" s="3"/>
      <c r="B7" s="4" t="s">
        <v>65</v>
      </c>
      <c r="C7" s="4" t="s">
        <v>91</v>
      </c>
      <c r="D7" s="5">
        <v>10000.0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6" t="s">
        <v>68</v>
      </c>
      <c r="C8" s="6" t="s">
        <v>91</v>
      </c>
      <c r="D8" s="7">
        <v>1.4E7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6" t="s">
        <v>92</v>
      </c>
      <c r="C9" s="6" t="s">
        <v>91</v>
      </c>
      <c r="D9" s="7">
        <v>10000.0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2" width="12.63"/>
  </cols>
  <sheetData>
    <row r="5" ht="15.75" customHeight="1">
      <c r="A5" s="8" t="s">
        <v>0</v>
      </c>
      <c r="B5" s="8" t="s">
        <v>93</v>
      </c>
      <c r="C5" s="8" t="s">
        <v>94</v>
      </c>
      <c r="D5" s="8" t="s">
        <v>95</v>
      </c>
      <c r="E5" s="8" t="s">
        <v>96</v>
      </c>
      <c r="F5" s="8" t="s">
        <v>9</v>
      </c>
      <c r="G5" s="8" t="s">
        <v>97</v>
      </c>
      <c r="H5" s="8" t="s">
        <v>98</v>
      </c>
      <c r="I5" s="8" t="s">
        <v>99</v>
      </c>
      <c r="J5" s="8" t="s">
        <v>50</v>
      </c>
      <c r="K5" s="8" t="s">
        <v>100</v>
      </c>
      <c r="L5" s="8" t="s">
        <v>101</v>
      </c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5.75" customHeight="1">
      <c r="A6" s="4"/>
      <c r="B6" s="4" t="s">
        <v>62</v>
      </c>
      <c r="C6" s="4" t="s">
        <v>102</v>
      </c>
      <c r="D6" s="4" t="s">
        <v>103</v>
      </c>
      <c r="E6" s="5">
        <v>0.0</v>
      </c>
      <c r="F6" s="4"/>
      <c r="G6" s="4" t="s">
        <v>104</v>
      </c>
      <c r="H6" s="4" t="s">
        <v>105</v>
      </c>
      <c r="I6" s="11" t="s">
        <v>106</v>
      </c>
      <c r="K6" s="4" t="s">
        <v>104</v>
      </c>
      <c r="L6" s="4"/>
      <c r="M6" s="4"/>
      <c r="N6" s="4"/>
      <c r="O6" s="4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0" width="12.63"/>
  </cols>
  <sheetData>
    <row r="5" ht="15.75" customHeight="1">
      <c r="A5" s="8" t="s">
        <v>0</v>
      </c>
      <c r="B5" s="8" t="s">
        <v>107</v>
      </c>
      <c r="C5" s="8" t="s">
        <v>108</v>
      </c>
      <c r="D5" s="8" t="s">
        <v>109</v>
      </c>
      <c r="E5" s="8" t="s">
        <v>110</v>
      </c>
      <c r="F5" s="8" t="s">
        <v>111</v>
      </c>
      <c r="G5" s="8" t="s">
        <v>112</v>
      </c>
      <c r="H5" s="8" t="s">
        <v>113</v>
      </c>
      <c r="I5" s="8" t="s">
        <v>114</v>
      </c>
      <c r="J5" s="8" t="s">
        <v>115</v>
      </c>
      <c r="K5" s="8" t="s">
        <v>116</v>
      </c>
      <c r="L5" s="8" t="s">
        <v>117</v>
      </c>
      <c r="M5" s="8" t="s">
        <v>118</v>
      </c>
      <c r="N5" s="8" t="s">
        <v>119</v>
      </c>
      <c r="O5" s="8" t="s">
        <v>120</v>
      </c>
      <c r="P5" s="8" t="s">
        <v>121</v>
      </c>
      <c r="Q5" s="8" t="s">
        <v>122</v>
      </c>
      <c r="R5" s="8" t="s">
        <v>2</v>
      </c>
      <c r="S5" s="8" t="s">
        <v>100</v>
      </c>
      <c r="T5" s="9" t="s">
        <v>123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5.75" customHeight="1">
      <c r="A6" s="4"/>
      <c r="B6" s="4"/>
      <c r="C6" s="12"/>
      <c r="D6" s="12">
        <v>0.0</v>
      </c>
      <c r="E6" s="12">
        <v>0.0</v>
      </c>
      <c r="F6" s="12">
        <v>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1.0</v>
      </c>
      <c r="N6" s="4"/>
      <c r="O6" s="4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2" width="12.63"/>
  </cols>
  <sheetData>
    <row r="5" ht="15.75" customHeight="1">
      <c r="A5" s="8" t="s">
        <v>0</v>
      </c>
      <c r="B5" s="8" t="s">
        <v>93</v>
      </c>
      <c r="C5" s="8" t="s">
        <v>94</v>
      </c>
      <c r="D5" s="8" t="s">
        <v>95</v>
      </c>
      <c r="E5" s="8" t="s">
        <v>96</v>
      </c>
      <c r="F5" s="8" t="s">
        <v>9</v>
      </c>
      <c r="G5" s="8" t="s">
        <v>97</v>
      </c>
      <c r="H5" s="8" t="s">
        <v>98</v>
      </c>
      <c r="I5" s="8" t="s">
        <v>99</v>
      </c>
      <c r="J5" s="8" t="s">
        <v>50</v>
      </c>
      <c r="K5" s="8" t="s">
        <v>100</v>
      </c>
      <c r="L5" s="8" t="s">
        <v>101</v>
      </c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5.75" customHeight="1">
      <c r="A6" s="6"/>
      <c r="B6" s="3" t="s">
        <v>66</v>
      </c>
      <c r="C6" s="3" t="s">
        <v>102</v>
      </c>
      <c r="D6" s="6" t="s">
        <v>103</v>
      </c>
      <c r="E6" s="7">
        <v>25.0</v>
      </c>
      <c r="F6" s="6"/>
      <c r="G6" s="6" t="s">
        <v>104</v>
      </c>
      <c r="H6" s="6" t="s">
        <v>105</v>
      </c>
      <c r="I6" s="6" t="s">
        <v>106</v>
      </c>
      <c r="J6" s="6"/>
      <c r="K6" s="6" t="s">
        <v>104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0" width="12.63"/>
  </cols>
  <sheetData>
    <row r="5" ht="15.75" customHeight="1">
      <c r="A5" s="8" t="s">
        <v>0</v>
      </c>
      <c r="B5" s="8" t="s">
        <v>107</v>
      </c>
      <c r="C5" s="8" t="s">
        <v>108</v>
      </c>
      <c r="D5" s="8" t="s">
        <v>109</v>
      </c>
      <c r="E5" s="8" t="s">
        <v>110</v>
      </c>
      <c r="F5" s="8" t="s">
        <v>111</v>
      </c>
      <c r="G5" s="8" t="s">
        <v>112</v>
      </c>
      <c r="H5" s="8" t="s">
        <v>113</v>
      </c>
      <c r="I5" s="8" t="s">
        <v>114</v>
      </c>
      <c r="J5" s="8" t="s">
        <v>115</v>
      </c>
      <c r="K5" s="8" t="s">
        <v>116</v>
      </c>
      <c r="L5" s="8" t="s">
        <v>117</v>
      </c>
      <c r="M5" s="8" t="s">
        <v>118</v>
      </c>
      <c r="N5" s="8" t="s">
        <v>119</v>
      </c>
      <c r="O5" s="8" t="s">
        <v>120</v>
      </c>
      <c r="P5" s="8" t="s">
        <v>121</v>
      </c>
      <c r="Q5" s="8" t="s">
        <v>122</v>
      </c>
      <c r="R5" s="8" t="s">
        <v>2</v>
      </c>
      <c r="S5" s="8" t="s">
        <v>100</v>
      </c>
      <c r="T5" s="9" t="s">
        <v>123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5.75" customHeight="1">
      <c r="A6" s="6"/>
      <c r="B6" s="6"/>
      <c r="C6" s="6"/>
      <c r="D6" s="12">
        <v>-99900.0</v>
      </c>
      <c r="E6" s="12">
        <v>1.3986E7</v>
      </c>
      <c r="F6" s="12">
        <v>6660.0</v>
      </c>
      <c r="G6" s="12">
        <v>-6635.0</v>
      </c>
      <c r="H6" s="12">
        <v>25.0</v>
      </c>
      <c r="I6" s="12">
        <v>99525.0</v>
      </c>
      <c r="J6" s="12">
        <v>-375.0</v>
      </c>
      <c r="K6" s="12">
        <v>52500.0</v>
      </c>
      <c r="L6" s="12">
        <v>100.0</v>
      </c>
      <c r="M6" s="12">
        <v>1.0</v>
      </c>
      <c r="N6" s="6"/>
      <c r="O6" s="6"/>
      <c r="P6" s="6"/>
      <c r="Q6" s="6"/>
      <c r="R6" s="13" t="s">
        <v>124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2" width="12.63"/>
  </cols>
  <sheetData>
    <row r="5" ht="15.75" customHeight="1">
      <c r="A5" s="8" t="s">
        <v>0</v>
      </c>
      <c r="B5" s="8" t="s">
        <v>93</v>
      </c>
      <c r="C5" s="8" t="s">
        <v>94</v>
      </c>
      <c r="D5" s="8" t="s">
        <v>95</v>
      </c>
      <c r="E5" s="8" t="s">
        <v>96</v>
      </c>
      <c r="F5" s="8" t="s">
        <v>9</v>
      </c>
      <c r="G5" s="8" t="s">
        <v>97</v>
      </c>
      <c r="H5" s="8" t="s">
        <v>98</v>
      </c>
      <c r="I5" s="8" t="s">
        <v>99</v>
      </c>
      <c r="J5" s="8" t="s">
        <v>50</v>
      </c>
      <c r="K5" s="8" t="s">
        <v>100</v>
      </c>
      <c r="L5" s="8" t="s">
        <v>101</v>
      </c>
      <c r="M5" s="8"/>
      <c r="N5" s="8"/>
      <c r="O5" s="8"/>
      <c r="P5" s="8"/>
      <c r="Q5" s="8"/>
      <c r="R5" s="8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ht="15.75" customHeight="1">
      <c r="A6" s="6"/>
      <c r="B6" s="6" t="s">
        <v>66</v>
      </c>
      <c r="C6" s="6" t="s">
        <v>125</v>
      </c>
      <c r="D6" s="6" t="s">
        <v>103</v>
      </c>
      <c r="E6" s="7">
        <v>25.0</v>
      </c>
      <c r="F6" s="6"/>
      <c r="G6" s="6" t="s">
        <v>104</v>
      </c>
      <c r="H6" s="6" t="s">
        <v>105</v>
      </c>
      <c r="I6" s="6" t="s">
        <v>106</v>
      </c>
      <c r="J6" s="6"/>
      <c r="K6" s="6" t="s">
        <v>104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0" width="12.63"/>
  </cols>
  <sheetData>
    <row r="5" ht="15.75" customHeight="1">
      <c r="A5" s="8" t="s">
        <v>0</v>
      </c>
      <c r="B5" s="8" t="s">
        <v>107</v>
      </c>
      <c r="C5" s="8" t="s">
        <v>108</v>
      </c>
      <c r="D5" s="8" t="s">
        <v>109</v>
      </c>
      <c r="E5" s="8" t="s">
        <v>110</v>
      </c>
      <c r="F5" s="8" t="s">
        <v>111</v>
      </c>
      <c r="G5" s="8" t="s">
        <v>112</v>
      </c>
      <c r="H5" s="8" t="s">
        <v>113</v>
      </c>
      <c r="I5" s="8" t="s">
        <v>114</v>
      </c>
      <c r="J5" s="8" t="s">
        <v>115</v>
      </c>
      <c r="K5" s="8" t="s">
        <v>116</v>
      </c>
      <c r="L5" s="8" t="s">
        <v>117</v>
      </c>
      <c r="M5" s="8" t="s">
        <v>118</v>
      </c>
      <c r="N5" s="8" t="s">
        <v>119</v>
      </c>
      <c r="O5" s="8" t="s">
        <v>120</v>
      </c>
      <c r="P5" s="8" t="s">
        <v>121</v>
      </c>
      <c r="Q5" s="8" t="s">
        <v>122</v>
      </c>
      <c r="R5" s="8" t="s">
        <v>2</v>
      </c>
      <c r="S5" s="8" t="s">
        <v>100</v>
      </c>
      <c r="T5" s="9" t="s">
        <v>123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ht="15.75" customHeight="1">
      <c r="A6" s="6"/>
      <c r="B6" s="6"/>
      <c r="C6" s="6"/>
      <c r="D6" s="12">
        <v>-99900.0</v>
      </c>
      <c r="E6" s="12">
        <v>1.3986E7</v>
      </c>
      <c r="F6" s="12">
        <v>6660.0</v>
      </c>
      <c r="G6" s="12">
        <v>25.0</v>
      </c>
      <c r="H6" s="12">
        <v>6685.0</v>
      </c>
      <c r="I6" s="12">
        <v>375.0</v>
      </c>
      <c r="J6" s="12">
        <v>-100275.0</v>
      </c>
      <c r="K6" s="12">
        <v>1.40385E7</v>
      </c>
      <c r="L6" s="12">
        <v>100.0</v>
      </c>
      <c r="M6" s="12">
        <v>1.0</v>
      </c>
      <c r="N6" s="6"/>
      <c r="O6" s="6"/>
      <c r="P6" s="6"/>
      <c r="Q6" s="6"/>
      <c r="R6" s="13" t="s">
        <v>67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