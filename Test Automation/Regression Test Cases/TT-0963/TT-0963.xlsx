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CompliancePreference" sheetId="4" r:id="rId6"/>
    <sheet state="visible" name="CustomOrderTT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SelectTradeOnOrderGrid" sheetId="9" r:id="rId11"/>
    <sheet state="visible" name="CancelSubOrder" sheetId="10" r:id="rId12"/>
    <sheet state="visible" name="VerifySubOrder" sheetId="11" r:id="rId13"/>
    <sheet state="visible" name="VerifyWorkingSubs" sheetId="12" r:id="rId14"/>
  </sheets>
  <definedNames/>
  <calcPr/>
</workbook>
</file>

<file path=xl/sharedStrings.xml><?xml version="1.0" encoding="utf-8"?>
<sst xmlns="http://schemas.openxmlformats.org/spreadsheetml/2006/main" count="392" uniqueCount="52">
  <si>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</si>
  <si>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</si>
  <si>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</si>
  <si>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</si>
  <si>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</si>
  <si>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</si>
  <si>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</si>
  <si>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</si>
  <si>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</si>
  <si>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</si>
  <si>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</si>
  <si>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</si>
  <si>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</si>
  <si>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SetTTCompliancePreference</t>
  </si>
  <si>
    <t>Data Format</t>
  </si>
  <si>
    <t>Input Format</t>
  </si>
  <si>
    <t>True</t>
  </si>
  <si>
    <t>CustomOrderTT</t>
  </si>
  <si>
    <t>IBM</t>
  </si>
  <si>
    <t>Send</t>
  </si>
  <si>
    <t>Buy</t>
  </si>
  <si>
    <t>Good Till Date</t>
  </si>
  <si>
    <t>Limit</t>
  </si>
  <si>
    <t>Simulator</t>
  </si>
  <si>
    <t>SelectTrade</t>
  </si>
  <si>
    <t>AcknowledgeTrade</t>
  </si>
  <si>
    <t>ExecuteTrade</t>
  </si>
  <si>
    <t>Blotter</t>
  </si>
  <si>
    <t>SelectTradeOnOrderGrid</t>
  </si>
  <si>
    <t>CancelSubOrder</t>
  </si>
  <si>
    <t>VerifySubOrder</t>
  </si>
  <si>
    <t/>
  </si>
  <si>
    <t>IBM US EQUITY</t>
  </si>
  <si>
    <t>NASDAQ</t>
  </si>
  <si>
    <t>jpearce</t>
  </si>
  <si>
    <t>US</t>
  </si>
  <si>
    <t>GCCAP1</t>
  </si>
  <si>
    <t>USD</t>
  </si>
  <si>
    <t>NONE</t>
  </si>
  <si>
    <t>NewMF</t>
  </si>
  <si>
    <t>DefaultNotes</t>
  </si>
  <si>
    <t>M</t>
  </si>
  <si>
    <t>Equity</t>
  </si>
  <si>
    <t>PartiallyFilled</t>
  </si>
  <si>
    <t>MS</t>
  </si>
  <si>
    <t>Allocation1</t>
  </si>
  <si>
    <t>Manual</t>
  </si>
  <si>
    <t>VerifyWorkingSubs</t>
  </si>
  <si>
    <t>PendingCancel</t>
  </si>
  <si>
    <t>N.A.</t>
  </si>
  <si>
    <t>ALLOCATED</t>
  </si>
  <si>
    <t>Strategy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</si>
</sst>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IFERROR(__xludf.DUMMYFUNCTION("""COMPUTED_VALUE"""),"PopUpTargetQty")</f>
        <v>PopUpTargetQty</v>
      </c>
      <c r="C5" s="28" t="str">
        <f>IFERROR(__xludf.DUMMYFUNCTION("""COMPUTED_VALUE"""),"PopUpNewOrder")</f>
        <v>PopUpNewOrder</v>
      </c>
      <c r="D5" s="28" t="str">
        <f>IFERROR(__xludf.DUMMYFUNCTION("""COMPUTED_VALUE"""),"PopUpCXL")</f>
        <v>PopUpCXL</v>
      </c>
      <c r="E5" s="28" t="str">
        <f>IFERROR(__xludf.DUMMYFUNCTION("""COMPUTED_VALUE"""),"PopUpReplace")</f>
        <v>PopUpReplace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SetTTCompliancePreference!$4:$4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18</v>
      </c>
      <c r="C6" s="34">
        <v>100.0</v>
      </c>
      <c r="D6" s="35">
        <v>100.0</v>
      </c>
      <c r="E6" s="36" t="s">
        <v>19</v>
      </c>
      <c r="F6" s="37" t="b">
        <v>1</v>
      </c>
      <c r="G6" s="38"/>
      <c r="H6" s="38"/>
      <c r="I6" s="38"/>
      <c r="J6" s="36" t="s">
        <v>20</v>
      </c>
      <c r="K6" s="38"/>
      <c r="L6" s="38"/>
      <c r="M6" s="38"/>
      <c r="N6" s="38"/>
      <c r="O6" s="38"/>
      <c r="P6" s="38"/>
      <c r="Q6" s="38"/>
      <c r="R6" s="38"/>
      <c r="S6" s="38"/>
      <c r="T6" s="38"/>
      <c r="U6" s="38" t="s">
        <v>21</v>
      </c>
      <c r="V6" s="38" t="s">
        <v>22</v>
      </c>
      <c r="W6" s="38"/>
      <c r="X6" s="39">
        <v>100.0</v>
      </c>
      <c r="Y6" s="40">
        <f>today()+1</f>
        <v>45827</v>
      </c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4.2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50.0</v>
      </c>
      <c r="C6" s="13">
        <v>10.0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18</v>
      </c>
      <c r="E6" s="31"/>
      <c r="F6" s="13" t="s">
        <v>20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 t="str">
        <f>IFERROR(__xludf.DUMMYFUNCTION("""COMPUTED_VALUE"""),"CancelOrderPopup(Yes/No)")</f>
        <v>CancelOrderPopup(Yes/No)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18</v>
      </c>
      <c r="AJ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  <c r="AM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  <c r="AMM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  <c r="AMM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  <c r="AMM5" s="30"/>
    </row>
    <row r="6" ht="15.75" customHeight="1">
      <c r="A6" s="41" t="s">
        <v>31</v>
      </c>
      <c r="B6" s="41"/>
      <c r="C6" s="8"/>
      <c r="D6" s="41">
        <v>50.0</v>
      </c>
      <c r="E6" s="8" t="s">
        <v>32</v>
      </c>
      <c r="F6" s="8">
        <v>100.0</v>
      </c>
      <c r="G6" s="8">
        <v>90.0</v>
      </c>
      <c r="H6" s="8" t="s">
        <v>33</v>
      </c>
      <c r="I6" s="8" t="s">
        <v>34</v>
      </c>
      <c r="J6" s="8" t="s">
        <v>18</v>
      </c>
      <c r="K6" s="8" t="s">
        <v>35</v>
      </c>
      <c r="L6" s="8" t="s">
        <v>36</v>
      </c>
      <c r="M6" s="8" t="s">
        <v>31</v>
      </c>
      <c r="N6" s="8" t="s">
        <v>31</v>
      </c>
      <c r="O6" s="8" t="s">
        <v>31</v>
      </c>
      <c r="P6" t="s">
        <v>31</v>
      </c>
      <c r="Q6" t="s">
        <v>31</v>
      </c>
      <c r="R6" t="s">
        <v>31</v>
      </c>
      <c r="U6" t="s">
        <v>37</v>
      </c>
      <c r="V6" t="s">
        <v>38</v>
      </c>
      <c r="AA6" t="s">
        <v>39</v>
      </c>
      <c r="AB6">
        <v>10.0</v>
      </c>
      <c r="AC6" t="s">
        <v>40</v>
      </c>
      <c r="AD6">
        <v>1.0</v>
      </c>
      <c r="AF6" t="s">
        <v>41</v>
      </c>
      <c r="AG6">
        <v>50.0</v>
      </c>
      <c r="AH6" t="s">
        <v>42</v>
      </c>
      <c r="AI6" t="s">
        <v>18</v>
      </c>
      <c r="AJ6" t="s">
        <v>20</v>
      </c>
      <c r="AK6" t="s">
        <v>43</v>
      </c>
      <c r="AM6" t="s">
        <v>31</v>
      </c>
      <c r="AN6">
        <v>10.0</v>
      </c>
      <c r="AO6">
        <v>50.0</v>
      </c>
      <c r="AP6">
        <v>50.0</v>
      </c>
      <c r="AQ6" t="s">
        <v>44</v>
      </c>
      <c r="AR6" t="s">
        <v>45</v>
      </c>
      <c r="AS6" t="s">
        <v>22</v>
      </c>
      <c r="AT6">
        <v>500.0</v>
      </c>
      <c r="AU6">
        <v>500.0</v>
      </c>
      <c r="AV6" t="s">
        <v>46</v>
      </c>
      <c r="AW6" t="s">
        <v>31</v>
      </c>
      <c r="AX6" t="s">
        <v>31</v>
      </c>
      <c r="AY6" t="s">
        <v>31</v>
      </c>
      <c r="AZ6" t="s">
        <v>34</v>
      </c>
      <c r="BA6" t="s">
        <v>31</v>
      </c>
      <c r="BB6" t="s">
        <v>31</v>
      </c>
      <c r="BD6" t="s">
        <v>31</v>
      </c>
      <c r="BE6" t="s">
        <v>31</v>
      </c>
      <c r="BF6" t="s">
        <v>31</v>
      </c>
      <c r="BG6" t="s">
        <v>31</v>
      </c>
      <c r="BH6" t="s">
        <v>31</v>
      </c>
      <c r="BI6" t="s">
        <v>31</v>
      </c>
      <c r="BJ6" t="s">
        <v>31</v>
      </c>
      <c r="BK6" t="s">
        <v>31</v>
      </c>
      <c r="BL6" t="s">
        <v>31</v>
      </c>
      <c r="BM6" t="s">
        <v>31</v>
      </c>
      <c r="BN6" t="s">
        <v>31</v>
      </c>
      <c r="BO6" t="s">
        <v>31</v>
      </c>
      <c r="BP6" t="s">
        <v>31</v>
      </c>
      <c r="BQ6" t="s">
        <v>31</v>
      </c>
      <c r="BR6" t="s">
        <v>31</v>
      </c>
      <c r="BS6" t="s">
        <v>31</v>
      </c>
      <c r="BT6" t="s">
        <v>31</v>
      </c>
      <c r="BU6" t="s">
        <v>31</v>
      </c>
      <c r="BV6" t="s">
        <v>31</v>
      </c>
      <c r="BW6" t="s">
        <v>31</v>
      </c>
      <c r="BX6" t="s">
        <v>31</v>
      </c>
      <c r="BY6" t="s">
        <v>31</v>
      </c>
      <c r="BZ6" t="s">
        <v>31</v>
      </c>
      <c r="CA6" t="s">
        <v>31</v>
      </c>
      <c r="CB6" t="s">
        <v>31</v>
      </c>
      <c r="CC6" t="s">
        <v>31</v>
      </c>
      <c r="CD6" t="s">
        <v>31</v>
      </c>
      <c r="CE6" t="s">
        <v>31</v>
      </c>
      <c r="CF6" t="s">
        <v>31</v>
      </c>
      <c r="CG6" t="s">
        <v>31</v>
      </c>
      <c r="CH6" t="s">
        <v>31</v>
      </c>
      <c r="CI6" t="s">
        <v>31</v>
      </c>
      <c r="CJ6" t="s">
        <v>31</v>
      </c>
      <c r="CK6" t="s">
        <v>31</v>
      </c>
      <c r="CL6" t="s">
        <v>31</v>
      </c>
      <c r="CM6" t="s">
        <v>31</v>
      </c>
      <c r="CN6" t="s">
        <v>31</v>
      </c>
      <c r="CO6" t="s">
        <v>31</v>
      </c>
      <c r="CP6" t="s">
        <v>31</v>
      </c>
      <c r="CQ6" t="s">
        <v>31</v>
      </c>
      <c r="CR6" t="s">
        <v>31</v>
      </c>
      <c r="CS6" t="s">
        <v>31</v>
      </c>
      <c r="CT6" t="s">
        <v>31</v>
      </c>
      <c r="CU6" t="s">
        <v>31</v>
      </c>
      <c r="CV6" t="s">
        <v>31</v>
      </c>
      <c r="CW6" t="s">
        <v>31</v>
      </c>
      <c r="CX6" t="s">
        <v>31</v>
      </c>
      <c r="CY6" t="s">
        <v>31</v>
      </c>
      <c r="CZ6" t="s">
        <v>31</v>
      </c>
      <c r="DA6" t="s">
        <v>31</v>
      </c>
      <c r="DB6" t="s">
        <v>31</v>
      </c>
      <c r="DC6" t="s">
        <v>31</v>
      </c>
      <c r="DD6" t="s">
        <v>31</v>
      </c>
      <c r="DE6" t="s">
        <v>31</v>
      </c>
      <c r="DF6" t="s">
        <v>31</v>
      </c>
      <c r="DG6" t="s">
        <v>31</v>
      </c>
      <c r="DH6" t="s">
        <v>31</v>
      </c>
      <c r="DI6" t="s">
        <v>31</v>
      </c>
      <c r="DJ6" t="s">
        <v>31</v>
      </c>
      <c r="DK6" t="s">
        <v>31</v>
      </c>
      <c r="DL6" t="s">
        <v>31</v>
      </c>
      <c r="DM6" t="s">
        <v>31</v>
      </c>
      <c r="DN6" t="s">
        <v>31</v>
      </c>
      <c r="DO6" t="s">
        <v>31</v>
      </c>
      <c r="DP6" t="s">
        <v>31</v>
      </c>
      <c r="DQ6" t="s">
        <v>31</v>
      </c>
      <c r="DR6" t="s">
        <v>31</v>
      </c>
      <c r="DS6" t="s">
        <v>31</v>
      </c>
      <c r="DT6" t="s">
        <v>31</v>
      </c>
      <c r="DU6" t="s">
        <v>31</v>
      </c>
      <c r="DV6" t="s">
        <v>31</v>
      </c>
      <c r="DW6" t="s">
        <v>31</v>
      </c>
      <c r="DX6" t="s">
        <v>31</v>
      </c>
      <c r="DY6" t="s">
        <v>31</v>
      </c>
      <c r="DZ6" t="s">
        <v>31</v>
      </c>
      <c r="EA6" t="s">
        <v>31</v>
      </c>
      <c r="EB6" t="s">
        <v>31</v>
      </c>
      <c r="EC6" t="s">
        <v>31</v>
      </c>
      <c r="ED6" t="s">
        <v>31</v>
      </c>
      <c r="EE6" t="s">
        <v>31</v>
      </c>
      <c r="EF6" t="s">
        <v>31</v>
      </c>
      <c r="EG6" t="s">
        <v>31</v>
      </c>
      <c r="EH6" t="s">
        <v>31</v>
      </c>
      <c r="EI6" t="s">
        <v>31</v>
      </c>
      <c r="EJ6" t="s">
        <v>31</v>
      </c>
      <c r="EK6" t="s">
        <v>31</v>
      </c>
      <c r="EL6" t="s">
        <v>31</v>
      </c>
      <c r="EM6" t="s">
        <v>31</v>
      </c>
      <c r="EN6" t="s">
        <v>31</v>
      </c>
      <c r="EO6" t="s">
        <v>31</v>
      </c>
      <c r="EP6" t="s">
        <v>31</v>
      </c>
      <c r="EQ6" t="s">
        <v>31</v>
      </c>
      <c r="ER6" t="s">
        <v>31</v>
      </c>
      <c r="ES6" t="s">
        <v>31</v>
      </c>
      <c r="ET6" t="s">
        <v>31</v>
      </c>
      <c r="EU6" t="s">
        <v>31</v>
      </c>
      <c r="EV6" t="s">
        <v>31</v>
      </c>
      <c r="EW6" t="s">
        <v>31</v>
      </c>
      <c r="EX6" t="s">
        <v>31</v>
      </c>
      <c r="EY6" t="s">
        <v>31</v>
      </c>
      <c r="EZ6" t="s">
        <v>31</v>
      </c>
      <c r="FA6" t="s">
        <v>31</v>
      </c>
      <c r="FB6" t="s">
        <v>31</v>
      </c>
      <c r="FC6" t="s">
        <v>31</v>
      </c>
      <c r="FD6" t="s">
        <v>31</v>
      </c>
      <c r="FE6" t="s">
        <v>31</v>
      </c>
      <c r="FF6" t="s">
        <v>31</v>
      </c>
      <c r="FG6" t="s">
        <v>31</v>
      </c>
      <c r="FH6" t="s">
        <v>31</v>
      </c>
      <c r="FI6" t="s">
        <v>31</v>
      </c>
      <c r="FJ6" t="s">
        <v>31</v>
      </c>
      <c r="FK6" t="s">
        <v>31</v>
      </c>
      <c r="FL6" t="s">
        <v>31</v>
      </c>
      <c r="FM6" t="s">
        <v>31</v>
      </c>
      <c r="FN6" t="s">
        <v>31</v>
      </c>
      <c r="FO6" t="s">
        <v>31</v>
      </c>
      <c r="FP6" t="s">
        <v>31</v>
      </c>
      <c r="FQ6" t="s">
        <v>31</v>
      </c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  <c r="AML6" s="42"/>
      <c r="AMM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  <c r="AM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  <c r="AMM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  <c r="AMM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 t="str">
        <f>IFERROR(__xludf.DUMMYFUNCTION("""COMPUTED_VALUE"""),"% Completed")</f>
        <v>% Completed</v>
      </c>
      <c r="BD5" s="30" t="str">
        <f>IFERROR(__xludf.DUMMYFUNCTION("""COMPUTED_VALUE"""),"isRowCountCheck")</f>
        <v>isRowCountCheck</v>
      </c>
      <c r="BE5" s="30" t="str">
        <f>IFERROR(__xludf.DUMMYFUNCTION("""COMPUTED_VALUE"""),"MandatoryColumn")</f>
        <v>MandatoryColumn</v>
      </c>
      <c r="BF5" s="30" t="str">
        <f>IFERROR(__xludf.DUMMYFUNCTION("""COMPUTED_VALUE"""),"Testing Type")</f>
        <v>Testing Type</v>
      </c>
      <c r="BG5" s="30" t="str">
        <f>IFERROR(__xludf.DUMMYFUNCTION("""COMPUTED_VALUE"""),"Testing Column")</f>
        <v>Testing Column</v>
      </c>
      <c r="BH5" s="30" t="str">
        <f>IFERROR(__xludf.DUMMYFUNCTION("""COMPUTED_VALUE"""),"Testing Col Value")</f>
        <v>Testing Col Value</v>
      </c>
      <c r="BI5" s="30" t="str">
        <f>IFERROR(__xludf.DUMMYFUNCTION("""COMPUTED_VALUE"""),"DuplicateRow")</f>
        <v>DuplicateRow</v>
      </c>
      <c r="BJ5" s="30" t="str">
        <f>IFERROR(__xludf.DUMMYFUNCTION("""COMPUTED_VALUE"""),"DuplicateCountOnUI")</f>
        <v>DuplicateCountOnUI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  <c r="AMM5" s="30"/>
    </row>
    <row r="6" ht="15.75" customHeight="1">
      <c r="A6" s="32" t="s">
        <v>31</v>
      </c>
      <c r="B6" s="32" t="s">
        <v>18</v>
      </c>
      <c r="C6" s="38" t="s">
        <v>20</v>
      </c>
      <c r="D6" s="32">
        <v>100.0</v>
      </c>
      <c r="E6" s="38">
        <v>10.0</v>
      </c>
      <c r="F6" s="38">
        <v>90.0</v>
      </c>
      <c r="G6" s="38" t="s">
        <v>48</v>
      </c>
      <c r="H6" s="39">
        <v>10.0</v>
      </c>
      <c r="I6" s="39">
        <v>50.0</v>
      </c>
      <c r="J6" s="39">
        <v>50.0</v>
      </c>
      <c r="K6" s="38" t="s">
        <v>44</v>
      </c>
      <c r="L6" s="38" t="s">
        <v>45</v>
      </c>
      <c r="M6" s="38" t="s">
        <v>22</v>
      </c>
      <c r="N6" s="38" t="s">
        <v>31</v>
      </c>
      <c r="O6" s="39">
        <v>50.0</v>
      </c>
      <c r="P6" s="39">
        <v>100.0</v>
      </c>
      <c r="Q6" s="39"/>
      <c r="R6" s="38" t="s">
        <v>34</v>
      </c>
      <c r="S6" s="38" t="s">
        <v>32</v>
      </c>
      <c r="T6" s="38" t="s">
        <v>49</v>
      </c>
      <c r="U6" s="38" t="s">
        <v>46</v>
      </c>
      <c r="V6" s="38" t="s">
        <v>50</v>
      </c>
      <c r="W6" s="38" t="s">
        <v>42</v>
      </c>
      <c r="X6" s="38" t="s">
        <v>41</v>
      </c>
      <c r="Y6" s="39">
        <v>1.0</v>
      </c>
      <c r="Z6" s="38" t="s">
        <v>31</v>
      </c>
      <c r="AA6" s="38" t="s">
        <v>40</v>
      </c>
      <c r="AB6" s="39" t="s">
        <v>31</v>
      </c>
      <c r="AC6" s="39">
        <v>500.0</v>
      </c>
      <c r="AD6" s="39">
        <v>500.0</v>
      </c>
      <c r="AE6" s="39"/>
      <c r="AF6" s="38" t="s">
        <v>38</v>
      </c>
      <c r="AG6" s="38" t="s">
        <v>37</v>
      </c>
      <c r="AH6" s="38" t="s">
        <v>31</v>
      </c>
      <c r="AI6" s="38" t="s">
        <v>48</v>
      </c>
      <c r="AJ6" s="38" t="s">
        <v>51</v>
      </c>
      <c r="AK6" s="39"/>
      <c r="AL6" s="38" t="s">
        <v>31</v>
      </c>
      <c r="AM6" s="38" t="s">
        <v>31</v>
      </c>
      <c r="AN6" s="38" t="s">
        <v>31</v>
      </c>
      <c r="AO6" s="38" t="s">
        <v>31</v>
      </c>
      <c r="AP6" s="38" t="s">
        <v>31</v>
      </c>
      <c r="AQ6" s="38" t="s">
        <v>31</v>
      </c>
      <c r="AR6" s="38" t="s">
        <v>36</v>
      </c>
      <c r="AS6" s="39"/>
      <c r="AT6" s="38" t="s">
        <v>31</v>
      </c>
      <c r="AU6" s="38" t="s">
        <v>18</v>
      </c>
      <c r="AV6" s="38" t="s">
        <v>33</v>
      </c>
      <c r="AW6" s="39">
        <v>90.0</v>
      </c>
      <c r="AX6" s="38" t="s">
        <v>31</v>
      </c>
      <c r="AY6" s="38" t="s">
        <v>31</v>
      </c>
      <c r="AZ6" s="38" t="s">
        <v>31</v>
      </c>
      <c r="BA6" s="38"/>
      <c r="BB6" s="38" t="s">
        <v>34</v>
      </c>
      <c r="BC6" s="38">
        <v>10.0</v>
      </c>
      <c r="BD6" s="38" t="s">
        <v>31</v>
      </c>
      <c r="BE6" s="38" t="s">
        <v>31</v>
      </c>
      <c r="BF6" s="38" t="s">
        <v>31</v>
      </c>
      <c r="BG6" s="38" t="s">
        <v>31</v>
      </c>
      <c r="BH6" s="38" t="s">
        <v>31</v>
      </c>
      <c r="BI6" s="38" t="s">
        <v>31</v>
      </c>
      <c r="BJ6" s="38" t="s">
        <v>31</v>
      </c>
      <c r="BK6" s="38" t="s">
        <v>31</v>
      </c>
      <c r="BL6" s="38" t="s">
        <v>31</v>
      </c>
      <c r="BM6" s="38" t="s">
        <v>31</v>
      </c>
      <c r="BN6" s="38" t="s">
        <v>31</v>
      </c>
      <c r="BO6" s="38" t="s">
        <v>31</v>
      </c>
      <c r="BP6" s="38" t="s">
        <v>31</v>
      </c>
      <c r="BQ6" s="38" t="s">
        <v>31</v>
      </c>
      <c r="BR6" s="38" t="s">
        <v>31</v>
      </c>
      <c r="BS6" s="38" t="s">
        <v>31</v>
      </c>
      <c r="BT6" s="38" t="s">
        <v>31</v>
      </c>
      <c r="BU6" s="38" t="s">
        <v>31</v>
      </c>
      <c r="BV6" s="38" t="s">
        <v>31</v>
      </c>
      <c r="BW6" s="38" t="s">
        <v>31</v>
      </c>
      <c r="BX6" s="38" t="s">
        <v>31</v>
      </c>
      <c r="BY6" s="38" t="s">
        <v>31</v>
      </c>
      <c r="BZ6" s="38" t="s">
        <v>31</v>
      </c>
      <c r="CA6" s="38" t="s">
        <v>31</v>
      </c>
      <c r="CB6" s="38" t="s">
        <v>31</v>
      </c>
      <c r="CC6" s="38" t="s">
        <v>31</v>
      </c>
      <c r="CD6" s="38" t="s">
        <v>31</v>
      </c>
      <c r="CE6" s="38" t="s">
        <v>31</v>
      </c>
      <c r="CF6" s="38" t="s">
        <v>31</v>
      </c>
      <c r="CG6" s="38" t="s">
        <v>31</v>
      </c>
      <c r="CH6" s="38" t="s">
        <v>31</v>
      </c>
      <c r="CI6" s="38" t="s">
        <v>31</v>
      </c>
      <c r="CJ6" s="38" t="s">
        <v>31</v>
      </c>
      <c r="CK6" s="38" t="s">
        <v>31</v>
      </c>
      <c r="CL6" s="38" t="s">
        <v>31</v>
      </c>
      <c r="CM6" s="38" t="s">
        <v>31</v>
      </c>
      <c r="CN6" s="38" t="s">
        <v>31</v>
      </c>
      <c r="CO6" s="38" t="s">
        <v>31</v>
      </c>
      <c r="CP6" s="38" t="s">
        <v>31</v>
      </c>
      <c r="CQ6" s="38" t="s">
        <v>31</v>
      </c>
      <c r="CR6" s="38" t="s">
        <v>31</v>
      </c>
      <c r="CS6" s="38" t="s">
        <v>31</v>
      </c>
      <c r="CT6" s="38" t="s">
        <v>31</v>
      </c>
      <c r="CU6" s="38" t="s">
        <v>31</v>
      </c>
      <c r="CV6" s="38" t="s">
        <v>31</v>
      </c>
      <c r="CW6" s="38" t="s">
        <v>31</v>
      </c>
      <c r="CX6" s="38" t="s">
        <v>31</v>
      </c>
      <c r="CY6" s="38" t="s">
        <v>31</v>
      </c>
      <c r="CZ6" s="38" t="s">
        <v>31</v>
      </c>
      <c r="DA6" s="38" t="s">
        <v>31</v>
      </c>
      <c r="DB6" s="38" t="s">
        <v>31</v>
      </c>
      <c r="DC6" s="38" t="s">
        <v>31</v>
      </c>
      <c r="DD6" s="38" t="s">
        <v>31</v>
      </c>
      <c r="DE6" s="38" t="s">
        <v>31</v>
      </c>
      <c r="DF6" s="38" t="s">
        <v>31</v>
      </c>
      <c r="DG6" s="38" t="s">
        <v>31</v>
      </c>
      <c r="DH6" s="38" t="s">
        <v>31</v>
      </c>
      <c r="DI6" s="38" t="s">
        <v>31</v>
      </c>
      <c r="DJ6" s="38" t="s">
        <v>31</v>
      </c>
      <c r="DK6" s="38" t="s">
        <v>31</v>
      </c>
      <c r="DL6" s="38" t="s">
        <v>31</v>
      </c>
      <c r="DM6" s="38" t="s">
        <v>31</v>
      </c>
      <c r="DN6" s="38" t="s">
        <v>31</v>
      </c>
      <c r="DO6" s="38" t="s">
        <v>31</v>
      </c>
      <c r="DP6" s="38" t="s">
        <v>31</v>
      </c>
      <c r="DQ6" s="38" t="s">
        <v>31</v>
      </c>
      <c r="DR6" s="38" t="s">
        <v>31</v>
      </c>
      <c r="DS6" s="38" t="s">
        <v>31</v>
      </c>
      <c r="DT6" s="38" t="s">
        <v>31</v>
      </c>
      <c r="DU6" s="38" t="s">
        <v>31</v>
      </c>
      <c r="DV6" s="38" t="s">
        <v>31</v>
      </c>
      <c r="DW6" s="38" t="s">
        <v>31</v>
      </c>
      <c r="DX6" s="38" t="s">
        <v>31</v>
      </c>
      <c r="DY6" s="38" t="s">
        <v>31</v>
      </c>
      <c r="DZ6" s="38" t="s">
        <v>31</v>
      </c>
      <c r="EA6" s="38" t="s">
        <v>31</v>
      </c>
      <c r="EB6" s="38" t="s">
        <v>31</v>
      </c>
      <c r="EC6" s="38" t="s">
        <v>31</v>
      </c>
      <c r="ED6" s="38" t="s">
        <v>31</v>
      </c>
      <c r="EE6" s="38" t="s">
        <v>31</v>
      </c>
      <c r="EF6" s="38" t="s">
        <v>31</v>
      </c>
      <c r="EG6" s="38" t="s">
        <v>31</v>
      </c>
      <c r="EH6" s="38" t="s">
        <v>31</v>
      </c>
      <c r="EI6" s="38" t="s">
        <v>31</v>
      </c>
      <c r="EJ6" s="38" t="s">
        <v>31</v>
      </c>
      <c r="EK6" s="38" t="s">
        <v>31</v>
      </c>
      <c r="EL6" s="38" t="s">
        <v>31</v>
      </c>
      <c r="EM6" s="38" t="s">
        <v>31</v>
      </c>
      <c r="EN6" s="38" t="s">
        <v>31</v>
      </c>
      <c r="EO6" s="38" t="s">
        <v>31</v>
      </c>
      <c r="EP6" s="38" t="s">
        <v>31</v>
      </c>
      <c r="EQ6" s="38" t="s">
        <v>31</v>
      </c>
      <c r="ER6" s="38" t="s">
        <v>31</v>
      </c>
      <c r="ES6" s="38" t="s">
        <v>31</v>
      </c>
      <c r="ET6" s="38" t="s">
        <v>31</v>
      </c>
      <c r="EU6" s="38" t="s">
        <v>31</v>
      </c>
      <c r="EV6" s="38" t="s">
        <v>31</v>
      </c>
      <c r="EW6" s="38" t="s">
        <v>31</v>
      </c>
      <c r="EX6" s="38" t="s">
        <v>31</v>
      </c>
      <c r="EY6" s="38" t="s">
        <v>31</v>
      </c>
      <c r="EZ6" s="38" t="s">
        <v>31</v>
      </c>
      <c r="FA6" s="38" t="s">
        <v>31</v>
      </c>
      <c r="FB6" s="38" t="s">
        <v>31</v>
      </c>
      <c r="FC6" s="38" t="s">
        <v>31</v>
      </c>
      <c r="FD6" s="38" t="s">
        <v>31</v>
      </c>
      <c r="FE6" s="38" t="s">
        <v>31</v>
      </c>
      <c r="FF6" s="38" t="s">
        <v>31</v>
      </c>
      <c r="FG6" s="38" t="s">
        <v>31</v>
      </c>
      <c r="FH6" s="38" t="s">
        <v>31</v>
      </c>
      <c r="FI6" s="38" t="s">
        <v>31</v>
      </c>
      <c r="FJ6" s="38" t="s">
        <v>31</v>
      </c>
      <c r="FK6" s="38" t="s">
        <v>31</v>
      </c>
      <c r="FL6" s="38" t="s">
        <v>31</v>
      </c>
      <c r="FM6" s="38" t="s">
        <v>31</v>
      </c>
      <c r="FN6" s="38" t="s">
        <v>31</v>
      </c>
      <c r="FO6" s="38" t="s">
        <v>31</v>
      </c>
      <c r="FP6" s="38" t="s">
        <v>31</v>
      </c>
      <c r="FQ6" s="38" t="s">
        <v>31</v>
      </c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3"/>
      <c r="NK6" s="43"/>
      <c r="NL6" s="43"/>
      <c r="NM6" s="43"/>
      <c r="NN6" s="43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3"/>
      <c r="YB6" s="43"/>
      <c r="YC6" s="43"/>
      <c r="YD6" s="43"/>
      <c r="YE6" s="43"/>
      <c r="YF6" s="43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3"/>
      <c r="ZX6" s="43"/>
      <c r="ZY6" s="43"/>
      <c r="ZZ6" s="43"/>
      <c r="AAA6" s="43"/>
      <c r="AAB6" s="43"/>
      <c r="AAC6" s="43"/>
      <c r="AAD6" s="43"/>
      <c r="AAE6" s="43"/>
      <c r="AAF6" s="43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3"/>
      <c r="ACI6" s="43"/>
      <c r="ACJ6" s="43"/>
      <c r="ACK6" s="43"/>
      <c r="ACL6" s="43"/>
      <c r="ACM6" s="43"/>
      <c r="ACN6" s="43"/>
      <c r="ACO6" s="43"/>
      <c r="ACP6" s="43"/>
      <c r="ACQ6" s="43"/>
      <c r="ACR6" s="43"/>
      <c r="ACS6" s="43"/>
      <c r="ACT6" s="43"/>
      <c r="ACU6" s="43"/>
      <c r="ACV6" s="43"/>
      <c r="ACW6" s="43"/>
      <c r="ACX6" s="43"/>
      <c r="ACY6" s="43"/>
      <c r="ACZ6" s="43"/>
      <c r="ADA6" s="43"/>
      <c r="ADB6" s="43"/>
      <c r="ADC6" s="43"/>
      <c r="ADD6" s="43"/>
      <c r="ADE6" s="43"/>
      <c r="ADF6" s="43"/>
      <c r="ADG6" s="43"/>
      <c r="ADH6" s="43"/>
      <c r="ADI6" s="43"/>
      <c r="ADJ6" s="43"/>
      <c r="ADK6" s="43"/>
      <c r="ADL6" s="43"/>
      <c r="ADM6" s="43"/>
      <c r="ADN6" s="43"/>
      <c r="ADO6" s="43"/>
      <c r="ADP6" s="43"/>
      <c r="ADQ6" s="43"/>
      <c r="ADR6" s="43"/>
      <c r="ADS6" s="43"/>
      <c r="ADT6" s="43"/>
      <c r="ADU6" s="43"/>
      <c r="ADV6" s="43"/>
      <c r="ADW6" s="43"/>
      <c r="ADX6" s="43"/>
      <c r="ADY6" s="43"/>
      <c r="ADZ6" s="43"/>
      <c r="AEA6" s="43"/>
      <c r="AEB6" s="43"/>
      <c r="AEC6" s="43"/>
      <c r="AED6" s="43"/>
      <c r="AEE6" s="43"/>
      <c r="AEF6" s="43"/>
      <c r="AEG6" s="43"/>
      <c r="AEH6" s="43"/>
      <c r="AEI6" s="43"/>
      <c r="AEJ6" s="43"/>
      <c r="AEK6" s="43"/>
      <c r="AEL6" s="43"/>
      <c r="AEM6" s="43"/>
      <c r="AEN6" s="43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3"/>
      <c r="AFH6" s="43"/>
      <c r="AFI6" s="43"/>
      <c r="AFJ6" s="43"/>
      <c r="AFK6" s="43"/>
      <c r="AFL6" s="43"/>
      <c r="AFM6" s="43"/>
      <c r="AFN6" s="43"/>
      <c r="AFO6" s="43"/>
      <c r="AFP6" s="43"/>
      <c r="AFQ6" s="43"/>
      <c r="AFR6" s="43"/>
      <c r="AFS6" s="43"/>
      <c r="AFT6" s="43"/>
      <c r="AFU6" s="43"/>
      <c r="AFV6" s="43"/>
      <c r="AFW6" s="43"/>
      <c r="AFX6" s="43"/>
      <c r="AFY6" s="43"/>
      <c r="AFZ6" s="43"/>
      <c r="AGA6" s="43"/>
      <c r="AGB6" s="43"/>
      <c r="AGC6" s="43"/>
      <c r="AGD6" s="43"/>
      <c r="AGE6" s="43"/>
      <c r="AGF6" s="43"/>
      <c r="AGG6" s="43"/>
      <c r="AGH6" s="43"/>
      <c r="AGI6" s="43"/>
      <c r="AGJ6" s="43"/>
      <c r="AGK6" s="43"/>
      <c r="AGL6" s="43"/>
      <c r="AGM6" s="43"/>
      <c r="AGN6" s="43"/>
      <c r="AGO6" s="43"/>
      <c r="AGP6" s="43"/>
      <c r="AGQ6" s="43"/>
      <c r="AGR6" s="43"/>
      <c r="AGS6" s="43"/>
      <c r="AGT6" s="43"/>
      <c r="AGU6" s="43"/>
      <c r="AGV6" s="43"/>
      <c r="AGW6" s="43"/>
      <c r="AGX6" s="43"/>
      <c r="AGY6" s="43"/>
      <c r="AGZ6" s="43"/>
      <c r="AHA6" s="43"/>
      <c r="AHB6" s="43"/>
      <c r="AHC6" s="43"/>
      <c r="AHD6" s="43"/>
      <c r="AHE6" s="43"/>
      <c r="AHF6" s="43"/>
      <c r="AHG6" s="43"/>
      <c r="AHH6" s="43"/>
      <c r="AHI6" s="43"/>
      <c r="AHJ6" s="43"/>
      <c r="AHK6" s="43"/>
      <c r="AHL6" s="43"/>
      <c r="AHM6" s="43"/>
      <c r="AHN6" s="43"/>
      <c r="AHO6" s="43"/>
      <c r="AHP6" s="43"/>
      <c r="AHQ6" s="43"/>
      <c r="AHR6" s="43"/>
      <c r="AHS6" s="43"/>
      <c r="AHT6" s="43"/>
      <c r="AHU6" s="43"/>
      <c r="AHV6" s="43"/>
      <c r="AHW6" s="43"/>
      <c r="AHX6" s="43"/>
      <c r="AHY6" s="43"/>
      <c r="AHZ6" s="43"/>
      <c r="AIA6" s="43"/>
      <c r="AIB6" s="43"/>
      <c r="AIC6" s="43"/>
      <c r="AID6" s="43"/>
      <c r="AIE6" s="43"/>
      <c r="AIF6" s="43"/>
      <c r="AIG6" s="43"/>
      <c r="AIH6" s="43"/>
      <c r="AII6" s="43"/>
      <c r="AIJ6" s="43"/>
      <c r="AIK6" s="43"/>
      <c r="AIL6" s="43"/>
      <c r="AIM6" s="43"/>
      <c r="AIN6" s="43"/>
      <c r="AIO6" s="43"/>
      <c r="AIP6" s="43"/>
      <c r="AIQ6" s="43"/>
      <c r="AIR6" s="43"/>
      <c r="AIS6" s="43"/>
      <c r="AIT6" s="43"/>
      <c r="AIU6" s="43"/>
      <c r="AIV6" s="43"/>
      <c r="AIW6" s="43"/>
      <c r="AIX6" s="43"/>
      <c r="AIY6" s="43"/>
      <c r="AIZ6" s="43"/>
      <c r="AJA6" s="43"/>
      <c r="AJB6" s="43"/>
      <c r="AJC6" s="43"/>
      <c r="AJD6" s="43"/>
      <c r="AJE6" s="43"/>
      <c r="AJF6" s="43"/>
      <c r="AJG6" s="43"/>
      <c r="AJH6" s="43"/>
      <c r="AJI6" s="43"/>
      <c r="AJJ6" s="43"/>
      <c r="AJK6" s="43"/>
      <c r="AJL6" s="43"/>
      <c r="AJM6" s="43"/>
      <c r="AJN6" s="43"/>
      <c r="AJO6" s="43"/>
      <c r="AJP6" s="43"/>
      <c r="AJQ6" s="43"/>
      <c r="AJR6" s="43"/>
      <c r="AJS6" s="43"/>
      <c r="AJT6" s="43"/>
      <c r="AJU6" s="43"/>
      <c r="AJV6" s="43"/>
      <c r="AJW6" s="43"/>
      <c r="AJX6" s="43"/>
      <c r="AJY6" s="43"/>
      <c r="AJZ6" s="43"/>
      <c r="AKA6" s="43"/>
      <c r="AKB6" s="43"/>
      <c r="AKC6" s="43"/>
      <c r="AKD6" s="43"/>
      <c r="AKE6" s="43"/>
      <c r="AKF6" s="43"/>
      <c r="AKG6" s="43"/>
      <c r="AKH6" s="43"/>
      <c r="AKI6" s="43"/>
      <c r="AKJ6" s="43"/>
      <c r="AKK6" s="43"/>
      <c r="AKL6" s="43"/>
      <c r="AKM6" s="43"/>
      <c r="AKN6" s="43"/>
      <c r="AKO6" s="43"/>
      <c r="AKP6" s="43"/>
      <c r="AKQ6" s="43"/>
      <c r="AKR6" s="43"/>
      <c r="AKS6" s="43"/>
      <c r="AKT6" s="43"/>
      <c r="AKU6" s="43"/>
      <c r="AKV6" s="43"/>
      <c r="AKW6" s="43"/>
      <c r="AKX6" s="43"/>
      <c r="AKY6" s="43"/>
      <c r="AKZ6" s="43"/>
      <c r="ALA6" s="43"/>
      <c r="ALB6" s="43"/>
      <c r="ALC6" s="43"/>
      <c r="ALD6" s="43"/>
      <c r="ALE6" s="43"/>
      <c r="ALF6" s="43"/>
      <c r="ALG6" s="43"/>
      <c r="ALH6" s="43"/>
      <c r="ALI6" s="43"/>
      <c r="ALJ6" s="43"/>
      <c r="ALK6" s="43"/>
      <c r="ALL6" s="43"/>
      <c r="ALM6" s="43"/>
      <c r="ALN6" s="43"/>
      <c r="ALO6" s="43"/>
      <c r="ALP6" s="43"/>
      <c r="ALQ6" s="43"/>
      <c r="ALR6" s="43"/>
      <c r="ALS6" s="43"/>
      <c r="ALT6" s="43"/>
      <c r="ALU6" s="43"/>
      <c r="ALV6" s="43"/>
      <c r="ALW6" s="43"/>
      <c r="ALX6" s="43"/>
      <c r="ALY6" s="43"/>
      <c r="ALZ6" s="43"/>
      <c r="AMA6" s="43"/>
      <c r="AMB6" s="43"/>
      <c r="AMC6" s="43"/>
      <c r="AMD6" s="43"/>
      <c r="AME6" s="43"/>
      <c r="AMF6" s="43"/>
      <c r="AMG6" s="43"/>
      <c r="AMH6" s="43"/>
      <c r="AMI6" s="43"/>
      <c r="AMJ6" s="43"/>
      <c r="AMK6" s="43"/>
      <c r="AML6" s="43"/>
      <c r="AMM6" s="4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