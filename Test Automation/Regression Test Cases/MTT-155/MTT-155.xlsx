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EditOrder" sheetId="6" r:id="rId8"/>
    <sheet state="visible" name="BulkEditUpdateFromMTT" sheetId="7" r:id="rId9"/>
    <sheet state="visible" name="VerifyOrder" sheetId="8" r:id="rId10"/>
    <sheet state="visible" name="PricingInput" sheetId="9" r:id="rId11"/>
    <sheet state="visible" name="GetDailyCash" sheetId="10" r:id="rId12"/>
    <sheet state="visible" name="UpdateMultipleDailyCash" sheetId="11" r:id="rId13"/>
    <sheet state="visible" name="CreateOrderPTT" sheetId="12" r:id="rId14"/>
    <sheet state="visible" name="CreateOrderPTT1" sheetId="13" r:id="rId15"/>
    <sheet state="visible" name="EditOrder1" sheetId="14" r:id="rId16"/>
    <sheet state="visible" name="BulkEditUpdateFromMTT1" sheetId="15" r:id="rId17"/>
    <sheet state="visible" name="VerifyOrder1" sheetId="16" r:id="rId18"/>
    <sheet state="visible" name="FetchAccountPositions" sheetId="17" r:id="rId19"/>
    <sheet state="visible" name="AddCash" sheetId="18" r:id="rId20"/>
    <sheet state="visible" name="RunRebalance" sheetId="19" r:id="rId21"/>
    <sheet state="visible" name="SendtoStaging" sheetId="20" r:id="rId22"/>
    <sheet state="visible" name="EditOrder2" sheetId="21" r:id="rId23"/>
    <sheet state="visible" name="BulkEditUpdateFromMTT2" sheetId="22" r:id="rId24"/>
    <sheet state="visible" name="VerifyOrder2" sheetId="23" r:id="rId25"/>
  </sheets>
  <definedNames/>
  <calcPr/>
</workbook>
</file>

<file path=xl/sharedStrings.xml><?xml version="1.0" encoding="utf-8"?>
<sst xmlns="http://schemas.openxmlformats.org/spreadsheetml/2006/main" count="309" uniqueCount="65">
  <si>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</si>
  <si>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</si>
  <si>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</si>
  <si>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</si>
  <si>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</si>
  <si>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</si>
  <si>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</si>
  <si>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</si>
  <si>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</si>
  <si>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</si>
  <si>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</si>
  <si>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</si>
  <si>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</si>
  <si>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</si>
  <si>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</si>
  <si>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</si>
  <si>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</si>
  <si>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</si>
  <si>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Allocation1</t>
  </si>
  <si>
    <t>MS</t>
  </si>
  <si>
    <t>Day</t>
  </si>
  <si>
    <t>Limit</t>
  </si>
  <si>
    <t>TSLA</t>
  </si>
  <si>
    <t>CreateDoneAwayOrder</t>
  </si>
  <si>
    <t>IBM</t>
  </si>
  <si>
    <t>Market</t>
  </si>
  <si>
    <t>GOOG</t>
  </si>
  <si>
    <t>Blotter</t>
  </si>
  <si>
    <t>EditOrder</t>
  </si>
  <si>
    <t>New</t>
  </si>
  <si>
    <t>MultiTradingTicket</t>
  </si>
  <si>
    <t>BulkEditUpdateFromMTT</t>
  </si>
  <si>
    <t>Sell</t>
  </si>
  <si>
    <t>CANCEL</t>
  </si>
  <si>
    <t>YES</t>
  </si>
  <si>
    <t>BULK</t>
  </si>
  <si>
    <t>VerifyOrder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</si>
  <si>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</si>
  <si>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</si>
  <si>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</si>
  <si>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</si>
  <si>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</si>
  <si>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</si>
  <si>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</si>
  <si>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</si>
  <si>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</si>
  <si>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No</t>
  </si>
  <si>
    <t>Account</t>
  </si>
  <si>
    <t>GS</t>
  </si>
  <si>
    <t>Bulk</t>
  </si>
  <si>
    <t>SELECTROW</t>
  </si>
  <si>
    <t>Algo</t>
  </si>
  <si>
    <t>EDITROW</t>
  </si>
  <si>
    <t>REPLACE</t>
  </si>
  <si>
    <t>Replaced</t>
  </si>
  <si>
    <t>Rebalancer</t>
  </si>
  <si>
    <t>FetchAccountPositions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</si>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</sst>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13" t="s">
        <v>20</v>
      </c>
      <c r="I6" s="13" t="s">
        <v>21</v>
      </c>
      <c r="J6" s="13">
        <v>10.0</v>
      </c>
      <c r="K6" s="8"/>
      <c r="L6" s="13">
        <v>10.0</v>
      </c>
      <c r="M6" s="8"/>
      <c r="N6" s="32">
        <f t="shared" ref="N6:N7" si="1">today()</f>
        <v>45189</v>
      </c>
      <c r="O6" s="8"/>
    </row>
    <row r="7" ht="15.75" customHeight="1">
      <c r="A7" s="13"/>
      <c r="B7" s="13" t="s">
        <v>22</v>
      </c>
      <c r="C7" s="13" t="s">
        <v>17</v>
      </c>
      <c r="D7" s="13">
        <v>50.0</v>
      </c>
      <c r="E7" s="31"/>
      <c r="F7" s="13" t="s">
        <v>18</v>
      </c>
      <c r="G7" s="13" t="s">
        <v>19</v>
      </c>
      <c r="H7" s="13" t="s">
        <v>20</v>
      </c>
      <c r="I7" s="13" t="s">
        <v>21</v>
      </c>
      <c r="J7" s="13">
        <v>10.0</v>
      </c>
      <c r="K7" s="8"/>
      <c r="L7" s="13">
        <v>10.0</v>
      </c>
      <c r="M7" s="8"/>
      <c r="N7" s="32">
        <f t="shared" si="1"/>
        <v>45189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13" t="s">
        <v>20</v>
      </c>
      <c r="I6" s="13" t="s">
        <v>25</v>
      </c>
      <c r="J6" s="13">
        <v>10.0</v>
      </c>
      <c r="K6" s="8"/>
      <c r="L6" s="8"/>
      <c r="M6" s="8"/>
      <c r="N6" s="32">
        <f t="shared" ref="N6:N7" si="1">today()</f>
        <v>45189</v>
      </c>
      <c r="O6" s="8"/>
    </row>
    <row r="7" ht="15.75" customHeight="1">
      <c r="A7" s="8"/>
      <c r="B7" s="13" t="s">
        <v>26</v>
      </c>
      <c r="C7" s="13" t="s">
        <v>17</v>
      </c>
      <c r="D7" s="13">
        <v>500.0</v>
      </c>
      <c r="E7" s="13">
        <v>500.0</v>
      </c>
      <c r="F7" s="13" t="s">
        <v>18</v>
      </c>
      <c r="G7" s="13" t="s">
        <v>19</v>
      </c>
      <c r="H7" s="13" t="s">
        <v>20</v>
      </c>
      <c r="I7" s="13" t="s">
        <v>25</v>
      </c>
      <c r="J7" s="13">
        <v>10.0</v>
      </c>
      <c r="K7" s="8"/>
      <c r="L7" s="8"/>
      <c r="M7" s="8"/>
      <c r="N7" s="32">
        <f t="shared" si="1"/>
        <v>45189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100.0</v>
      </c>
      <c r="AS6" s="9" t="s">
        <v>19</v>
      </c>
      <c r="AT6" s="9" t="s">
        <v>18</v>
      </c>
      <c r="AU6" s="13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17</v>
      </c>
      <c r="AK7" s="9" t="s">
        <v>29</v>
      </c>
      <c r="AL7" s="9">
        <v>50.0</v>
      </c>
      <c r="AS7" s="9" t="s">
        <v>19</v>
      </c>
      <c r="AT7" s="9" t="s">
        <v>18</v>
      </c>
      <c r="AU7" s="13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IFERROR(__xludf.DUMMYFUNCTION("""COMPUTED_VALUE"""),"AddOrRemoveColumn")</f>
        <v>AddOrRemoveColumn</v>
      </c>
      <c r="O4" s="25" t="str">
        <f>IFERROR(__xludf.DUMMYFUNCTION("""COMPUTED_VALUE"""),"AddOrRemoveColumn")</f>
        <v>AddOrRemoveColumn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33</v>
      </c>
      <c r="AL6" s="9" t="s">
        <v>34</v>
      </c>
      <c r="AM6" s="9" t="s">
        <v>34</v>
      </c>
      <c r="AN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17</v>
      </c>
      <c r="AK7" s="9" t="s">
        <v>29</v>
      </c>
      <c r="AL7" s="9">
        <v>50.0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45188</v>
      </c>
      <c r="C6" s="32">
        <f>today()</f>
        <v>45189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41</v>
      </c>
      <c r="D6" s="13">
        <v>40000.0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44</v>
      </c>
      <c r="D6" s="13" t="s">
        <v>45</v>
      </c>
      <c r="E6" s="13">
        <v>10.0</v>
      </c>
      <c r="F6" s="8"/>
      <c r="G6" s="13" t="s">
        <v>46</v>
      </c>
      <c r="H6" s="13" t="s">
        <v>47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44</v>
      </c>
      <c r="D6" s="13" t="s">
        <v>45</v>
      </c>
      <c r="E6" s="13">
        <v>20.0</v>
      </c>
      <c r="F6" s="8"/>
      <c r="G6" s="13" t="s">
        <v>46</v>
      </c>
      <c r="H6" s="13" t="s">
        <v>47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17</v>
      </c>
      <c r="AK6" s="9" t="s">
        <v>29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26</v>
      </c>
      <c r="AJ7" s="9" t="s">
        <v>17</v>
      </c>
      <c r="AK7" s="9" t="s">
        <v>29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IFERROR(__xludf.DUMMYFUNCTION("""COMPUTED_VALUE"""),"AddOrRemoveColumn")</f>
        <v>AddOrRemoveColumn</v>
      </c>
      <c r="O4" s="25" t="str">
        <f>IFERROR(__xludf.DUMMYFUNCTION("""COMPUTED_VALUE"""),"AddOrRemoveColumn")</f>
        <v>AddOrRemoveColumn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48</v>
      </c>
      <c r="H6" s="8"/>
      <c r="I6" s="13"/>
      <c r="J6" s="8"/>
      <c r="K6" s="8"/>
      <c r="L6" s="8"/>
      <c r="M6" s="8"/>
      <c r="N6" s="8"/>
      <c r="O6" s="8"/>
      <c r="AN6" s="9" t="s">
        <v>49</v>
      </c>
    </row>
    <row r="7" ht="15.75" customHeight="1">
      <c r="A7" s="8"/>
      <c r="B7" s="13" t="s">
        <v>24</v>
      </c>
      <c r="C7" s="13" t="s">
        <v>17</v>
      </c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50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13" t="s">
        <v>21</v>
      </c>
      <c r="J8" s="8"/>
      <c r="K8" s="8"/>
      <c r="L8" s="8"/>
      <c r="M8" s="8"/>
      <c r="N8" s="8"/>
      <c r="O8" s="8"/>
      <c r="AB8" s="9" t="s">
        <v>51</v>
      </c>
      <c r="AN8" s="9" t="s">
        <v>52</v>
      </c>
    </row>
    <row r="9" ht="15.75" customHeight="1">
      <c r="A9" s="8"/>
      <c r="B9" s="13" t="s">
        <v>26</v>
      </c>
      <c r="C9" s="13" t="s">
        <v>17</v>
      </c>
      <c r="D9" s="13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N9" s="9" t="s">
        <v>50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13" t="s">
        <v>21</v>
      </c>
      <c r="J10" s="8"/>
      <c r="K10" s="8"/>
      <c r="L10" s="8"/>
      <c r="M10" s="8"/>
      <c r="N10" s="8"/>
      <c r="O10" s="8"/>
      <c r="AB10" s="9" t="s">
        <v>51</v>
      </c>
      <c r="AK10" s="9" t="s">
        <v>53</v>
      </c>
      <c r="AN10" s="9" t="s">
        <v>52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51</v>
      </c>
      <c r="I6" s="8"/>
      <c r="J6" s="8"/>
      <c r="K6" s="8"/>
      <c r="L6" s="8"/>
      <c r="M6" s="8"/>
      <c r="N6" s="8"/>
      <c r="O6" s="8"/>
      <c r="AI6" s="9" t="s">
        <v>24</v>
      </c>
      <c r="AJ6" s="9" t="s">
        <v>17</v>
      </c>
      <c r="AK6" s="9" t="s">
        <v>54</v>
      </c>
      <c r="AL6" s="9">
        <v>400.0</v>
      </c>
      <c r="AS6" s="9" t="s">
        <v>48</v>
      </c>
      <c r="AT6" s="9" t="s">
        <v>18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51</v>
      </c>
      <c r="I7" s="8"/>
      <c r="J7" s="8"/>
      <c r="K7" s="8"/>
      <c r="L7" s="8"/>
      <c r="M7" s="8"/>
      <c r="N7" s="8"/>
      <c r="O7" s="8"/>
      <c r="AI7" s="9" t="s">
        <v>26</v>
      </c>
      <c r="AJ7" s="9" t="s">
        <v>17</v>
      </c>
      <c r="AK7" s="9" t="s">
        <v>54</v>
      </c>
      <c r="AL7" s="9">
        <v>800.0</v>
      </c>
      <c r="AS7" s="9" t="s">
        <v>48</v>
      </c>
      <c r="AT7" s="9" t="s">
        <v>18</v>
      </c>
      <c r="AU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5" t="s">
        <v>57</v>
      </c>
      <c r="D6" s="34" t="s">
        <v>47</v>
      </c>
      <c r="E6" s="35" t="s">
        <v>58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16633.0</v>
      </c>
      <c r="C6" s="37" t="s">
        <v>60</v>
      </c>
      <c r="D6" s="37" t="s">
        <v>61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18</v>
      </c>
      <c r="C6" s="38" t="s">
        <v>17</v>
      </c>
      <c r="D6" s="38" t="s">
        <v>24</v>
      </c>
      <c r="E6" s="39">
        <v>42.0</v>
      </c>
      <c r="F6" s="39">
        <v>10.0</v>
      </c>
      <c r="G6" s="39">
        <v>420.0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18</v>
      </c>
      <c r="C7" s="38" t="s">
        <v>17</v>
      </c>
      <c r="D7" s="38" t="s">
        <v>26</v>
      </c>
      <c r="E7" s="39">
        <v>208.0</v>
      </c>
      <c r="F7" s="39">
        <v>10.0</v>
      </c>
      <c r="G7" s="40">
        <v>2080.0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17</v>
      </c>
      <c r="AK6" s="9" t="s">
        <v>29</v>
      </c>
      <c r="AL6" s="9">
        <v>42.0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26</v>
      </c>
      <c r="AJ7" s="9" t="s">
        <v>17</v>
      </c>
      <c r="AK7" s="9" t="s">
        <v>29</v>
      </c>
      <c r="AL7" s="9">
        <v>208.0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IFERROR(__xludf.DUMMYFUNCTION("""COMPUTED_VALUE"""),"AddOrRemoveColumn")</f>
        <v>AddOrRemoveColumn</v>
      </c>
      <c r="O4" s="25" t="str">
        <f>IFERROR(__xludf.DUMMYFUNCTION("""COMPUTED_VALUE"""),"AddOrRemoveColumn")</f>
        <v>AddOrRemoveColumn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48</v>
      </c>
      <c r="H6" s="8"/>
      <c r="I6" s="13"/>
      <c r="J6" s="8"/>
      <c r="K6" s="8"/>
      <c r="L6" s="8"/>
      <c r="M6" s="8"/>
      <c r="N6" s="8"/>
      <c r="O6" s="8"/>
      <c r="AN6" s="9" t="s">
        <v>35</v>
      </c>
    </row>
    <row r="7" ht="15.75" customHeight="1">
      <c r="A7" s="8"/>
      <c r="B7" s="13" t="s">
        <v>24</v>
      </c>
      <c r="C7" s="13" t="s">
        <v>17</v>
      </c>
      <c r="D7" s="13">
        <v>42.0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50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13" t="s">
        <v>21</v>
      </c>
      <c r="J8" s="8"/>
      <c r="K8" s="8"/>
      <c r="L8" s="8"/>
      <c r="M8" s="8"/>
      <c r="N8" s="8"/>
      <c r="O8" s="8"/>
      <c r="AB8" s="9" t="s">
        <v>51</v>
      </c>
      <c r="AN8" s="9" t="s">
        <v>52</v>
      </c>
    </row>
    <row r="9" ht="15.75" customHeight="1">
      <c r="A9" s="8"/>
      <c r="B9" s="13" t="s">
        <v>26</v>
      </c>
      <c r="C9" s="13" t="s">
        <v>17</v>
      </c>
      <c r="D9" s="13">
        <v>208.0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N9" s="9" t="s">
        <v>50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13" t="s">
        <v>21</v>
      </c>
      <c r="J10" s="8"/>
      <c r="K10" s="8"/>
      <c r="L10" s="8"/>
      <c r="M10" s="8"/>
      <c r="N10" s="8"/>
      <c r="O10" s="8"/>
      <c r="AB10" s="9" t="s">
        <v>51</v>
      </c>
      <c r="AK10" s="9" t="s">
        <v>53</v>
      </c>
      <c r="AN10" s="9" t="s">
        <v>52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51</v>
      </c>
      <c r="I6" s="8"/>
      <c r="J6" s="8"/>
      <c r="K6" s="8"/>
      <c r="L6" s="8"/>
      <c r="M6" s="8"/>
      <c r="N6" s="8"/>
      <c r="O6" s="8"/>
      <c r="AI6" s="9" t="s">
        <v>24</v>
      </c>
      <c r="AJ6" s="9" t="s">
        <v>17</v>
      </c>
      <c r="AK6" s="9" t="s">
        <v>54</v>
      </c>
      <c r="AL6" s="9">
        <v>42.0</v>
      </c>
      <c r="AS6" s="9" t="s">
        <v>48</v>
      </c>
      <c r="AT6" s="9" t="s">
        <v>18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51</v>
      </c>
      <c r="I7" s="8"/>
      <c r="J7" s="8"/>
      <c r="K7" s="8"/>
      <c r="L7" s="8"/>
      <c r="M7" s="8"/>
      <c r="N7" s="8"/>
      <c r="O7" s="8"/>
      <c r="AI7" s="9" t="s">
        <v>26</v>
      </c>
      <c r="AJ7" s="9" t="s">
        <v>17</v>
      </c>
      <c r="AK7" s="9" t="s">
        <v>54</v>
      </c>
      <c r="AL7" s="9">
        <v>208.0</v>
      </c>
      <c r="AS7" s="9" t="s">
        <v>48</v>
      </c>
      <c r="AT7" s="9" t="s">
        <v>18</v>
      </c>
      <c r="AU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