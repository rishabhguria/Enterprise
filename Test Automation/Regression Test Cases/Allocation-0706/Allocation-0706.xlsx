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AddMFPreferences" sheetId="6" r:id="rId8"/>
    <sheet state="visible" name="SetMFPreferencesDefaultRule" sheetId="7" r:id="rId9"/>
    <sheet state="visible" name="SetMFPrefFundDistribution" sheetId="8" r:id="rId10"/>
    <sheet state="visible" name="SetMFPrefAccountValues" sheetId="9" r:id="rId11"/>
    <sheet state="visible" name="SetMFPrefFundDefaultRule" sheetId="10" r:id="rId12"/>
    <sheet state="visible" name="SetMFPrefAccountValues1" sheetId="11" r:id="rId13"/>
    <sheet state="visible" name="SetMFPrefFundDefaultRule1" sheetId="12" r:id="rId14"/>
    <sheet state="visible" name="CustomOrderTT" sheetId="13" r:id="rId15"/>
    <sheet state="visible" name="GetDataAllocation" sheetId="14" r:id="rId16"/>
    <sheet state="visible" name="SelectUnallocatedGroup" sheetId="15" r:id="rId17"/>
    <sheet state="visible" name="EnterAllocatePreference" sheetId="16" r:id="rId18"/>
    <sheet state="visible" name="CheckAllocatedTaxlots" sheetId="17" r:id="rId19"/>
  </sheets>
  <definedNames/>
  <calcPr/>
</workbook>
</file>

<file path=xl/sharedStrings.xml><?xml version="1.0" encoding="utf-8"?>
<sst xmlns="http://schemas.openxmlformats.org/spreadsheetml/2006/main" count="162" uniqueCount="45">
  <si>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</si>
  <si>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</si>
  <si>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</si>
  <si>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</si>
  <si>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</si>
  <si>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</si>
  <si>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</si>
  <si>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</si>
  <si>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</si>
  <si>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</si>
  <si>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</si>
  <si>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</si>
  <si>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</si>
  <si>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</si>
  <si>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</si>
  <si>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</si>
  <si>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</si>
  <si>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</si>
  <si>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</si>
  <si>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Allocation3</t>
  </si>
  <si>
    <t>Allocation2</t>
  </si>
  <si>
    <t>Allocation4</t>
  </si>
  <si>
    <t>Allocation</t>
  </si>
  <si>
    <t>SetGeneralPreferences</t>
  </si>
  <si>
    <t>AddMFPreferences</t>
  </si>
  <si>
    <t>Test</t>
  </si>
  <si>
    <t>SetMFPreferencesDefaultRule</t>
  </si>
  <si>
    <t>Prorata</t>
  </si>
  <si>
    <t>NewMF,NewMF1</t>
  </si>
  <si>
    <t>SetMFPrefFundDistribution</t>
  </si>
  <si>
    <t>NewMF</t>
  </si>
  <si>
    <t>NewMF1</t>
  </si>
  <si>
    <t>SetMFPrefAccountValues</t>
  </si>
  <si>
    <t>SetMFPrefFundDefaultRule</t>
  </si>
  <si>
    <t>Fair Pricing</t>
  </si>
  <si>
    <t>Current Preference</t>
  </si>
  <si>
    <t>CustomOrderTT</t>
  </si>
  <si>
    <t>Done Away</t>
  </si>
  <si>
    <t>Unallocated</t>
  </si>
  <si>
    <t>GetDataAllocation</t>
  </si>
  <si>
    <t>Current</t>
  </si>
  <si>
    <t>SelectUnallocatedGroup</t>
  </si>
  <si>
    <t>EnterAllocatePreference</t>
  </si>
  <si>
    <t>Calculated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</si>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</sst>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11.0</v>
      </c>
      <c r="K6" s="8"/>
      <c r="L6" s="8"/>
      <c r="M6" s="8"/>
      <c r="N6" s="8"/>
      <c r="O6" s="8"/>
    </row>
    <row r="7" ht="15.75" customHeight="1">
      <c r="A7" s="13"/>
      <c r="B7" s="13" t="s">
        <v>16</v>
      </c>
      <c r="C7" s="13" t="s">
        <v>17</v>
      </c>
      <c r="D7" s="13">
        <v>200.0</v>
      </c>
      <c r="E7" s="31"/>
      <c r="F7" s="13" t="s">
        <v>19</v>
      </c>
      <c r="G7" s="8"/>
      <c r="H7" s="8"/>
      <c r="I7" s="8"/>
      <c r="J7" s="13">
        <v>11.0</v>
      </c>
      <c r="K7" s="8"/>
      <c r="L7" s="8"/>
      <c r="M7" s="8"/>
      <c r="N7" s="8"/>
      <c r="O7" s="8"/>
    </row>
    <row r="8" ht="15.75" customHeight="1">
      <c r="A8" s="13"/>
      <c r="B8" s="13" t="s">
        <v>16</v>
      </c>
      <c r="C8" s="13" t="s">
        <v>17</v>
      </c>
      <c r="D8" s="13">
        <v>400.0</v>
      </c>
      <c r="E8" s="31"/>
      <c r="F8" s="13" t="s">
        <v>20</v>
      </c>
      <c r="G8" s="8"/>
      <c r="H8" s="8"/>
      <c r="I8" s="8"/>
      <c r="J8" s="13">
        <v>11.0</v>
      </c>
      <c r="K8" s="8"/>
      <c r="L8" s="8"/>
      <c r="M8" s="8"/>
      <c r="N8" s="8"/>
      <c r="O8" s="8"/>
    </row>
    <row r="9" ht="15.75" customHeight="1">
      <c r="A9" s="13"/>
      <c r="B9" s="13" t="s">
        <v>16</v>
      </c>
      <c r="C9" s="13" t="s">
        <v>17</v>
      </c>
      <c r="D9" s="13">
        <v>800.0</v>
      </c>
      <c r="E9" s="31"/>
      <c r="F9" s="13" t="s">
        <v>21</v>
      </c>
      <c r="G9" s="8"/>
      <c r="H9" s="8"/>
      <c r="I9" s="8"/>
      <c r="J9" s="13">
        <v>11.0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b">
        <v>1</v>
      </c>
      <c r="C6" s="34"/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5" t="b">
        <v>1</v>
      </c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6" t="s">
        <v>25</v>
      </c>
      <c r="C6" s="34"/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7" t="s">
        <v>27</v>
      </c>
      <c r="D6" s="38" t="s">
        <v>28</v>
      </c>
      <c r="E6" s="34"/>
      <c r="F6" s="39" t="s">
        <v>25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IFERROR(__xludf.DUMMYFUNCTION("""COMPUTED_VALUE"""),"MasterFundName")</f>
        <v>MasterFundName</v>
      </c>
      <c r="D5" s="28" t="str">
        <f>IFERROR(__xludf.DUMMYFUNCTION("""COMPUTED_VALUE"""),"TargetPercentage")</f>
        <v>TargetPercentage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6" t="s">
        <v>25</v>
      </c>
      <c r="C6" s="39" t="s">
        <v>30</v>
      </c>
      <c r="D6" s="40">
        <v>50.0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9" t="s">
        <v>25</v>
      </c>
      <c r="C7" s="39" t="s">
        <v>31</v>
      </c>
      <c r="D7" s="41">
        <v>50.0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6" t="s">
        <v>25</v>
      </c>
      <c r="C6" s="39" t="s">
        <v>30</v>
      </c>
      <c r="D6" s="36" t="s">
        <v>18</v>
      </c>
      <c r="E6" s="41">
        <v>50.0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9" t="s">
        <v>25</v>
      </c>
      <c r="C7" s="39" t="s">
        <v>30</v>
      </c>
      <c r="D7" s="39" t="s">
        <v>19</v>
      </c>
      <c r="E7" s="41">
        <v>50.0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6" t="s">
        <v>25</v>
      </c>
      <c r="C6" s="34" t="s">
        <v>30</v>
      </c>
      <c r="D6" s="38" t="s">
        <v>34</v>
      </c>
      <c r="E6" s="34"/>
      <c r="F6" s="39" t="s">
        <v>35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6" t="s">
        <v>25</v>
      </c>
      <c r="C6" s="37" t="s">
        <v>31</v>
      </c>
      <c r="D6" s="37" t="s">
        <v>20</v>
      </c>
      <c r="E6" s="41">
        <v>50.0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9" t="s">
        <v>25</v>
      </c>
      <c r="C7" s="37" t="s">
        <v>31</v>
      </c>
      <c r="D7" s="37" t="s">
        <v>21</v>
      </c>
      <c r="E7" s="41">
        <v>50.0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6" t="s">
        <v>25</v>
      </c>
      <c r="C6" s="37" t="s">
        <v>31</v>
      </c>
      <c r="D6" s="38" t="s">
        <v>34</v>
      </c>
      <c r="E6" s="34"/>
      <c r="F6" s="39" t="s">
        <v>35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6" t="s">
        <v>16</v>
      </c>
      <c r="C6" s="41">
        <v>125.0</v>
      </c>
      <c r="D6" s="40">
        <v>11.0</v>
      </c>
      <c r="E6" s="39" t="s">
        <v>37</v>
      </c>
      <c r="F6" s="34"/>
      <c r="G6" s="34"/>
      <c r="H6" s="34"/>
      <c r="I6" s="39" t="s">
        <v>38</v>
      </c>
      <c r="J6" s="39" t="s">
        <v>17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6" t="s">
        <v>40</v>
      </c>
      <c r="C6" s="34"/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6" t="s">
        <v>16</v>
      </c>
      <c r="C6" s="39" t="s">
        <v>17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6" t="s">
        <v>43</v>
      </c>
      <c r="C6" s="39" t="s">
        <v>25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4"/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9" t="s">
        <v>18</v>
      </c>
      <c r="P6" s="34"/>
      <c r="Q6" s="34"/>
      <c r="R6" s="42">
        <v>12.0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9" t="s">
        <v>20</v>
      </c>
      <c r="P7" s="34"/>
      <c r="Q7" s="34"/>
      <c r="R7" s="42">
        <v>50.0</v>
      </c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9" t="s">
        <v>19</v>
      </c>
      <c r="P8" s="34"/>
      <c r="Q8" s="34"/>
      <c r="R8" s="42">
        <v>13.0</v>
      </c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9" t="s">
        <v>21</v>
      </c>
      <c r="P9" s="34"/>
      <c r="Q9" s="34"/>
      <c r="R9" s="42">
        <v>50.0</v>
      </c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