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GetDataAllocation" sheetId="5" r:id="rId8"/>
    <sheet state="visible" name="GroupTrades" sheetId="6" r:id="rId9"/>
    <sheet state="visible" name="SelectTradeOnOrderGrid" sheetId="7" r:id="rId10"/>
    <sheet state="visible" name="EditTradeAttributesOrders" sheetId="8" r:id="rId11"/>
    <sheet state="visible" name="EditTradeAttributesWindow" sheetId="9" r:id="rId12"/>
    <sheet state="visible" name="VerifyWorkingSubs1" sheetId="10" r:id="rId13"/>
    <sheet state="visible" name="CheckUnallocatedGroups" sheetId="11" r:id="rId14"/>
    <sheet state="visible" name="CheckPortfolioManagement" sheetId="12" r:id="rId15"/>
  </sheets>
  <definedNames/>
  <calcPr/>
  <extLst>
    <ext uri="GoogleSheetsCustomDataVersion2">
      <go:sheetsCustomData xmlns:go="http://customooxmlschemas.google.com/" r:id="rId16" roundtripDataChecksum="vghrnL76PHxgXMDYtwJBgDrtouP5PJfyjwh7+S23u/8="/>
    </ext>
  </extLst>
</workbook>
</file>

<file path=xl/sharedStrings.xml><?xml version="1.0" encoding="utf-8"?>
<sst xmlns="http://schemas.openxmlformats.org/spreadsheetml/2006/main" count="512" uniqueCount="339">
  <si>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</si>
  <si>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</si>
  <si>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</si>
  <si>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</si>
  <si>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</si>
  <si>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</si>
  <si>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</si>
  <si>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</si>
  <si>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</si>
  <si>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</si>
  <si>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</si>
  <si>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</si>
  <si>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</si>
  <si>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</si>
  <si>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</si>
  <si>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</si>
  <si>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</si>
  <si>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</si>
  <si>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Unallocated</t>
  </si>
  <si>
    <t>Buy</t>
  </si>
  <si>
    <t>Allocation</t>
  </si>
  <si>
    <t>GetDataAllocation</t>
  </si>
  <si>
    <t>Current</t>
  </si>
  <si>
    <t>GroupTrades</t>
  </si>
  <si>
    <t>Blotter</t>
  </si>
  <si>
    <t>SelectTradeOnOrderGrid</t>
  </si>
  <si>
    <t>EditTradeAttributesOrders</t>
  </si>
  <si>
    <t>EditTradeAttributesWindow</t>
  </si>
  <si>
    <t>T1</t>
  </si>
  <si>
    <t>T2</t>
  </si>
  <si>
    <t>T3</t>
  </si>
  <si>
    <t>T4</t>
  </si>
  <si>
    <t>T5</t>
  </si>
  <si>
    <t>T6</t>
  </si>
  <si>
    <t>MS</t>
  </si>
  <si>
    <t>Submit</t>
  </si>
  <si>
    <t>VerifyWorkingSubs</t>
  </si>
  <si>
    <t>Symbol</t>
  </si>
  <si>
    <t>Side</t>
  </si>
  <si>
    <t>Quantity</t>
  </si>
  <si>
    <t>Executed Qty</t>
  </si>
  <si>
    <t>Unexecuted Qty</t>
  </si>
  <si>
    <t>Status</t>
  </si>
  <si>
    <t>Last Shares</t>
  </si>
  <si>
    <t>Last Fill Price (Local)</t>
  </si>
  <si>
    <t>Avg Fill Price (Local)</t>
  </si>
  <si>
    <t>Broker</t>
  </si>
  <si>
    <t>Account</t>
  </si>
  <si>
    <t>Order Type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</si>
  <si>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</si>
  <si>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</si>
  <si>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</si>
  <si>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</si>
  <si>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</si>
  <si>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</si>
  <si>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</si>
  <si>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</si>
  <si>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</si>
  <si>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</si>
  <si>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</si>
  <si>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</si>
  <si>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</si>
  <si>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</si>
  <si>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</si>
  <si>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</si>
  <si>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</si>
  <si>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</si>
  <si>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</si>
  <si>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Settlement Currency</t>
  </si>
  <si>
    <t>Source</t>
  </si>
  <si>
    <t>Status (With Rollover)</t>
  </si>
  <si>
    <t>Strategy</t>
  </si>
  <si>
    <t>Strike Price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</si>
  <si>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</si>
  <si>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</si>
  <si>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</si>
  <si>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</si>
  <si>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</si>
  <si>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</si>
  <si>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Trader</t>
  </si>
  <si>
    <t>Transaction Time</t>
  </si>
  <si>
    <t>Underlying Country</t>
  </si>
  <si>
    <t>Underlying Symbol</t>
  </si>
  <si>
    <t>Venue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</si>
  <si>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</si>
  <si>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</si>
  <si>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</si>
  <si>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</si>
  <si>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</si>
  <si>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</si>
  <si>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</si>
  <si>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</si>
  <si>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</si>
  <si>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>Testing Type</t>
  </si>
  <si>
    <t>Testing Column</t>
  </si>
  <si>
    <t>Testing Col Value</t>
  </si>
  <si>
    <t>DuplicateRow</t>
  </si>
  <si>
    <t>DuplicateCountOnUI</t>
  </si>
  <si>
    <t>Filled</t>
  </si>
  <si>
    <t>Market</t>
  </si>
  <si>
    <t>Samsara</t>
  </si>
  <si>
    <t>AAPL US EQUITY</t>
  </si>
  <si>
    <t>Equity</t>
  </si>
  <si>
    <t>NASDAQ</t>
  </si>
  <si>
    <t>CheckUnallocatedGroups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</si>
  <si>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</si>
  <si>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</si>
  <si>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</si>
  <si>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</si>
  <si>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</si>
  <si>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</si>
  <si>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</si>
  <si>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</si>
  <si>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</si>
  <si>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</si>
  <si>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</si>
  <si>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</si>
  <si>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</si>
  <si>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</si>
  <si>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</si>
  <si>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</si>
  <si>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</si>
  <si>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</si>
  <si>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</si>
  <si>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</si>
  <si>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</si>
  <si>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</si>
  <si>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</si>
  <si>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</si>
  <si>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</si>
  <si>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</si>
  <si>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</si>
  <si>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Execution Time</t>
  </si>
  <si>
    <t>Group Status</t>
  </si>
  <si>
    <t>GroupID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</si>
  <si>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</si>
  <si>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</si>
  <si>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</si>
  <si>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</si>
  <si>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</si>
  <si>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</si>
  <si>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</si>
  <si>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</si>
  <si>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</si>
  <si>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</si>
  <si>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</si>
  <si>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</si>
  <si>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</si>
  <si>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</si>
  <si>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</si>
  <si>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</si>
  <si>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</si>
  <si>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</si>
  <si>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</si>
  <si>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</si>
  <si>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</si>
  <si>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</si>
  <si>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</si>
  <si>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</si>
  <si>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</si>
  <si>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</si>
  <si>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</si>
  <si>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</si>
  <si>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</si>
  <si>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</si>
  <si>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</si>
  <si>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</si>
  <si>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</si>
  <si>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</si>
  <si>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</si>
  <si>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</si>
  <si>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</si>
  <si>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</si>
  <si>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</si>
  <si>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</si>
  <si>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</si>
  <si>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Date</t>
  </si>
  <si>
    <t>Expiration Date</t>
  </si>
  <si>
    <t>Borrow Broker</t>
  </si>
  <si>
    <t>NONE</t>
  </si>
  <si>
    <t>Open</t>
  </si>
  <si>
    <t>USD</t>
  </si>
  <si>
    <t>M</t>
  </si>
  <si>
    <t>None</t>
  </si>
  <si>
    <t>GCCAP1</t>
  </si>
  <si>
    <t>US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</si>
  <si>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</si>
  <si>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</si>
  <si>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</si>
  <si>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</si>
  <si>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</si>
  <si>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</si>
  <si>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</si>
  <si>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</si>
  <si>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</si>
  <si>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</si>
  <si>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</si>
  <si>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</si>
  <si>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</si>
  <si>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</si>
  <si>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</si>
  <si>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</si>
  <si>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</si>
  <si>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</si>
  <si>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</si>
  <si>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</si>
  <si>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</si>
  <si>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</si>
  <si>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</si>
  <si>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</si>
  <si>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</si>
  <si>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</si>
  <si>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</si>
  <si>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</si>
  <si>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</si>
  <si>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</si>
  <si>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</si>
  <si>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</si>
  <si>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</si>
  <si>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</si>
  <si>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</si>
  <si>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</si>
  <si>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</si>
  <si>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</si>
  <si>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</si>
  <si>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</si>
  <si>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</si>
  <si>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</si>
  <si>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</si>
  <si>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</si>
  <si>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</si>
  <si>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</si>
  <si>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</si>
  <si>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</si>
  <si>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</si>
  <si>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</si>
  <si>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</si>
  <si>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</si>
  <si>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</si>
  <si>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</si>
  <si>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</si>
  <si>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</si>
  <si>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</si>
  <si>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</si>
  <si>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</si>
  <si>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</si>
  <si>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</si>
  <si>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</si>
  <si>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</si>
  <si>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</si>
  <si>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</si>
  <si>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</si>
  <si>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</si>
  <si>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</si>
  <si>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</si>
  <si>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</si>
  <si>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</si>
  <si>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</si>
  <si>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</si>
  <si>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</si>
  <si>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</si>
  <si>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</si>
  <si>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</si>
  <si>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</si>
  <si>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</si>
  <si>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</si>
  <si>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</si>
  <si>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</si>
  <si>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</si>
  <si>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</si>
  <si>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</si>
  <si>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</si>
  <si>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</si>
  <si>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</si>
  <si>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</si>
  <si>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</si>
  <si>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</si>
  <si>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</si>
  <si>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</si>
  <si>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</si>
  <si>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</si>
  <si>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</si>
  <si>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</si>
  <si>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</si>
  <si>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</si>
  <si>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</si>
  <si>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</si>
  <si>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</si>
  <si>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</si>
  <si>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</si>
  <si>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</si>
  <si>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</si>
  <si>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</si>
  <si>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</si>
  <si>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</si>
  <si>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</si>
  <si>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</si>
  <si>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</si>
  <si>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</si>
  <si>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</si>
  <si>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</si>
  <si>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</si>
  <si>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</si>
  <si>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</si>
  <si>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</si>
  <si>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</si>
  <si>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</si>
  <si>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</si>
  <si>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</si>
  <si>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</si>
  <si>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</si>
  <si>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</si>
  <si>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</si>
  <si>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</si>
  <si>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</si>
  <si>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</si>
  <si>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</si>
  <si>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</si>
  <si>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</si>
  <si>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</si>
  <si>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</si>
  <si>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</si>
  <si>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ACTIV Symbol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</si>
  <si>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</si>
  <si>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</si>
  <si>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</si>
  <si>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</si>
  <si>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</si>
  <si>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</si>
  <si>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</si>
  <si>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</si>
  <si>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</si>
  <si>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</si>
  <si>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</si>
  <si>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</si>
  <si>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</si>
  <si>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APPLE</t>
  </si>
  <si>
    <t>Undefined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</si>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</sst>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Font="1"/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6" numFmtId="0" xfId="0" applyAlignment="1" applyFont="1">
      <alignment readingOrder="0"/>
    </xf>
    <xf borderId="0" fillId="5" fontId="15" numFmtId="0" xfId="0" applyAlignment="1" applyFont="1">
      <alignment vertical="bottom"/>
    </xf>
    <xf borderId="3" fillId="5" fontId="4" numFmtId="0" xfId="0" applyAlignment="1" applyBorder="1" applyFont="1">
      <alignment readingOrder="0" shrinkToFit="0" wrapText="0"/>
    </xf>
    <xf borderId="0" fillId="5" fontId="1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6" numFmtId="4" xfId="0" applyFont="1" applyNumberFormat="1"/>
    <xf borderId="0" fillId="0" fontId="5" numFmtId="164" xfId="0" applyAlignment="1" applyFont="1" applyNumberFormat="1">
      <alignment readingOrder="0" shrinkToFit="0" wrapText="0"/>
    </xf>
    <xf borderId="0" fillId="0" fontId="6" numFmtId="165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5" xfId="0" applyAlignment="1" applyFont="1" applyNumberFormat="1">
      <alignment readingOrder="0" shrinkToFit="0" wrapText="0"/>
    </xf>
    <xf borderId="0" fillId="0" fontId="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6" t="s">
        <v>16</v>
      </c>
      <c r="C6" s="6">
        <v>100.0</v>
      </c>
      <c r="D6" s="6">
        <v>10.0</v>
      </c>
      <c r="E6" s="6" t="s">
        <v>17</v>
      </c>
      <c r="F6" s="6"/>
      <c r="G6" s="6"/>
      <c r="H6" s="6"/>
      <c r="I6" s="6" t="s">
        <v>18</v>
      </c>
      <c r="J6" s="6" t="s">
        <v>19</v>
      </c>
      <c r="K6" s="6"/>
      <c r="L6" s="6"/>
      <c r="M6" s="6"/>
      <c r="N6" s="6"/>
      <c r="O6" s="6"/>
      <c r="AM6" s="8"/>
      <c r="AN6" s="8"/>
      <c r="AO6" s="8"/>
      <c r="AP6" s="8"/>
      <c r="AQ6" s="8"/>
      <c r="AR6" s="8"/>
    </row>
    <row r="7" ht="15.75" customHeight="1">
      <c r="A7" s="6"/>
      <c r="B7" s="6" t="s">
        <v>16</v>
      </c>
      <c r="C7" s="6">
        <v>110.0</v>
      </c>
      <c r="D7" s="6">
        <v>10.0</v>
      </c>
      <c r="E7" s="6" t="s">
        <v>17</v>
      </c>
      <c r="F7" s="6"/>
      <c r="G7" s="6"/>
      <c r="H7" s="6"/>
      <c r="I7" s="6" t="s">
        <v>18</v>
      </c>
      <c r="J7" s="6" t="s">
        <v>19</v>
      </c>
      <c r="K7" s="6"/>
      <c r="L7" s="6"/>
      <c r="M7" s="6"/>
      <c r="N7" s="6"/>
      <c r="O7" s="6"/>
      <c r="AM7" s="8"/>
      <c r="AN7" s="8"/>
      <c r="AO7" s="8"/>
      <c r="AP7" s="8"/>
      <c r="AQ7" s="8"/>
      <c r="AR7" s="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21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IFERROR(__xludf.DUMMYFUNCTION("""COMPUTED_VALUE"""),"RangeType")</f>
        <v>RangeType</v>
      </c>
      <c r="C5" s="22" t="str">
        <f>IFERROR(__xludf.DUMMYFUNCTION("""COMPUTED_VALUE"""),"From")</f>
        <v>From</v>
      </c>
      <c r="D5" s="22" t="str">
        <f>IFERROR(__xludf.DUMMYFUNCTION("""COMPUTED_VALUE"""),"To")</f>
        <v>To</v>
      </c>
      <c r="E5" s="22" t="str">
        <f>IFERROR(__xludf.DUMMYFUNCTION("""COMPUTED_VALUE"""),"FilterTabName")</f>
        <v>FilterTabName</v>
      </c>
      <c r="F5" s="22" t="str">
        <f>IFERROR(__xludf.DUMMYFUNCTION("""COMPUTED_VALUE"""),"Symbol")</f>
        <v>Symbol</v>
      </c>
      <c r="G5" s="22" t="str">
        <f>IFERROR(__xludf.DUMMYFUNCTION("""COMPUTED_VALUE"""),"Asset")</f>
        <v>Asset</v>
      </c>
      <c r="H5" s="22" t="str">
        <f>IFERROR(__xludf.DUMMYFUNCTION("""COMPUTED_VALUE"""),"Side")</f>
        <v>Side</v>
      </c>
      <c r="I5" s="22" t="str">
        <f>IFERROR(__xludf.DUMMYFUNCTION("""COMPUTED_VALUE"""),"Account")</f>
        <v>Account</v>
      </c>
      <c r="J5" s="22" t="str">
        <f>IFERROR(__xludf.DUMMYFUNCTION("""COMPUTED_VALUE"""),"Broker")</f>
        <v>Broker</v>
      </c>
      <c r="K5" s="22" t="str">
        <f>IFERROR(__xludf.DUMMYFUNCTION("""COMPUTED_VALUE"""),"Currency")</f>
        <v>Currency</v>
      </c>
      <c r="L5" s="22" t="str">
        <f>IFERROR(__xludf.DUMMYFUNCTION("""COMPUTED_VALUE"""),"Exchange")</f>
        <v>Exchange</v>
      </c>
      <c r="M5" s="22" t="str">
        <f>IFERROR(__xludf.DUMMYFUNCTION("""COMPUTED_VALUE"""),"StrategyName")</f>
        <v>StrategyName</v>
      </c>
      <c r="N5" s="22" t="str">
        <f>IFERROR(__xludf.DUMMYFUNCTION("""COMPUTED_VALUE"""),"Underlying")</f>
        <v>Underlying</v>
      </c>
      <c r="O5" s="22" t="str">
        <f>IFERROR(__xludf.DUMMYFUNCTION("""COMPUTED_VALUE"""),"Venue")</f>
        <v>Venue</v>
      </c>
      <c r="P5" s="22" t="str">
        <f>IFERROR(__xludf.DUMMYFUNCTION("""COMPUTED_VALUE"""),"TradingAccount")</f>
        <v>TradingAccount</v>
      </c>
      <c r="Q5" s="22" t="str">
        <f>IFERROR(__xludf.DUMMYFUNCTION("""COMPUTED_VALUE"""),"PreAllocated")</f>
        <v>PreAllocated</v>
      </c>
      <c r="R5" s="22" t="str">
        <f>IFERROR(__xludf.DUMMYFUNCTION("""COMPUTED_VALUE"""),"ManualGroup")</f>
        <v>ManualGroup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IFERROR(__xludf.DUMMYFUNCTION("""COMPUTED_VALUE"""),"Side")</f>
        <v>Side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 t="s">
        <v>16</v>
      </c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 t="s">
        <v>16</v>
      </c>
      <c r="E6" s="6"/>
      <c r="F6" s="6" t="s">
        <v>19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IFERROR(__xludf.DUMMYFUNCTION("""COMPUTED_VALUE"""),"User")</f>
        <v>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1")</f>
        <v>Trade Attribute 1</v>
      </c>
      <c r="N5" s="22" t="str">
        <f>IFERROR(__xludf.DUMMYFUNCTION("""COMPUTED_VALUE"""),"Trade Attribute 2")</f>
        <v>Trade Attribute 2</v>
      </c>
      <c r="O5" s="22" t="str">
        <f>IFERROR(__xludf.DUMMYFUNCTION("""COMPUTED_VALUE"""),"Trade Attribute 3")</f>
        <v>Trade Attribute 3</v>
      </c>
      <c r="P5" s="22" t="str">
        <f>IFERROR(__xludf.DUMMYFUNCTION("""COMPUTED_VALUE"""),"Trade Attribute 4")</f>
        <v>Trade Attribute 4</v>
      </c>
      <c r="Q5" s="22" t="str">
        <f>IFERROR(__xludf.DUMMYFUNCTION("""COMPUTED_VALUE"""),"Trade Attribute 5")</f>
        <v>Trade Attribute 5</v>
      </c>
      <c r="R5" s="22" t="str">
        <f>IFERROR(__xludf.DUMMYFUNCTION("""COMPUTED_VALUE"""),"Trade Attribute 6")</f>
        <v>Trade Attribute 6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FxRate Operator")</f>
        <v>Settlement FxRate Operator</v>
      </c>
      <c r="V5" s="23" t="str">
        <f>IFERROR(__xludf.DUMMYFUNCTION("""COMPUTED_VALUE"""),"Settlement Currency")</f>
        <v>Settlement Currency</v>
      </c>
      <c r="W5" s="23" t="str">
        <f>IFERROR(__xludf.DUMMYFUNCTION("""COMPUTED_VALUE"""),"Put/Call")</f>
        <v>Put/Call</v>
      </c>
      <c r="X5" s="23" t="str">
        <f>IFERROR(__xludf.DUMMYFUNCTION("""COMPUTED_VALUE"""),"Process Date")</f>
        <v>Process Date</v>
      </c>
      <c r="Y5" s="23" t="str">
        <f>IFERROR(__xludf.DUMMYFUNCTION("""COMPUTED_VALUE"""),"Peg")</f>
        <v>Peg</v>
      </c>
      <c r="Z5" s="23" t="str">
        <f>IFERROR(__xludf.DUMMYFUNCTION("""COMPUTED_VALUE"""),"ParentClOrderID")</f>
        <v>ParentClOrderID</v>
      </c>
      <c r="AA5" s="23" t="str">
        <f>IFERROR(__xludf.DUMMYFUNCTION("""COMPUTED_VALUE"""),"OrderID")</f>
        <v>OrderID</v>
      </c>
      <c r="AB5" s="23" t="str">
        <f>IFERROR(__xludf.DUMMYFUNCTION("""COMPUTED_VALUE"""),"Master Fund")</f>
        <v>Master Fund</v>
      </c>
      <c r="AC5" s="23" t="str">
        <f>IFERROR(__xludf.DUMMYFUNCTION("""COMPUTED_VALUE"""),"Last Shares")</f>
        <v>Last Shares</v>
      </c>
      <c r="AD5" s="23" t="str">
        <f>IFERROR(__xludf.DUMMYFUNCTION("""COMPUTED_VALUE"""),"Internal Comments")</f>
        <v>Internal Comments</v>
      </c>
      <c r="AE5" s="23" t="str">
        <f>IFERROR(__xludf.DUMMYFUNCTION("""COMPUTED_VALUE"""),"FX Rate")</f>
        <v>FX Rate</v>
      </c>
      <c r="AF5" s="23" t="str">
        <f>IFERROR(__xludf.DUMMYFUNCTION("""COMPUTED_VALUE"""),"Imported File Name")</f>
        <v>Imported File Name</v>
      </c>
      <c r="AG5" s="23" t="str">
        <f>IFERROR(__xludf.DUMMYFUNCTION("""COMPUTED_VALUE"""),"FX Conversion Operator")</f>
        <v>FX Conversion Operator</v>
      </c>
      <c r="AH5" s="23" t="str">
        <f>IFERROR(__xludf.DUMMYFUNCTION("""COMPUTED_VALUE"""),"Day Average Price")</f>
        <v>Day Average Price</v>
      </c>
      <c r="AI5" s="23" t="str">
        <f>IFERROR(__xludf.DUMMYFUNCTION("""COMPUTED_VALUE"""),"Asset Class")</f>
        <v>Asset Class</v>
      </c>
      <c r="AJ5" s="23" t="str">
        <f>IFERROR(__xludf.DUMMYFUNCTION("""COMPUTED_VALUE"""),"Symbol")</f>
        <v>Symbol</v>
      </c>
      <c r="AK5" s="23" t="str">
        <f>IFERROR(__xludf.DUMMYFUNCTION("""COMPUTED_VALUE"""),"Side")</f>
        <v>Side</v>
      </c>
      <c r="AL5" s="23" t="str">
        <f>IFERROR(__xludf.DUMMYFUNCTION("""COMPUTED_VALUE"""),"Status")</f>
        <v>Status</v>
      </c>
      <c r="AM5" s="23" t="str">
        <f>IFERROR(__xludf.DUMMYFUNCTION("""COMPUTED_VALUE"""),"Quantity")</f>
        <v>Quantity</v>
      </c>
      <c r="AN5" s="23" t="str">
        <f>IFERROR(__xludf.DUMMYFUNCTION("""COMPUTED_VALUE"""),"Executed Qty")</f>
        <v>Executed Qty</v>
      </c>
      <c r="AO5" s="23" t="str">
        <f>IFERROR(__xludf.DUMMYFUNCTION("""COMPUTED_VALUE"""),"% Executed")</f>
        <v>% Executed</v>
      </c>
      <c r="AP5" s="23" t="str">
        <f>IFERROR(__xludf.DUMMYFUNCTION("""COMPUTED_VALUE"""),"Day Executed Qty")</f>
        <v>Day Executed Qty</v>
      </c>
      <c r="AQ5" s="23" t="str">
        <f>IFERROR(__xludf.DUMMYFUNCTION("""COMPUTED_VALUE"""),"Remaining Qty")</f>
        <v>Remaining Qty</v>
      </c>
      <c r="AR5" s="23" t="str">
        <f>IFERROR(__xludf.DUMMYFUNCTION("""COMPUTED_VALUE"""),"Last Fill Price (Local)")</f>
        <v>Last Fill Price (Local)</v>
      </c>
      <c r="AS5" s="23" t="str">
        <f>IFERROR(__xludf.DUMMYFUNCTION("""COMPUTED_VALUE"""),"Avg Fill Price (Local)")</f>
        <v>Avg Fill Price (Local)</v>
      </c>
      <c r="AT5" s="23" t="str">
        <f>IFERROR(__xludf.DUMMYFUNCTION("""COMPUTED_VALUE"""),"Broker")</f>
        <v>Broker</v>
      </c>
      <c r="AU5" s="23" t="str">
        <f>IFERROR(__xludf.DUMMYFUNCTION("""COMPUTED_VALUE"""),"Account")</f>
        <v>Account</v>
      </c>
      <c r="AV5" s="23" t="str">
        <f>IFERROR(__xludf.DUMMYFUNCTION("""COMPUTED_VALUE"""),"Order Type")</f>
        <v>Order Type</v>
      </c>
      <c r="AW5" s="23" t="str">
        <f>IFERROR(__xludf.DUMMYFUNCTION("""COMPUTED_VALUE"""),"Principal Amount (Local)")</f>
        <v>Principal Amount (Local)</v>
      </c>
      <c r="AX5" s="23" t="str">
        <f>IFERROR(__xludf.DUMMYFUNCTION("""COMPUTED_VALUE"""),"Principal Amount (Base)")</f>
        <v>Principal Amount (Base)</v>
      </c>
      <c r="AY5" s="23" t="str">
        <f>IFERROR(__xludf.DUMMYFUNCTION("""COMPUTED_VALUE"""),"Settlement FxRate")</f>
        <v>Settlement FxRate</v>
      </c>
      <c r="AZ5" s="23" t="str">
        <f>IFERROR(__xludf.DUMMYFUNCTION("""COMPUTED_VALUE"""),"Settlement Price")</f>
        <v>Settlement Price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J6" s="8" t="s">
        <v>16</v>
      </c>
      <c r="AK6" s="8" t="s">
        <v>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EditTradeAttributesOrders!$4:$4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IFERROR(__xludf.DUMMYFUNCTION("""COMPUTED_VALUE"""),"Trade Attribute 01")</f>
        <v>Trade Attribute 01</v>
      </c>
      <c r="C5" s="22" t="str">
        <f>IFERROR(__xludf.DUMMYFUNCTION("""COMPUTED_VALUE"""),"Trade Attribute 02")</f>
        <v>Trade Attribute 02</v>
      </c>
      <c r="D5" s="22" t="str">
        <f>IFERROR(__xludf.DUMMYFUNCTION("""COMPUTED_VALUE"""),"Trade Attribute 03")</f>
        <v>Trade Attribute 03</v>
      </c>
      <c r="E5" s="22" t="str">
        <f>IFERROR(__xludf.DUMMYFUNCTION("""COMPUTED_VALUE"""),"Trade Attribute 04")</f>
        <v>Trade Attribute 04</v>
      </c>
      <c r="F5" s="22" t="str">
        <f>IFERROR(__xludf.DUMMYFUNCTION("""COMPUTED_VALUE"""),"Trade Attribute 05")</f>
        <v>Trade Attribute 05</v>
      </c>
      <c r="G5" s="22" t="str">
        <f>IFERROR(__xludf.DUMMYFUNCTION("""COMPUTED_VALUE"""),"Trade Attribute 06")</f>
        <v>Trade Attribute 06</v>
      </c>
      <c r="H5" s="22" t="str">
        <f>IFERROR(__xludf.DUMMYFUNCTION("""COMPUTED_VALUE"""),"Trade Attribute 01 suggestion")</f>
        <v>Trade Attribute 01 suggestion</v>
      </c>
      <c r="I5" s="22" t="str">
        <f>IFERROR(__xludf.DUMMYFUNCTION("""COMPUTED_VALUE"""),"Trade Attribute 02 suggestion")</f>
        <v>Trade Attribute 02 suggestion</v>
      </c>
      <c r="J5" s="22" t="str">
        <f>IFERROR(__xludf.DUMMYFUNCTION("""COMPUTED_VALUE"""),"Trade Attribute 03 suggestion")</f>
        <v>Trade Attribute 03 suggestion</v>
      </c>
      <c r="K5" s="22" t="str">
        <f>IFERROR(__xludf.DUMMYFUNCTION("""COMPUTED_VALUE"""),"Trade Attribute 04 suggestion")</f>
        <v>Trade Attribute 04 suggestion</v>
      </c>
      <c r="L5" s="22" t="str">
        <f>IFERROR(__xludf.DUMMYFUNCTION("""COMPUTED_VALUE"""),"Trade Attribute 05 suggestion")</f>
        <v>Trade Attribute 05 suggestion</v>
      </c>
      <c r="M5" s="22" t="str">
        <f>IFERROR(__xludf.DUMMYFUNCTION("""COMPUTED_VALUE"""),"Trade Attribute 06 suggestion")</f>
        <v>Trade Attribute 06 suggestion</v>
      </c>
      <c r="N5" s="22" t="str">
        <f>IFERROR(__xludf.DUMMYFUNCTION("""COMPUTED_VALUE"""),"Symbol")</f>
        <v>Symbol</v>
      </c>
      <c r="O5" s="22" t="str">
        <f>IFERROR(__xludf.DUMMYFUNCTION("""COMPUTED_VALUE"""),"Side")</f>
        <v>Side</v>
      </c>
      <c r="P5" s="22" t="str">
        <f>IFERROR(__xludf.DUMMYFUNCTION("""COMPUTED_VALUE"""),"Broker")</f>
        <v>Broker</v>
      </c>
      <c r="Q5" s="22" t="str">
        <f>IFERROR(__xludf.DUMMYFUNCTION("""COMPUTED_VALUE"""),"Quantity")</f>
        <v>Quantity</v>
      </c>
      <c r="R5" s="22" t="str">
        <f>IFERROR(__xludf.DUMMYFUNCTION("""COMPUTED_VALUE"""),"Trade Attribute 01 value")</f>
        <v>Trade Attribute 01 value</v>
      </c>
      <c r="S5" s="22" t="str">
        <f>IFERROR(__xludf.DUMMYFUNCTION("""COMPUTED_VALUE"""),"Trade Attribute 02 value")</f>
        <v>Trade Attribute 02 value</v>
      </c>
      <c r="T5" s="23" t="str">
        <f>IFERROR(__xludf.DUMMYFUNCTION("""COMPUTED_VALUE"""),"Trade Attribute 03 value")</f>
        <v>Trade Attribute 03 value</v>
      </c>
      <c r="U5" s="23" t="str">
        <f>IFERROR(__xludf.DUMMYFUNCTION("""COMPUTED_VALUE"""),"Trade Attribute 04 value")</f>
        <v>Trade Attribute 04 value</v>
      </c>
      <c r="V5" s="23" t="str">
        <f>IFERROR(__xludf.DUMMYFUNCTION("""COMPUTED_VALUE"""),"Trade Attribute 05 value")</f>
        <v>Trade Attribute 05 value</v>
      </c>
      <c r="W5" s="23" t="str">
        <f>IFERROR(__xludf.DUMMYFUNCTION("""COMPUTED_VALUE"""),"Trade Attribute 06 value")</f>
        <v>Trade Attribute 06 value</v>
      </c>
      <c r="X5" s="23" t="str">
        <f>IFERROR(__xludf.DUMMYFUNCTION("""COMPUTED_VALUE"""),"CloseOrSubmit")</f>
        <v>CloseOrSubmit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5.75" customHeight="1">
      <c r="A6" s="6"/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/>
      <c r="I6" s="6"/>
      <c r="J6" s="6"/>
      <c r="K6" s="6"/>
      <c r="L6" s="6"/>
      <c r="M6" s="6"/>
      <c r="N6" s="6" t="s">
        <v>16</v>
      </c>
      <c r="O6" s="6" t="s">
        <v>19</v>
      </c>
      <c r="P6" s="8" t="s">
        <v>34</v>
      </c>
      <c r="Q6" s="8">
        <v>210.0</v>
      </c>
      <c r="X6" s="24" t="s">
        <v>35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EditTradeAttributesWindow!$4:$4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24</v>
      </c>
      <c r="D3" s="4" t="s">
        <v>9</v>
      </c>
      <c r="E3" s="11" t="s">
        <v>36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 t="str">
        <f>IFERROR(__xludf.DUMMYFUNCTION("""COMPUTED_VALUE"""),"ManageHotButton")</f>
        <v>ManageHotButton</v>
      </c>
      <c r="DI4" s="20" t="str">
        <f>IFERROR(__xludf.DUMMYFUNCTION("""COMPUTED_VALUE"""),"EditTradeAttributesWindow")</f>
        <v>EditTradeAttributesWindow</v>
      </c>
      <c r="DJ4" s="20" t="str">
        <f>IFERROR(__xludf.DUMMYFUNCTION("""COMPUTED_VALUE"""),"EditTradeAttributesOrders")</f>
        <v>EditTradeAttributesOrders</v>
      </c>
      <c r="DK4" s="20" t="str">
        <f>IFERROR(__xludf.DUMMYFUNCTION("""COMPUTED_VALUE"""),"EditTradeAttributesWorkingSub")</f>
        <v>EditTradeAttributesWorkingSub</v>
      </c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</row>
    <row r="5" ht="15.75" customHeight="1">
      <c r="A5" s="21"/>
      <c r="B5" s="22" t="s">
        <v>37</v>
      </c>
      <c r="C5" s="22" t="s">
        <v>38</v>
      </c>
      <c r="D5" s="22" t="s">
        <v>39</v>
      </c>
      <c r="E5" s="22" t="s">
        <v>40</v>
      </c>
      <c r="F5" s="22" t="s">
        <v>41</v>
      </c>
      <c r="G5" s="22" t="s">
        <v>42</v>
      </c>
      <c r="H5" s="22" t="s">
        <v>43</v>
      </c>
      <c r="I5" s="22" t="s">
        <v>44</v>
      </c>
      <c r="J5" s="22" t="s">
        <v>45</v>
      </c>
      <c r="K5" s="22" t="s">
        <v>46</v>
      </c>
      <c r="L5" s="22" t="s">
        <v>47</v>
      </c>
      <c r="M5" s="22" t="s">
        <v>48</v>
      </c>
      <c r="N5" s="22" t="s">
        <v>49</v>
      </c>
      <c r="O5" s="22" t="s">
        <v>50</v>
      </c>
      <c r="P5" s="22" t="s">
        <v>51</v>
      </c>
      <c r="Q5" s="22" t="s">
        <v>52</v>
      </c>
      <c r="R5" s="22" t="s">
        <v>53</v>
      </c>
      <c r="S5" s="22" t="s">
        <v>54</v>
      </c>
      <c r="T5" s="23" t="s">
        <v>55</v>
      </c>
      <c r="U5" s="23" t="s">
        <v>56</v>
      </c>
      <c r="V5" s="23" t="s">
        <v>57</v>
      </c>
      <c r="W5" s="23" t="s">
        <v>58</v>
      </c>
      <c r="X5" s="23" t="s">
        <v>59</v>
      </c>
      <c r="Y5" s="23" t="s">
        <v>60</v>
      </c>
      <c r="Z5" s="23" t="s">
        <v>61</v>
      </c>
      <c r="AA5" s="23" t="s">
        <v>62</v>
      </c>
      <c r="AB5" s="23" t="s">
        <v>63</v>
      </c>
      <c r="AC5" s="23" t="s">
        <v>64</v>
      </c>
      <c r="AD5" s="23" t="s">
        <v>65</v>
      </c>
      <c r="AE5" s="23" t="s">
        <v>66</v>
      </c>
      <c r="AF5" s="23" t="s">
        <v>67</v>
      </c>
      <c r="AG5" s="23" t="s">
        <v>68</v>
      </c>
      <c r="AH5" s="23" t="s">
        <v>69</v>
      </c>
      <c r="AI5" s="23" t="s">
        <v>70</v>
      </c>
      <c r="AJ5" s="23" t="s">
        <v>71</v>
      </c>
      <c r="AK5" s="23" t="s">
        <v>72</v>
      </c>
      <c r="AL5" s="25" t="s">
        <v>73</v>
      </c>
      <c r="AM5" s="25" t="s">
        <v>74</v>
      </c>
      <c r="AN5" s="25" t="s">
        <v>75</v>
      </c>
      <c r="AO5" s="25" t="s">
        <v>76</v>
      </c>
      <c r="AP5" s="25" t="s">
        <v>77</v>
      </c>
      <c r="AQ5" s="25" t="s">
        <v>78</v>
      </c>
      <c r="AR5" s="23" t="s">
        <v>79</v>
      </c>
      <c r="AS5" s="23" t="s">
        <v>80</v>
      </c>
      <c r="AT5" s="23" t="s">
        <v>81</v>
      </c>
      <c r="AU5" s="23" t="s">
        <v>82</v>
      </c>
      <c r="AV5" s="23" t="s">
        <v>83</v>
      </c>
      <c r="AW5" s="23" t="s">
        <v>84</v>
      </c>
      <c r="AX5" s="23" t="s">
        <v>85</v>
      </c>
      <c r="AY5" s="23" t="s">
        <v>86</v>
      </c>
      <c r="AZ5" s="23" t="s">
        <v>87</v>
      </c>
      <c r="BA5" s="23" t="s">
        <v>88</v>
      </c>
      <c r="BB5" s="23" t="s">
        <v>89</v>
      </c>
      <c r="BC5" s="23" t="s">
        <v>90</v>
      </c>
      <c r="BD5" s="23" t="s">
        <v>91</v>
      </c>
      <c r="BE5" s="23" t="s">
        <v>92</v>
      </c>
      <c r="BF5" s="23" t="s">
        <v>93</v>
      </c>
      <c r="BG5" s="23" t="s">
        <v>94</v>
      </c>
      <c r="BH5" s="23" t="s">
        <v>95</v>
      </c>
      <c r="BI5" s="23" t="s">
        <v>96</v>
      </c>
      <c r="BJ5" s="23" t="s">
        <v>97</v>
      </c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</row>
    <row r="6" ht="16.5" customHeight="1">
      <c r="A6" s="6"/>
      <c r="B6" s="6" t="s">
        <v>16</v>
      </c>
      <c r="C6" s="6" t="s">
        <v>19</v>
      </c>
      <c r="D6" s="6">
        <v>100.0</v>
      </c>
      <c r="E6" s="6">
        <v>100.0</v>
      </c>
      <c r="F6" s="6"/>
      <c r="G6" s="6" t="s">
        <v>98</v>
      </c>
      <c r="H6" s="6"/>
      <c r="I6" s="6"/>
      <c r="J6" s="6"/>
      <c r="K6" s="6" t="s">
        <v>34</v>
      </c>
      <c r="L6" s="6"/>
      <c r="M6" s="6" t="s">
        <v>99</v>
      </c>
      <c r="N6" s="6"/>
      <c r="O6" s="6">
        <v>10.0</v>
      </c>
      <c r="R6" s="8" t="s">
        <v>100</v>
      </c>
      <c r="S6" s="8" t="s">
        <v>101</v>
      </c>
      <c r="W6" s="8" t="s">
        <v>102</v>
      </c>
      <c r="AC6" s="8">
        <v>1000.0</v>
      </c>
      <c r="AD6" s="8">
        <v>1000.0</v>
      </c>
      <c r="AL6" s="6" t="s">
        <v>28</v>
      </c>
      <c r="AM6" s="6" t="s">
        <v>29</v>
      </c>
      <c r="AN6" s="6" t="s">
        <v>30</v>
      </c>
      <c r="AO6" s="6" t="s">
        <v>31</v>
      </c>
      <c r="AP6" s="6" t="s">
        <v>32</v>
      </c>
      <c r="AQ6" s="6" t="s">
        <v>33</v>
      </c>
      <c r="AV6" s="8" t="s">
        <v>103</v>
      </c>
      <c r="BA6" s="8"/>
      <c r="BB6" s="8" t="s">
        <v>100</v>
      </c>
    </row>
    <row r="7" ht="16.5" customHeight="1">
      <c r="A7" s="6"/>
      <c r="B7" s="6" t="s">
        <v>16</v>
      </c>
      <c r="C7" s="6" t="s">
        <v>19</v>
      </c>
      <c r="D7" s="6">
        <v>110.0</v>
      </c>
      <c r="E7" s="6">
        <v>110.0</v>
      </c>
      <c r="F7" s="6"/>
      <c r="G7" s="6" t="s">
        <v>98</v>
      </c>
      <c r="H7" s="6"/>
      <c r="I7" s="6"/>
      <c r="J7" s="6"/>
      <c r="K7" s="6" t="s">
        <v>34</v>
      </c>
      <c r="L7" s="6"/>
      <c r="M7" s="6" t="s">
        <v>99</v>
      </c>
      <c r="N7" s="6"/>
      <c r="O7" s="6">
        <v>10.0</v>
      </c>
      <c r="R7" s="8" t="s">
        <v>100</v>
      </c>
      <c r="S7" s="8" t="s">
        <v>101</v>
      </c>
      <c r="W7" s="8" t="s">
        <v>102</v>
      </c>
      <c r="AC7" s="8">
        <v>1100.0</v>
      </c>
      <c r="AD7" s="8">
        <v>1100.0</v>
      </c>
      <c r="AL7" s="6" t="s">
        <v>28</v>
      </c>
      <c r="AM7" s="6" t="s">
        <v>29</v>
      </c>
      <c r="AN7" s="6" t="s">
        <v>30</v>
      </c>
      <c r="AO7" s="6" t="s">
        <v>31</v>
      </c>
      <c r="AP7" s="6" t="s">
        <v>32</v>
      </c>
      <c r="AQ7" s="6" t="s">
        <v>33</v>
      </c>
      <c r="AV7" s="8" t="s">
        <v>103</v>
      </c>
      <c r="BA7" s="8"/>
      <c r="BB7" s="8" t="s">
        <v>100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  <col customWidth="1" min="76" max="76" width="15.38"/>
    <col customWidth="1" min="77" max="77" width="17.0"/>
    <col customWidth="1" min="78" max="78" width="16.88"/>
    <col customWidth="1" min="79" max="79" width="15.63"/>
    <col customWidth="1" min="80" max="80" width="14.63"/>
    <col customWidth="1" min="81" max="81" width="14.13"/>
    <col customWidth="1" min="82" max="15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104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</row>
    <row r="5" ht="15.75" customHeight="1">
      <c r="A5" s="21"/>
      <c r="B5" s="26" t="s">
        <v>105</v>
      </c>
      <c r="C5" s="26" t="s">
        <v>106</v>
      </c>
      <c r="D5" s="26" t="s">
        <v>107</v>
      </c>
      <c r="E5" s="26" t="s">
        <v>56</v>
      </c>
      <c r="F5" s="26" t="s">
        <v>108</v>
      </c>
      <c r="G5" s="26" t="s">
        <v>109</v>
      </c>
      <c r="H5" s="26" t="s">
        <v>110</v>
      </c>
      <c r="I5" s="26" t="s">
        <v>111</v>
      </c>
      <c r="J5" s="26" t="s">
        <v>112</v>
      </c>
      <c r="K5" s="26" t="s">
        <v>113</v>
      </c>
      <c r="L5" s="26" t="s">
        <v>114</v>
      </c>
      <c r="M5" s="26" t="s">
        <v>115</v>
      </c>
      <c r="N5" s="26" t="s">
        <v>46</v>
      </c>
      <c r="O5" s="26" t="s">
        <v>116</v>
      </c>
      <c r="P5" s="26" t="s">
        <v>117</v>
      </c>
      <c r="Q5" s="26" t="s">
        <v>118</v>
      </c>
      <c r="R5" s="26" t="s">
        <v>119</v>
      </c>
      <c r="S5" s="26" t="s">
        <v>120</v>
      </c>
      <c r="T5" s="27" t="s">
        <v>121</v>
      </c>
      <c r="U5" s="27" t="s">
        <v>122</v>
      </c>
      <c r="V5" s="27" t="s">
        <v>123</v>
      </c>
      <c r="W5" s="27" t="s">
        <v>124</v>
      </c>
      <c r="X5" s="27" t="s">
        <v>125</v>
      </c>
      <c r="Y5" s="27" t="s">
        <v>126</v>
      </c>
      <c r="Z5" s="27" t="s">
        <v>127</v>
      </c>
      <c r="AA5" s="27" t="s">
        <v>128</v>
      </c>
      <c r="AB5" s="27" t="s">
        <v>129</v>
      </c>
      <c r="AC5" s="27" t="s">
        <v>130</v>
      </c>
      <c r="AD5" s="27" t="s">
        <v>131</v>
      </c>
      <c r="AE5" s="27" t="s">
        <v>40</v>
      </c>
      <c r="AF5" s="27" t="s">
        <v>132</v>
      </c>
      <c r="AG5" s="27" t="s">
        <v>59</v>
      </c>
      <c r="AH5" s="27" t="s">
        <v>60</v>
      </c>
      <c r="AI5" s="27" t="s">
        <v>133</v>
      </c>
      <c r="AJ5" s="27" t="s">
        <v>134</v>
      </c>
      <c r="AK5" s="27" t="s">
        <v>135</v>
      </c>
      <c r="AL5" s="27" t="s">
        <v>136</v>
      </c>
      <c r="AM5" s="27" t="s">
        <v>62</v>
      </c>
      <c r="AN5" s="27" t="s">
        <v>137</v>
      </c>
      <c r="AO5" s="27" t="s">
        <v>138</v>
      </c>
      <c r="AP5" s="27" t="s">
        <v>139</v>
      </c>
      <c r="AQ5" s="27" t="s">
        <v>140</v>
      </c>
      <c r="AR5" s="27" t="s">
        <v>141</v>
      </c>
      <c r="AS5" s="27" t="s">
        <v>142</v>
      </c>
      <c r="AT5" s="27" t="s">
        <v>143</v>
      </c>
      <c r="AU5" s="27" t="s">
        <v>144</v>
      </c>
      <c r="AV5" s="27" t="s">
        <v>145</v>
      </c>
      <c r="AW5" s="27" t="s">
        <v>146</v>
      </c>
      <c r="AX5" s="27" t="s">
        <v>147</v>
      </c>
      <c r="AY5" s="27" t="s">
        <v>48</v>
      </c>
      <c r="AZ5" s="27" t="s">
        <v>148</v>
      </c>
      <c r="BA5" s="27" t="s">
        <v>149</v>
      </c>
      <c r="BB5" s="27" t="s">
        <v>150</v>
      </c>
      <c r="BC5" s="27" t="s">
        <v>151</v>
      </c>
      <c r="BD5" s="27" t="s">
        <v>152</v>
      </c>
      <c r="BE5" s="27" t="s">
        <v>153</v>
      </c>
      <c r="BF5" s="27" t="s">
        <v>154</v>
      </c>
      <c r="BG5" s="27" t="s">
        <v>66</v>
      </c>
      <c r="BH5" s="27" t="s">
        <v>155</v>
      </c>
      <c r="BI5" s="27" t="s">
        <v>156</v>
      </c>
      <c r="BJ5" s="27" t="s">
        <v>39</v>
      </c>
      <c r="BK5" s="27" t="s">
        <v>157</v>
      </c>
      <c r="BL5" s="27" t="s">
        <v>158</v>
      </c>
      <c r="BM5" s="27" t="s">
        <v>68</v>
      </c>
      <c r="BN5" s="27" t="s">
        <v>159</v>
      </c>
      <c r="BO5" s="27" t="s">
        <v>38</v>
      </c>
      <c r="BP5" s="27" t="s">
        <v>160</v>
      </c>
      <c r="BQ5" s="27" t="s">
        <v>161</v>
      </c>
      <c r="BR5" s="27" t="s">
        <v>162</v>
      </c>
      <c r="BS5" s="27" t="s">
        <v>37</v>
      </c>
      <c r="BT5" s="27" t="s">
        <v>163</v>
      </c>
      <c r="BU5" s="27" t="s">
        <v>164</v>
      </c>
      <c r="BV5" s="27" t="s">
        <v>165</v>
      </c>
      <c r="BW5" s="27" t="s">
        <v>166</v>
      </c>
      <c r="BX5" s="27" t="s">
        <v>73</v>
      </c>
      <c r="BY5" s="27" t="s">
        <v>74</v>
      </c>
      <c r="BZ5" s="27" t="s">
        <v>75</v>
      </c>
      <c r="CA5" s="27" t="s">
        <v>76</v>
      </c>
      <c r="CB5" s="27" t="s">
        <v>77</v>
      </c>
      <c r="CC5" s="27" t="s">
        <v>78</v>
      </c>
      <c r="CD5" s="27" t="s">
        <v>167</v>
      </c>
      <c r="CE5" s="27" t="s">
        <v>168</v>
      </c>
      <c r="CF5" s="27" t="s">
        <v>169</v>
      </c>
      <c r="CG5" s="27" t="s">
        <v>170</v>
      </c>
      <c r="CH5" s="27" t="s">
        <v>171</v>
      </c>
      <c r="CI5" s="27" t="s">
        <v>172</v>
      </c>
      <c r="CJ5" s="27" t="s">
        <v>173</v>
      </c>
      <c r="CK5" s="27" t="s">
        <v>174</v>
      </c>
      <c r="CL5" s="27" t="s">
        <v>82</v>
      </c>
      <c r="CM5" s="27" t="s">
        <v>175</v>
      </c>
      <c r="CN5" s="27" t="s">
        <v>83</v>
      </c>
      <c r="CO5" s="27" t="s">
        <v>176</v>
      </c>
      <c r="CP5" s="27" t="s">
        <v>177</v>
      </c>
      <c r="CQ5" s="27" t="s">
        <v>88</v>
      </c>
      <c r="CR5" s="27" t="s">
        <v>178</v>
      </c>
      <c r="CS5" s="27" t="s">
        <v>92</v>
      </c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</row>
    <row r="6" ht="15.75" customHeight="1">
      <c r="A6" s="6"/>
      <c r="B6" s="6"/>
      <c r="C6" s="6"/>
      <c r="D6" s="24">
        <v>0.0</v>
      </c>
      <c r="E6" s="6"/>
      <c r="F6" s="24" t="s">
        <v>102</v>
      </c>
      <c r="G6" s="24">
        <v>8.0</v>
      </c>
      <c r="H6" s="24">
        <v>10.0</v>
      </c>
      <c r="I6" s="24">
        <v>1.0</v>
      </c>
      <c r="J6" s="24">
        <v>10.0</v>
      </c>
      <c r="K6" s="24">
        <v>10.0</v>
      </c>
      <c r="L6" s="24" t="s">
        <v>101</v>
      </c>
      <c r="M6" s="6"/>
      <c r="N6" s="28" t="s">
        <v>34</v>
      </c>
      <c r="O6" s="6"/>
      <c r="R6" s="24" t="s">
        <v>179</v>
      </c>
      <c r="S6" s="24" t="s">
        <v>180</v>
      </c>
      <c r="T6" s="8"/>
      <c r="V6" s="8"/>
      <c r="Z6" s="24" t="s">
        <v>181</v>
      </c>
      <c r="AD6" s="24" t="s">
        <v>103</v>
      </c>
      <c r="AE6" s="24">
        <v>210.0</v>
      </c>
      <c r="AG6" s="28" t="s">
        <v>182</v>
      </c>
      <c r="AH6" s="8"/>
      <c r="AI6" s="24" t="s">
        <v>183</v>
      </c>
      <c r="AN6" s="24" t="b">
        <v>0</v>
      </c>
      <c r="AP6" s="24" t="b">
        <v>1</v>
      </c>
      <c r="AR6" s="24" t="b">
        <v>0</v>
      </c>
      <c r="AT6" s="29">
        <v>2128.0012</v>
      </c>
      <c r="AU6" s="29">
        <v>2128.0012</v>
      </c>
      <c r="AV6" s="30"/>
      <c r="AW6" s="30"/>
      <c r="AY6" s="24" t="s">
        <v>99</v>
      </c>
      <c r="BC6" s="8"/>
      <c r="BE6" s="29">
        <v>2100.0</v>
      </c>
      <c r="BF6" s="29">
        <v>2100.0</v>
      </c>
      <c r="BJ6" s="24">
        <v>210.0</v>
      </c>
      <c r="BM6" s="24" t="s">
        <v>181</v>
      </c>
      <c r="BO6" s="28" t="s">
        <v>19</v>
      </c>
      <c r="BP6" s="8"/>
      <c r="BS6" s="24" t="s">
        <v>16</v>
      </c>
      <c r="BT6" s="24">
        <v>6.0</v>
      </c>
      <c r="BV6" s="24">
        <v>28.0012</v>
      </c>
      <c r="BX6" s="24" t="s">
        <v>28</v>
      </c>
      <c r="BY6" s="24" t="s">
        <v>29</v>
      </c>
      <c r="BZ6" s="24" t="s">
        <v>30</v>
      </c>
      <c r="CA6" s="24" t="s">
        <v>31</v>
      </c>
      <c r="CB6" s="24" t="s">
        <v>32</v>
      </c>
      <c r="CC6" s="24" t="s">
        <v>33</v>
      </c>
      <c r="CE6" s="24" t="s">
        <v>184</v>
      </c>
      <c r="CF6" s="24">
        <v>4.0</v>
      </c>
      <c r="CH6" s="28" t="s">
        <v>19</v>
      </c>
      <c r="CI6" s="24">
        <v>210.0</v>
      </c>
      <c r="CJ6" s="24" t="s">
        <v>185</v>
      </c>
      <c r="CL6" s="8"/>
      <c r="CM6" s="24" t="s">
        <v>100</v>
      </c>
      <c r="CN6" s="28" t="s">
        <v>103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ht="15.75" customHeight="1">
      <c r="A10" s="29"/>
      <c r="B10" s="29"/>
      <c r="C10" s="29"/>
      <c r="D10" s="29"/>
      <c r="E10" s="28"/>
      <c r="F10" s="6"/>
      <c r="G10" s="31"/>
      <c r="H10" s="6"/>
      <c r="I10" s="6"/>
      <c r="J10" s="28"/>
      <c r="K10" s="28"/>
      <c r="L10" s="28"/>
      <c r="M10" s="6"/>
      <c r="N10" s="28"/>
      <c r="O10" s="28"/>
      <c r="DG10" s="32"/>
      <c r="DH10" s="32"/>
      <c r="DI10" s="32"/>
      <c r="DJ10" s="32"/>
      <c r="DK10" s="33"/>
      <c r="DL10" s="32"/>
      <c r="DM10" s="33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97" width="12.63"/>
    <col customWidth="1" min="98" max="98" width="15.5"/>
    <col customWidth="1" min="99" max="99" width="15.13"/>
    <col customWidth="1" min="100" max="100" width="15.25"/>
    <col customWidth="1" min="101" max="101" width="15.5"/>
    <col customWidth="1" min="102" max="154" width="12.63"/>
    <col customWidth="1" min="155" max="155" width="14.13"/>
    <col customWidth="1" min="156" max="156" width="17.13"/>
    <col customWidth="1" min="157" max="18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186</v>
      </c>
      <c r="D3" s="4" t="s">
        <v>9</v>
      </c>
      <c r="E3" s="11" t="s">
        <v>187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tr">
        <f>IFERROR(__xludf.DUMMYFUNCTION("""COMPUTED_VALUE"""),"CheckPortfolioManagement")</f>
        <v>CheckPortfolioManagement</v>
      </c>
      <c r="D4" s="19" t="str">
        <f>IFERROR(__xludf.DUMMYFUNCTION("""COMPUTED_VALUE"""),"CheckPMLiveFeed")</f>
        <v>CheckPMLiveFeed</v>
      </c>
      <c r="E4" s="19" t="str">
        <f>IFERROR(__xludf.DUMMYFUNCTION("""COMPUTED_VALUE"""),"OpenPSTFromPM")</f>
        <v>OpenPSTFromPM</v>
      </c>
      <c r="F4" s="19" t="str">
        <f>IFERROR(__xludf.DUMMYFUNCTION("""COMPUTED_VALUE"""),"ClosePM")</f>
        <v>ClosePM</v>
      </c>
      <c r="G4" s="19" t="str">
        <f>IFERROR(__xludf.DUMMYFUNCTION("""COMPUTED_VALUE"""),"FilterPM")</f>
        <v>FilterPM</v>
      </c>
      <c r="H4" s="19" t="str">
        <f>IFERROR(__xludf.DUMMYFUNCTION("""COMPUTED_VALUE"""),"GroupRowPM")</f>
        <v>GroupRowPM</v>
      </c>
      <c r="I4" s="19" t="str">
        <f>IFERROR(__xludf.DUMMYFUNCTION("""COMPUTED_VALUE"""),"CheckDashboardWithPM")</f>
        <v>CheckDashboardWithPM</v>
      </c>
      <c r="J4" s="19" t="str">
        <f>IFERROR(__xludf.DUMMYFUNCTION("""COMPUTED_VALUE"""),"RemoveFilterPM")</f>
        <v>RemoveFilterPM</v>
      </c>
      <c r="K4" s="19" t="str">
        <f>IFERROR(__xludf.DUMMYFUNCTION("""COMPUTED_VALUE"""),"CheckSummaryRowsPM")</f>
        <v>CheckSummaryRowsPM</v>
      </c>
      <c r="L4" s="19" t="str">
        <f>IFERROR(__xludf.DUMMYFUNCTION("""COMPUTED_VALUE"""),"OpenPTTFromPM")</f>
        <v>OpenPTTFromPM</v>
      </c>
      <c r="M4" s="19" t="str">
        <f>IFERROR(__xludf.DUMMYFUNCTION("""COMPUTED_VALUE"""),"OpenClosingFromPM")</f>
        <v>OpenClosingFromPM</v>
      </c>
      <c r="N4" s="19" t="str">
        <f>IFERROR(__xludf.DUMMYFUNCTION("""COMPUTED_VALUE"""),"OpenCorporateActionFromPM")</f>
        <v>OpenCorporateActionFromPM</v>
      </c>
      <c r="O4" s="19" t="str">
        <f>IFERROR(__xludf.DUMMYFUNCTION("""COMPUTED_VALUE"""),"OpenDailyValuationFromPM")</f>
        <v>OpenDailyValuationFromPM</v>
      </c>
      <c r="P4" s="20" t="str">
        <f>IFERROR(__xludf.DUMMYFUNCTION("""COMPUTED_VALUE"""),"ClosePositionFromPM")</f>
        <v>ClosePositionFromPM</v>
      </c>
      <c r="Q4" s="20" t="str">
        <f>IFERROR(__xludf.DUMMYFUNCTION("""COMPUTED_VALUE"""),"ShowSummaryToolFromPM")</f>
        <v>ShowSummaryToolFromPM</v>
      </c>
      <c r="R4" s="20" t="str">
        <f>IFERROR(__xludf.DUMMYFUNCTION("""COMPUTED_VALUE"""),"HideSummaryToolFromPM")</f>
        <v>HideSummaryToolFromPM</v>
      </c>
      <c r="S4" s="20" t="str">
        <f>IFERROR(__xludf.DUMMYFUNCTION("""COMPUTED_VALUE"""),"CloseAccountPositionFromPM")</f>
        <v>CloseAccountPositionFromPM</v>
      </c>
      <c r="T4" s="20" t="str">
        <f>IFERROR(__xludf.DUMMYFUNCTION("""COMPUTED_VALUE"""),"CloseSelectedTaxlotsFromPM")</f>
        <v>CloseSelectedTaxlotsFromPM</v>
      </c>
      <c r="U4" s="20" t="str">
        <f>IFERROR(__xludf.DUMMYFUNCTION("""COMPUTED_VALUE"""),"ExpandCollapsePM")</f>
        <v>ExpandCollapsePM</v>
      </c>
      <c r="V4" s="20" t="str">
        <f>IFERROR(__xludf.DUMMYFUNCTION("""COMPUTED_VALUE"""),"AddCustomViewPM")</f>
        <v>AddCustomViewPM</v>
      </c>
      <c r="W4" s="20" t="str">
        <f>IFERROR(__xludf.DUMMYFUNCTION("""COMPUTED_VALUE"""),"AddCustomViewRightClickPM")</f>
        <v>AddCustomViewRightClickPM</v>
      </c>
      <c r="X4" s="20" t="str">
        <f>IFERROR(__xludf.DUMMYFUNCTION("""COMPUTED_VALUE"""),"RenameCustomViewPM")</f>
        <v>RenameCustomViewPM</v>
      </c>
      <c r="Y4" s="20" t="str">
        <f>IFERROR(__xludf.DUMMYFUNCTION("""COMPUTED_VALUE"""),"DeleteCustomViewPM")</f>
        <v>DeleteCustomViewPM</v>
      </c>
      <c r="Z4" s="20" t="str">
        <f>IFERROR(__xludf.DUMMYFUNCTION("""COMPUTED_VALUE"""),"OpenCreateTransactionFromPM")</f>
        <v>OpenCreateTransactionFromPM</v>
      </c>
      <c r="AA4" s="20" t="str">
        <f>IFERROR(__xludf.DUMMYFUNCTION("""COMPUTED_VALUE"""),"RemoveGroupingFromPM")</f>
        <v>RemoveGroupingFromPM</v>
      </c>
      <c r="AB4" s="20" t="str">
        <f>IFERROR(__xludf.DUMMYFUNCTION("""COMPUTED_VALUE"""),"IncreasePositionFromPM")</f>
        <v>IncreasePositionFromPM</v>
      </c>
      <c r="AC4" s="20" t="str">
        <f>IFERROR(__xludf.DUMMYFUNCTION("""COMPUTED_VALUE"""),"SortAndVerifyPM")</f>
        <v>SortAndVerifyPM</v>
      </c>
      <c r="AD4" s="20" t="str">
        <f>IFERROR(__xludf.DUMMYFUNCTION("""COMPUTED_VALUE"""),"OpenPIFromPM")</f>
        <v>OpenPIFromPM</v>
      </c>
      <c r="AE4" s="20" t="str">
        <f>IFERROR(__xludf.DUMMYFUNCTION("""COMPUTED_VALUE"""),"ViewSettings")</f>
        <v>ViewSettings</v>
      </c>
      <c r="AF4" s="20" t="str">
        <f>IFERROR(__xludf.DUMMYFUNCTION("""COMPUTED_VALUE"""),"SaveLayoutPM")</f>
        <v>SaveLayoutPM</v>
      </c>
      <c r="AG4" s="20" t="str">
        <f>IFERROR(__xludf.DUMMYFUNCTION("""COMPUTED_VALUE"""),"SaveLayoutPM")</f>
        <v>SaveLayoutPM</v>
      </c>
      <c r="AH4" s="20" t="str">
        <f>IFERROR(__xludf.DUMMYFUNCTION("""COMPUTED_VALUE"""),"CustomView")</f>
        <v>CustomView</v>
      </c>
      <c r="AI4" s="20" t="str">
        <f>IFERROR(__xludf.DUMMYFUNCTION("""COMPUTED_VALUE"""),"OpenCustomView")</f>
        <v>OpenCustomView</v>
      </c>
      <c r="AJ4" s="20" t="str">
        <f>IFERROR(__xludf.DUMMYFUNCTION("""COMPUTED_VALUE"""),"CheckSummaryRowsPM")</f>
        <v>CheckSummaryRowsPM</v>
      </c>
      <c r="AK4" s="20" t="str">
        <f>IFERROR(__xludf.DUMMYFUNCTION("""COMPUTED_VALUE"""),"CheckCustomViewRowSummary")</f>
        <v>CheckCustomViewRowSummary</v>
      </c>
      <c r="AL4" s="20" t="str">
        <f>IFERROR(__xludf.DUMMYFUNCTION("""COMPUTED_VALUE"""),"GroupRowCustomView")</f>
        <v>GroupRowCustomView</v>
      </c>
      <c r="AM4" s="20" t="str">
        <f>IFERROR(__xludf.DUMMYFUNCTION("""COMPUTED_VALUE"""),"CheckCustomViewRowSummary")</f>
        <v>CheckCustomViewRowSummary</v>
      </c>
      <c r="AN4" s="20" t="str">
        <f>IFERROR(__xludf.DUMMYFUNCTION("""COMPUTED_VALUE"""),"OpenTaxlotDetails")</f>
        <v>OpenTaxlotDetails</v>
      </c>
      <c r="AO4" s="20" t="str">
        <f>IFERROR(__xludf.DUMMYFUNCTION("""COMPUTED_VALUE"""),"CheckTaxlotDetails")</f>
        <v>CheckTaxlotDetails</v>
      </c>
      <c r="AP4" s="20" t="str">
        <f>IFERROR(__xludf.DUMMYFUNCTION("""COMPUTED_VALUE"""),"SelectTradeOnPM")</f>
        <v>SelectTradeOnPM</v>
      </c>
      <c r="AQ4" s="20" t="str">
        <f>IFERROR(__xludf.DUMMYFUNCTION("""COMPUTED_VALUE"""),"OperationsonPM")</f>
        <v>OperationsonPM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</row>
    <row r="5" ht="15.75" customHeight="1">
      <c r="A5" s="21"/>
      <c r="B5" s="22" t="s">
        <v>167</v>
      </c>
      <c r="C5" s="22" t="s">
        <v>37</v>
      </c>
      <c r="D5" s="22" t="s">
        <v>188</v>
      </c>
      <c r="E5" s="22" t="s">
        <v>47</v>
      </c>
      <c r="F5" s="22" t="s">
        <v>189</v>
      </c>
      <c r="G5" s="22" t="s">
        <v>190</v>
      </c>
      <c r="H5" s="22" t="s">
        <v>191</v>
      </c>
      <c r="I5" s="22" t="s">
        <v>192</v>
      </c>
      <c r="J5" s="22" t="s">
        <v>193</v>
      </c>
      <c r="K5" s="22" t="s">
        <v>194</v>
      </c>
      <c r="L5" s="22" t="s">
        <v>195</v>
      </c>
      <c r="M5" s="22" t="s">
        <v>196</v>
      </c>
      <c r="N5" s="22" t="s">
        <v>197</v>
      </c>
      <c r="O5" s="22" t="s">
        <v>198</v>
      </c>
      <c r="P5" s="22" t="s">
        <v>199</v>
      </c>
      <c r="Q5" s="22" t="s">
        <v>200</v>
      </c>
      <c r="R5" s="22" t="s">
        <v>201</v>
      </c>
      <c r="S5" s="22" t="s">
        <v>71</v>
      </c>
      <c r="T5" s="23" t="s">
        <v>58</v>
      </c>
      <c r="U5" s="23" t="s">
        <v>173</v>
      </c>
      <c r="V5" s="23" t="s">
        <v>131</v>
      </c>
      <c r="W5" s="23" t="s">
        <v>202</v>
      </c>
      <c r="X5" s="23" t="s">
        <v>203</v>
      </c>
      <c r="Y5" s="23" t="s">
        <v>60</v>
      </c>
      <c r="Z5" s="23" t="s">
        <v>204</v>
      </c>
      <c r="AA5" s="23" t="s">
        <v>205</v>
      </c>
      <c r="AB5" s="23" t="s">
        <v>206</v>
      </c>
      <c r="AC5" s="23" t="s">
        <v>207</v>
      </c>
      <c r="AD5" s="23" t="s">
        <v>208</v>
      </c>
      <c r="AE5" s="23" t="s">
        <v>209</v>
      </c>
      <c r="AF5" s="23" t="s">
        <v>210</v>
      </c>
      <c r="AG5" s="23" t="s">
        <v>211</v>
      </c>
      <c r="AH5" s="23" t="s">
        <v>212</v>
      </c>
      <c r="AI5" s="23" t="s">
        <v>213</v>
      </c>
      <c r="AJ5" s="23" t="s">
        <v>214</v>
      </c>
      <c r="AK5" s="23" t="s">
        <v>215</v>
      </c>
      <c r="AL5" s="23" t="s">
        <v>129</v>
      </c>
      <c r="AM5" s="23" t="s">
        <v>216</v>
      </c>
      <c r="AN5" s="23" t="s">
        <v>217</v>
      </c>
      <c r="AO5" s="23" t="s">
        <v>218</v>
      </c>
      <c r="AP5" s="23" t="s">
        <v>219</v>
      </c>
      <c r="AQ5" s="23" t="s">
        <v>82</v>
      </c>
      <c r="AR5" s="23" t="s">
        <v>220</v>
      </c>
      <c r="AS5" s="23" t="s">
        <v>221</v>
      </c>
      <c r="AT5" s="23" t="s">
        <v>130</v>
      </c>
      <c r="AU5" s="23" t="s">
        <v>62</v>
      </c>
      <c r="AV5" s="23" t="s">
        <v>222</v>
      </c>
      <c r="AW5" s="23" t="s">
        <v>223</v>
      </c>
      <c r="AX5" s="23" t="s">
        <v>224</v>
      </c>
      <c r="AY5" s="23" t="s">
        <v>225</v>
      </c>
      <c r="AZ5" s="23" t="s">
        <v>226</v>
      </c>
      <c r="BA5" s="23" t="s">
        <v>227</v>
      </c>
      <c r="BB5" s="23" t="s">
        <v>228</v>
      </c>
      <c r="BC5" s="23" t="s">
        <v>229</v>
      </c>
      <c r="BD5" s="23" t="s">
        <v>230</v>
      </c>
      <c r="BE5" s="23" t="s">
        <v>231</v>
      </c>
      <c r="BF5" s="23" t="s">
        <v>232</v>
      </c>
      <c r="BG5" s="23" t="s">
        <v>233</v>
      </c>
      <c r="BH5" s="23" t="s">
        <v>234</v>
      </c>
      <c r="BI5" s="23" t="s">
        <v>235</v>
      </c>
      <c r="BJ5" s="23" t="s">
        <v>236</v>
      </c>
      <c r="BK5" s="23" t="s">
        <v>237</v>
      </c>
      <c r="BL5" s="23" t="s">
        <v>238</v>
      </c>
      <c r="BM5" s="23" t="s">
        <v>239</v>
      </c>
      <c r="BN5" s="23" t="s">
        <v>240</v>
      </c>
      <c r="BO5" s="23" t="s">
        <v>241</v>
      </c>
      <c r="BP5" s="23" t="s">
        <v>242</v>
      </c>
      <c r="BQ5" s="23" t="s">
        <v>175</v>
      </c>
      <c r="BR5" s="23" t="s">
        <v>46</v>
      </c>
      <c r="BS5" s="23" t="s">
        <v>243</v>
      </c>
      <c r="BT5" s="23" t="s">
        <v>244</v>
      </c>
      <c r="BU5" s="23" t="s">
        <v>67</v>
      </c>
      <c r="BV5" s="23" t="s">
        <v>177</v>
      </c>
      <c r="BW5" s="23" t="s">
        <v>72</v>
      </c>
      <c r="BX5" s="23" t="s">
        <v>245</v>
      </c>
      <c r="BY5" s="23" t="s">
        <v>246</v>
      </c>
      <c r="BZ5" s="23" t="s">
        <v>247</v>
      </c>
      <c r="CA5" s="23" t="s">
        <v>248</v>
      </c>
      <c r="CB5" s="23" t="s">
        <v>159</v>
      </c>
      <c r="CC5" s="23" t="s">
        <v>249</v>
      </c>
      <c r="CD5" s="23" t="s">
        <v>250</v>
      </c>
      <c r="CE5" s="23" t="s">
        <v>251</v>
      </c>
      <c r="CF5" s="23" t="s">
        <v>252</v>
      </c>
      <c r="CG5" s="23" t="s">
        <v>253</v>
      </c>
      <c r="CH5" s="23" t="s">
        <v>254</v>
      </c>
      <c r="CI5" s="23" t="s">
        <v>255</v>
      </c>
      <c r="CJ5" s="23" t="s">
        <v>256</v>
      </c>
      <c r="CK5" s="23" t="s">
        <v>257</v>
      </c>
      <c r="CL5" s="23" t="s">
        <v>258</v>
      </c>
      <c r="CM5" s="23" t="s">
        <v>259</v>
      </c>
      <c r="CN5" s="23" t="s">
        <v>260</v>
      </c>
      <c r="CO5" s="23" t="s">
        <v>261</v>
      </c>
      <c r="CP5" s="23" t="s">
        <v>114</v>
      </c>
      <c r="CQ5" s="23" t="s">
        <v>138</v>
      </c>
      <c r="CR5" s="23" t="s">
        <v>262</v>
      </c>
      <c r="CS5" s="23" t="s">
        <v>263</v>
      </c>
      <c r="CT5" s="23" t="s">
        <v>75</v>
      </c>
      <c r="CU5" s="23" t="s">
        <v>76</v>
      </c>
      <c r="CV5" s="23" t="s">
        <v>77</v>
      </c>
      <c r="CW5" s="23" t="s">
        <v>78</v>
      </c>
      <c r="CX5" s="23" t="s">
        <v>155</v>
      </c>
      <c r="CY5" s="23" t="s">
        <v>264</v>
      </c>
      <c r="CZ5" s="23" t="s">
        <v>265</v>
      </c>
      <c r="DA5" s="23" t="s">
        <v>266</v>
      </c>
      <c r="DB5" s="23" t="s">
        <v>267</v>
      </c>
      <c r="DC5" s="23" t="s">
        <v>268</v>
      </c>
      <c r="DD5" s="23" t="s">
        <v>269</v>
      </c>
      <c r="DE5" s="23" t="s">
        <v>270</v>
      </c>
      <c r="DF5" s="23" t="s">
        <v>271</v>
      </c>
      <c r="DG5" s="23" t="s">
        <v>272</v>
      </c>
      <c r="DH5" s="23" t="s">
        <v>273</v>
      </c>
      <c r="DI5" s="23" t="s">
        <v>274</v>
      </c>
      <c r="DJ5" s="23" t="s">
        <v>171</v>
      </c>
      <c r="DK5" s="23" t="s">
        <v>275</v>
      </c>
      <c r="DL5" s="23" t="s">
        <v>276</v>
      </c>
      <c r="DM5" s="23" t="s">
        <v>277</v>
      </c>
      <c r="DN5" s="23" t="s">
        <v>278</v>
      </c>
      <c r="DO5" s="23" t="s">
        <v>279</v>
      </c>
      <c r="DP5" s="23" t="s">
        <v>280</v>
      </c>
      <c r="DQ5" s="23" t="s">
        <v>281</v>
      </c>
      <c r="DR5" s="23" t="s">
        <v>282</v>
      </c>
      <c r="DS5" s="23" t="s">
        <v>283</v>
      </c>
      <c r="DT5" s="23" t="s">
        <v>284</v>
      </c>
      <c r="DU5" s="23" t="s">
        <v>285</v>
      </c>
      <c r="DV5" s="23" t="s">
        <v>286</v>
      </c>
      <c r="DW5" s="23" t="s">
        <v>287</v>
      </c>
      <c r="DX5" s="23" t="s">
        <v>288</v>
      </c>
      <c r="DY5" s="23" t="s">
        <v>289</v>
      </c>
      <c r="DZ5" s="23" t="s">
        <v>290</v>
      </c>
      <c r="EA5" s="23" t="s">
        <v>291</v>
      </c>
      <c r="EB5" s="23" t="s">
        <v>292</v>
      </c>
      <c r="EC5" s="23" t="s">
        <v>293</v>
      </c>
      <c r="ED5" s="23" t="s">
        <v>294</v>
      </c>
      <c r="EE5" s="23" t="s">
        <v>295</v>
      </c>
      <c r="EF5" s="23" t="s">
        <v>296</v>
      </c>
      <c r="EG5" s="23" t="s">
        <v>297</v>
      </c>
      <c r="EH5" s="23" t="s">
        <v>298</v>
      </c>
      <c r="EI5" s="23" t="s">
        <v>299</v>
      </c>
      <c r="EJ5" s="23" t="s">
        <v>300</v>
      </c>
      <c r="EK5" s="23" t="s">
        <v>301</v>
      </c>
      <c r="EL5" s="23" t="s">
        <v>302</v>
      </c>
      <c r="EM5" s="23" t="s">
        <v>303</v>
      </c>
      <c r="EN5" s="23" t="s">
        <v>304</v>
      </c>
      <c r="EO5" s="23" t="s">
        <v>305</v>
      </c>
      <c r="EP5" s="23" t="s">
        <v>306</v>
      </c>
      <c r="EQ5" s="23" t="s">
        <v>307</v>
      </c>
      <c r="ER5" s="23" t="s">
        <v>308</v>
      </c>
      <c r="ES5" s="23" t="s">
        <v>309</v>
      </c>
      <c r="ET5" s="23" t="s">
        <v>310</v>
      </c>
      <c r="EU5" s="23" t="s">
        <v>311</v>
      </c>
      <c r="EV5" s="23" t="s">
        <v>312</v>
      </c>
      <c r="EW5" s="23" t="s">
        <v>313</v>
      </c>
      <c r="EX5" s="23" t="s">
        <v>314</v>
      </c>
      <c r="EY5" s="23" t="s">
        <v>73</v>
      </c>
      <c r="EZ5" s="23" t="s">
        <v>74</v>
      </c>
      <c r="FA5" s="23" t="s">
        <v>85</v>
      </c>
      <c r="FB5" s="23" t="s">
        <v>315</v>
      </c>
      <c r="FC5" s="23" t="s">
        <v>316</v>
      </c>
      <c r="FD5" s="23" t="s">
        <v>317</v>
      </c>
      <c r="FE5" s="23" t="s">
        <v>318</v>
      </c>
      <c r="FF5" s="23" t="s">
        <v>319</v>
      </c>
      <c r="FG5" s="23" t="s">
        <v>320</v>
      </c>
      <c r="FH5" s="23" t="s">
        <v>321</v>
      </c>
      <c r="FI5" s="23" t="s">
        <v>91</v>
      </c>
      <c r="FJ5" s="23" t="s">
        <v>322</v>
      </c>
      <c r="FK5" s="23" t="s">
        <v>323</v>
      </c>
      <c r="FL5" s="23" t="s">
        <v>92</v>
      </c>
      <c r="FM5" s="23" t="s">
        <v>324</v>
      </c>
      <c r="FN5" s="23" t="s">
        <v>325</v>
      </c>
      <c r="FO5" s="23" t="s">
        <v>326</v>
      </c>
      <c r="FP5" s="23" t="s">
        <v>327</v>
      </c>
      <c r="FQ5" s="23" t="s">
        <v>328</v>
      </c>
      <c r="FR5" s="23" t="s">
        <v>329</v>
      </c>
      <c r="FS5" s="23" t="s">
        <v>330</v>
      </c>
      <c r="FT5" s="23" t="s">
        <v>331</v>
      </c>
      <c r="FU5" s="23" t="s">
        <v>332</v>
      </c>
      <c r="FV5" s="23" t="s">
        <v>333</v>
      </c>
      <c r="FW5" s="23" t="s">
        <v>334</v>
      </c>
      <c r="FX5" s="23"/>
      <c r="FY5" s="23"/>
      <c r="FZ5" s="23"/>
      <c r="GA5" s="23"/>
      <c r="GB5" s="23"/>
      <c r="GC5" s="23"/>
      <c r="GD5" s="23"/>
      <c r="GE5" s="23"/>
      <c r="GF5" s="23"/>
      <c r="GG5" s="23"/>
    </row>
    <row r="6" ht="15.75" customHeight="1">
      <c r="A6" s="34"/>
      <c r="B6" s="34"/>
      <c r="C6" s="35" t="s">
        <v>16</v>
      </c>
      <c r="D6" s="36">
        <v>210.0</v>
      </c>
      <c r="E6" s="35"/>
      <c r="F6" s="35"/>
      <c r="G6" s="36">
        <v>10.0</v>
      </c>
      <c r="H6" s="35" t="s">
        <v>335</v>
      </c>
      <c r="I6" s="36">
        <v>0.0</v>
      </c>
      <c r="J6" s="36">
        <v>0.0</v>
      </c>
      <c r="K6" s="36">
        <v>0.0</v>
      </c>
      <c r="L6" s="36">
        <v>0.0</v>
      </c>
      <c r="M6" s="34"/>
      <c r="N6" s="34"/>
      <c r="O6" s="35" t="s">
        <v>336</v>
      </c>
      <c r="P6" s="34" t="s">
        <v>337</v>
      </c>
      <c r="Q6" s="34"/>
      <c r="R6" s="34"/>
      <c r="S6" s="34" t="s">
        <v>338</v>
      </c>
      <c r="T6" s="34" t="s">
        <v>102</v>
      </c>
      <c r="U6" s="34" t="s">
        <v>185</v>
      </c>
      <c r="V6" s="34" t="s">
        <v>103</v>
      </c>
      <c r="W6" s="34" t="s">
        <v>181</v>
      </c>
      <c r="X6" s="37">
        <v>1.0</v>
      </c>
      <c r="Y6" s="37">
        <v>1.0</v>
      </c>
      <c r="Z6" s="34"/>
      <c r="AA6" s="34"/>
      <c r="AB6" s="34"/>
      <c r="AC6" s="34"/>
      <c r="AD6" s="37">
        <v>0.0</v>
      </c>
      <c r="AE6" s="37">
        <v>0.0</v>
      </c>
      <c r="AF6" s="34"/>
      <c r="AG6" s="37">
        <v>0.0</v>
      </c>
      <c r="AH6" s="34"/>
      <c r="AI6" s="34"/>
      <c r="AJ6" s="34"/>
      <c r="AK6" s="34"/>
      <c r="AL6" s="37">
        <v>1.0</v>
      </c>
      <c r="AM6" s="34"/>
      <c r="AN6" s="34" t="s">
        <v>19</v>
      </c>
      <c r="AO6" s="34"/>
      <c r="AP6" s="34" t="s">
        <v>335</v>
      </c>
      <c r="AQ6" s="34" t="s">
        <v>16</v>
      </c>
      <c r="AR6" s="37">
        <v>0.0</v>
      </c>
      <c r="AS6" s="37">
        <v>1.0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8" t="s">
        <v>100</v>
      </c>
      <c r="BR6" s="34" t="s">
        <v>34</v>
      </c>
      <c r="BS6" s="34"/>
      <c r="BT6" s="34"/>
      <c r="BU6" s="34" t="s">
        <v>102</v>
      </c>
      <c r="BV6" s="34"/>
      <c r="BW6" s="34"/>
      <c r="BX6" s="34"/>
      <c r="BY6" s="34"/>
      <c r="BZ6" s="34">
        <v>0.0</v>
      </c>
      <c r="CA6" s="37">
        <v>0.0</v>
      </c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 t="s">
        <v>101</v>
      </c>
      <c r="CQ6" s="34"/>
      <c r="CR6" s="34"/>
      <c r="CS6" s="37">
        <v>10.0</v>
      </c>
      <c r="CT6" s="34" t="s">
        <v>30</v>
      </c>
      <c r="CU6" s="34" t="s">
        <v>31</v>
      </c>
      <c r="CV6" s="34" t="s">
        <v>32</v>
      </c>
      <c r="CW6" s="34" t="s">
        <v>33</v>
      </c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 t="s">
        <v>28</v>
      </c>
      <c r="EZ6" s="34" t="s">
        <v>29</v>
      </c>
      <c r="FA6" s="34"/>
      <c r="FB6" s="34"/>
      <c r="FC6" s="34"/>
      <c r="FD6" s="34"/>
      <c r="FE6" s="34"/>
      <c r="FF6" s="34"/>
      <c r="FG6" s="34"/>
      <c r="FH6" s="37">
        <v>210.0</v>
      </c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ht="15.75" customHeight="1">
      <c r="A10" s="38"/>
      <c r="B10" s="28"/>
      <c r="C10" s="28"/>
      <c r="D10" s="28"/>
      <c r="E10" s="28"/>
      <c r="F10" s="28"/>
      <c r="G10" s="28"/>
      <c r="H10" s="6"/>
      <c r="I10" s="28"/>
      <c r="J10" s="28"/>
      <c r="K10" s="28"/>
      <c r="L10" s="28"/>
      <c r="M10" s="28"/>
      <c r="N10" s="28"/>
      <c r="O10" s="28"/>
      <c r="AM10" s="39"/>
      <c r="AP10" s="39"/>
      <c r="BG10" s="39"/>
      <c r="BS10" s="39"/>
      <c r="BX10" s="33"/>
      <c r="BZ10" s="39"/>
      <c r="CJ10" s="33"/>
      <c r="CK10" s="39"/>
      <c r="CX10" s="32"/>
      <c r="CZ10" s="39"/>
      <c r="DC10" s="39"/>
      <c r="DN10" s="32"/>
      <c r="DY10" s="33"/>
      <c r="FO10" s="39"/>
      <c r="FS10" s="39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