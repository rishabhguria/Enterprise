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0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yEndCash" sheetId="10" r:id="rId10"/>
    <sheet name="CreateDoneAwayOrder1" sheetId="11" r:id="rId11"/>
    <sheet name="CheckPortfolioManagement" sheetId="12" r:id="rId12"/>
    <sheet name="CheckDashboardPM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N7" i="11"/>
  <c r="N6" i="11"/>
  <c r="J2" i="11"/>
  <c r="E6" i="10"/>
  <c r="D6" i="10"/>
  <c r="J2" i="10"/>
  <c r="J2" i="9"/>
  <c r="J2" i="8"/>
  <c r="C6" i="7"/>
  <c r="B6" i="7"/>
  <c r="J2" i="7"/>
  <c r="J2" i="6"/>
  <c r="C6" i="5"/>
  <c r="B6" i="5"/>
  <c r="J2" i="5"/>
  <c r="N9" i="4"/>
  <c r="N8" i="4"/>
  <c r="N7" i="4"/>
  <c r="N6" i="4"/>
  <c r="J2" i="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FF5" i="12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FD4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FE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FC4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FD5" i="12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FJ4" i="12"/>
  <c r="FB4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FI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FG4" i="12"/>
  <c r="EY4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FH5" i="12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FF4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FG5" i="12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FE4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T5" i="13"/>
  <c r="CH5" i="13"/>
  <c r="V5" i="13"/>
  <c r="DH4" i="13"/>
  <c r="AV4" i="13"/>
  <c r="FC5" i="12"/>
  <c r="DW5" i="12"/>
  <c r="CQ5" i="12"/>
  <c r="AE5" i="12"/>
  <c r="FI4" i="12"/>
  <c r="EC4" i="12"/>
  <c r="CW4" i="12"/>
  <c r="BQ4" i="12"/>
  <c r="AK4" i="12"/>
  <c r="E4" i="12"/>
  <c r="ER5" i="11"/>
  <c r="EF5" i="11"/>
  <c r="DS5" i="11"/>
  <c r="DE5" i="11"/>
  <c r="CS5" i="11"/>
  <c r="CF5" i="11"/>
  <c r="BT5" i="11"/>
  <c r="BG5" i="11"/>
  <c r="AS5" i="11"/>
  <c r="AG5" i="11"/>
  <c r="U5" i="11"/>
  <c r="K5" i="11"/>
  <c r="EX4" i="11"/>
  <c r="EM4" i="11"/>
  <c r="EC4" i="11"/>
  <c r="DR4" i="11"/>
  <c r="DG4" i="11"/>
  <c r="CW4" i="11"/>
  <c r="CL4" i="11"/>
  <c r="CA4" i="11"/>
  <c r="BQ4" i="11"/>
  <c r="BF4" i="11"/>
  <c r="AU4" i="11"/>
  <c r="AK4" i="11"/>
  <c r="Z4" i="11"/>
  <c r="O4" i="11"/>
  <c r="E4" i="11"/>
  <c r="EU5" i="10"/>
  <c r="EL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EL5" i="13"/>
  <c r="BZ5" i="13"/>
  <c r="N5" i="13"/>
  <c r="CZ4" i="13"/>
  <c r="AN4" i="13"/>
  <c r="FB5" i="12"/>
  <c r="DV5" i="12"/>
  <c r="CP5" i="12"/>
  <c r="BJ5" i="12"/>
  <c r="AD5" i="12"/>
  <c r="FH4" i="12"/>
  <c r="EB4" i="12"/>
  <c r="CV4" i="12"/>
  <c r="BP4" i="12"/>
  <c r="AJ4" i="12"/>
  <c r="D4" i="12"/>
  <c r="EQ5" i="11"/>
  <c r="EC5" i="11"/>
  <c r="DQ5" i="11"/>
  <c r="DD5" i="11"/>
  <c r="CR5" i="11"/>
  <c r="CE5" i="11"/>
  <c r="BQ5" i="11"/>
  <c r="BE5" i="11"/>
  <c r="AR5" i="11"/>
  <c r="AF5" i="11"/>
  <c r="T5" i="11"/>
  <c r="I5" i="11"/>
  <c r="EW4" i="11"/>
  <c r="EL4" i="11"/>
  <c r="EA4" i="11"/>
  <c r="DQ4" i="11"/>
  <c r="DF4" i="11"/>
  <c r="CU4" i="11"/>
  <c r="CK4" i="11"/>
  <c r="BZ4" i="11"/>
  <c r="BO4" i="11"/>
  <c r="BE4" i="11"/>
  <c r="AT4" i="11"/>
  <c r="AI4" i="11"/>
  <c r="Y4" i="11"/>
  <c r="N4" i="11"/>
  <c r="C4" i="11"/>
  <c r="ET5" i="10"/>
  <c r="EK5" i="10"/>
  <c r="EB5" i="10"/>
  <c r="DS5" i="10"/>
  <c r="DJ5" i="10"/>
  <c r="DA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ED5" i="13"/>
  <c r="BR5" i="13"/>
  <c r="F5" i="13"/>
  <c r="CR4" i="13"/>
  <c r="AF4" i="13"/>
  <c r="EU5" i="12"/>
  <c r="DO5" i="12"/>
  <c r="CI5" i="12"/>
  <c r="BC5" i="12"/>
  <c r="W5" i="12"/>
  <c r="FA4" i="12"/>
  <c r="DU4" i="12"/>
  <c r="CO4" i="12"/>
  <c r="BI4" i="12"/>
  <c r="AC4" i="12"/>
  <c r="EO5" i="11"/>
  <c r="EB5" i="11"/>
  <c r="DP5" i="11"/>
  <c r="DC5" i="11"/>
  <c r="CO5" i="11"/>
  <c r="CC5" i="11"/>
  <c r="BP5" i="11"/>
  <c r="BD5" i="11"/>
  <c r="AQ5" i="11"/>
  <c r="AC5" i="11"/>
  <c r="S5" i="11"/>
  <c r="H5" i="11"/>
  <c r="EU4" i="11"/>
  <c r="EK4" i="11"/>
  <c r="DZ4" i="11"/>
  <c r="DO4" i="11"/>
  <c r="DE4" i="11"/>
  <c r="CT4" i="11"/>
  <c r="CI4" i="11"/>
  <c r="BY4" i="11"/>
  <c r="BN4" i="11"/>
  <c r="BC4" i="11"/>
  <c r="AS4" i="11"/>
  <c r="AH4" i="11"/>
  <c r="W4" i="11"/>
  <c r="M4" i="11"/>
  <c r="B4" i="11"/>
  <c r="ES5" i="10"/>
  <c r="EJ5" i="10"/>
  <c r="EA5" i="10"/>
  <c r="DR5" i="10"/>
  <c r="DI5" i="10"/>
  <c r="CY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DV5" i="13"/>
  <c r="BJ5" i="13"/>
  <c r="EV4" i="13"/>
  <c r="CJ4" i="13"/>
  <c r="X4" i="13"/>
  <c r="ET5" i="12"/>
  <c r="DN5" i="12"/>
  <c r="CH5" i="12"/>
  <c r="BB5" i="12"/>
  <c r="V5" i="12"/>
  <c r="EZ4" i="12"/>
  <c r="DT4" i="12"/>
  <c r="CN4" i="12"/>
  <c r="BH4" i="12"/>
  <c r="AB4" i="12"/>
  <c r="EN5" i="11"/>
  <c r="EA5" i="11"/>
  <c r="DM5" i="11"/>
  <c r="DA5" i="11"/>
  <c r="CN5" i="11"/>
  <c r="CB5" i="11"/>
  <c r="BO5" i="11"/>
  <c r="BA5" i="11"/>
  <c r="AO5" i="11"/>
  <c r="AB5" i="11"/>
  <c r="Q5" i="11"/>
  <c r="G5" i="11"/>
  <c r="ET4" i="11"/>
  <c r="EI4" i="11"/>
  <c r="DY4" i="11"/>
  <c r="DN4" i="11"/>
  <c r="DC4" i="11"/>
  <c r="CS4" i="11"/>
  <c r="CH4" i="11"/>
  <c r="BW4" i="11"/>
  <c r="BM4" i="11"/>
  <c r="BB4" i="11"/>
  <c r="AQ4" i="11"/>
  <c r="AG4" i="11"/>
  <c r="V4" i="11"/>
  <c r="K4" i="11"/>
  <c r="ER5" i="10"/>
  <c r="EI5" i="10"/>
  <c r="DZ5" i="10"/>
  <c r="DQ5" i="10"/>
  <c r="DG5" i="10"/>
  <c r="CX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N5" i="13"/>
  <c r="BB5" i="13"/>
  <c r="EN4" i="13"/>
  <c r="CB4" i="13"/>
  <c r="P4" i="13"/>
  <c r="EM5" i="12"/>
  <c r="DG5" i="12"/>
  <c r="CA5" i="12"/>
  <c r="AU5" i="12"/>
  <c r="O5" i="12"/>
  <c r="ES4" i="12"/>
  <c r="DM4" i="12"/>
  <c r="CG4" i="12"/>
  <c r="BA4" i="12"/>
  <c r="U4" i="12"/>
  <c r="EK5" i="11"/>
  <c r="DY5" i="11"/>
  <c r="DL5" i="11"/>
  <c r="CZ5" i="11"/>
  <c r="CM5" i="11"/>
  <c r="BY5" i="11"/>
  <c r="BM5" i="11"/>
  <c r="AZ5" i="11"/>
  <c r="AN5" i="11"/>
  <c r="AA5" i="11"/>
  <c r="P5" i="11"/>
  <c r="E5" i="11"/>
  <c r="ES4" i="11"/>
  <c r="EH4" i="11"/>
  <c r="DW4" i="11"/>
  <c r="DM4" i="11"/>
  <c r="DB4" i="11"/>
  <c r="CQ4" i="11"/>
  <c r="CG4" i="11"/>
  <c r="BV4" i="11"/>
  <c r="BK4" i="11"/>
  <c r="BA4" i="11"/>
  <c r="AP4" i="11"/>
  <c r="AE4" i="11"/>
  <c r="U4" i="11"/>
  <c r="J4" i="11"/>
  <c r="EQ5" i="10"/>
  <c r="EH5" i="10"/>
  <c r="DY5" i="10"/>
  <c r="DO5" i="10"/>
  <c r="DF5" i="10"/>
  <c r="CW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DF5" i="13"/>
  <c r="AT5" i="13"/>
  <c r="EF4" i="13"/>
  <c r="BT4" i="13"/>
  <c r="H4" i="13"/>
  <c r="EL5" i="12"/>
  <c r="DF5" i="12"/>
  <c r="BZ5" i="12"/>
  <c r="AT5" i="12"/>
  <c r="N5" i="12"/>
  <c r="ER4" i="12"/>
  <c r="DL4" i="12"/>
  <c r="CF4" i="12"/>
  <c r="AZ4" i="12"/>
  <c r="T4" i="12"/>
  <c r="EW5" i="11"/>
  <c r="EJ5" i="11"/>
  <c r="DX5" i="11"/>
  <c r="DK5" i="11"/>
  <c r="CW5" i="11"/>
  <c r="CK5" i="11"/>
  <c r="BX5" i="11"/>
  <c r="BL5" i="11"/>
  <c r="AY5" i="11"/>
  <c r="AK5" i="11"/>
  <c r="Y5" i="11"/>
  <c r="O5" i="11"/>
  <c r="D5" i="11"/>
  <c r="EQ4" i="11"/>
  <c r="EG4" i="11"/>
  <c r="DV4" i="11"/>
  <c r="DK4" i="11"/>
  <c r="DA4" i="11"/>
  <c r="CP4" i="11"/>
  <c r="CE4" i="11"/>
  <c r="BU4" i="11"/>
  <c r="BJ4" i="11"/>
  <c r="AY4" i="11"/>
  <c r="AO4" i="11"/>
  <c r="AD4" i="11"/>
  <c r="S4" i="11"/>
  <c r="I4" i="11"/>
  <c r="EP5" i="10"/>
  <c r="EG5" i="10"/>
  <c r="DW5" i="10"/>
  <c r="DN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CX5" i="13"/>
  <c r="AL5" i="13"/>
  <c r="DX4" i="13"/>
  <c r="BL4" i="13"/>
  <c r="EE5" i="12"/>
  <c r="CY5" i="12"/>
  <c r="BS5" i="12"/>
  <c r="AM5" i="12"/>
  <c r="G5" i="12"/>
  <c r="EK4" i="12"/>
  <c r="DE4" i="12"/>
  <c r="BY4" i="12"/>
  <c r="AS4" i="12"/>
  <c r="M4" i="12"/>
  <c r="EV5" i="11"/>
  <c r="EI5" i="11"/>
  <c r="DU5" i="11"/>
  <c r="DI5" i="11"/>
  <c r="CV5" i="11"/>
  <c r="CJ5" i="11"/>
  <c r="BW5" i="11"/>
  <c r="BI5" i="11"/>
  <c r="AW5" i="11"/>
  <c r="AJ5" i="11"/>
  <c r="X5" i="11"/>
  <c r="M5" i="11"/>
  <c r="C5" i="11"/>
  <c r="EP4" i="11"/>
  <c r="EE4" i="11"/>
  <c r="DU4" i="11"/>
  <c r="DJ4" i="11"/>
  <c r="CY4" i="11"/>
  <c r="CO4" i="11"/>
  <c r="CD4" i="11"/>
  <c r="BS4" i="11"/>
  <c r="BI4" i="11"/>
  <c r="AX4" i="11"/>
  <c r="AM4" i="11"/>
  <c r="AC4" i="11"/>
  <c r="R4" i="11"/>
  <c r="G4" i="11"/>
  <c r="EX5" i="10"/>
  <c r="EO5" i="10"/>
  <c r="EE5" i="10"/>
  <c r="DV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P5" i="13"/>
  <c r="AD5" i="13"/>
  <c r="DP4" i="13"/>
  <c r="BD4" i="13"/>
  <c r="FJ5" i="12"/>
  <c r="ED5" i="12"/>
  <c r="CX5" i="12"/>
  <c r="BR5" i="12"/>
  <c r="AL5" i="12"/>
  <c r="F5" i="12"/>
  <c r="EJ4" i="12"/>
  <c r="DD4" i="12"/>
  <c r="BX4" i="12"/>
  <c r="AR4" i="12"/>
  <c r="L4" i="12"/>
  <c r="ES5" i="11"/>
  <c r="EG5" i="11"/>
  <c r="DT5" i="11"/>
  <c r="DH5" i="11"/>
  <c r="CU5" i="11"/>
  <c r="CG5" i="11"/>
  <c r="BU5" i="11"/>
  <c r="BH5" i="11"/>
  <c r="AV5" i="11"/>
  <c r="AI5" i="11"/>
  <c r="W5" i="11"/>
  <c r="L5" i="11"/>
  <c r="A5" i="11"/>
  <c r="EO4" i="11"/>
  <c r="ED4" i="11"/>
  <c r="DS4" i="11"/>
  <c r="DI4" i="11"/>
  <c r="CX4" i="11"/>
  <c r="CM4" i="11"/>
  <c r="CC4" i="11"/>
  <c r="BR4" i="11"/>
  <c r="BG4" i="11"/>
  <c r="AW4" i="11"/>
  <c r="AL4" i="11"/>
  <c r="AA4" i="11"/>
  <c r="Q4" i="11"/>
  <c r="F4" i="11"/>
  <c r="EW5" i="10"/>
  <c r="EM5" i="10"/>
  <c r="ED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AC4" i="9"/>
  <c r="EI5" i="8"/>
  <c r="DG5" i="8"/>
  <c r="CM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U4" i="9"/>
  <c r="EE5" i="8"/>
  <c r="DE5" i="8"/>
  <c r="CK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M4" i="9"/>
  <c r="EA5" i="8"/>
  <c r="DC5" i="8"/>
  <c r="CJ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E4" i="9"/>
  <c r="DW5" i="8"/>
  <c r="CY5" i="8"/>
  <c r="CI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DS5" i="8"/>
  <c r="CW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U5" i="8"/>
  <c r="DO5" i="8"/>
  <c r="CU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EQ5" i="8"/>
  <c r="DM5" i="8"/>
  <c r="CQ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M5" i="8"/>
  <c r="DK5" i="8"/>
  <c r="CO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EW5" i="5"/>
  <c r="DY5" i="5"/>
  <c r="DI5" i="5"/>
  <c r="CS5" i="5"/>
  <c r="CI5" i="5"/>
  <c r="BZ5" i="5"/>
  <c r="BQ5" i="5"/>
  <c r="BH5" i="5"/>
  <c r="AY5" i="5"/>
  <c r="AP5" i="5"/>
  <c r="AG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ES5" i="5"/>
  <c r="DU5" i="5"/>
  <c r="DE5" i="5"/>
  <c r="CQ5" i="5"/>
  <c r="CH5" i="5"/>
  <c r="BY5" i="5"/>
  <c r="BP5" i="5"/>
  <c r="BG5" i="5"/>
  <c r="AX5" i="5"/>
  <c r="AO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EO5" i="5"/>
  <c r="DT5" i="5"/>
  <c r="DD5" i="5"/>
  <c r="CP5" i="5"/>
  <c r="CG5" i="5"/>
  <c r="BX5" i="5"/>
  <c r="BO5" i="5"/>
  <c r="BF5" i="5"/>
  <c r="AW5" i="5"/>
  <c r="AM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K5" i="5"/>
  <c r="DS5" i="5"/>
  <c r="DC5" i="5"/>
  <c r="CO5" i="5"/>
  <c r="CF5" i="5"/>
  <c r="BW5" i="5"/>
  <c r="BN5" i="5"/>
  <c r="BE5" i="5"/>
  <c r="AU5" i="5"/>
  <c r="AL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EI5" i="5"/>
  <c r="DQ5" i="5"/>
  <c r="DA5" i="5"/>
  <c r="CN5" i="5"/>
  <c r="CE5" i="5"/>
  <c r="BV5" i="5"/>
  <c r="BM5" i="5"/>
  <c r="BC5" i="5"/>
  <c r="AT5" i="5"/>
  <c r="AK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EG5" i="5"/>
  <c r="DM5" i="5"/>
  <c r="CW5" i="5"/>
  <c r="CM5" i="5"/>
  <c r="CD5" i="5"/>
  <c r="BU5" i="5"/>
  <c r="BK5" i="5"/>
  <c r="BB5" i="5"/>
  <c r="AS5" i="5"/>
  <c r="AJ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EC5" i="5"/>
  <c r="DL5" i="5"/>
  <c r="CV5" i="5"/>
  <c r="CL5" i="5"/>
  <c r="CC5" i="5"/>
  <c r="BS5" i="5"/>
  <c r="BJ5" i="5"/>
  <c r="BA5" i="5"/>
  <c r="AR5" i="5"/>
  <c r="AI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EA5" i="5"/>
  <c r="DK5" i="5"/>
  <c r="CU5" i="5"/>
  <c r="CK5" i="5"/>
  <c r="CA5" i="5"/>
  <c r="BR5" i="5"/>
  <c r="BI5" i="5"/>
  <c r="AZ5" i="5"/>
  <c r="AQ5" i="5"/>
  <c r="AH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K833" i="1"/>
  <c r="J832" i="1"/>
  <c r="A832" i="1"/>
  <c r="D831" i="1"/>
  <c r="G830" i="1"/>
  <c r="J829" i="1"/>
  <c r="A829" i="1"/>
  <c r="D828" i="1"/>
  <c r="F827" i="1"/>
  <c r="I826" i="1"/>
  <c r="L825" i="1"/>
  <c r="C825" i="1"/>
  <c r="F824" i="1"/>
  <c r="I823" i="1"/>
  <c r="L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F833" i="1"/>
  <c r="I832" i="1"/>
  <c r="L831" i="1"/>
  <c r="C831" i="1"/>
  <c r="F830" i="1"/>
  <c r="I829" i="1"/>
  <c r="L828" i="1"/>
  <c r="B828" i="1"/>
  <c r="E827" i="1"/>
  <c r="H826" i="1"/>
  <c r="K825" i="1"/>
  <c r="B825" i="1"/>
  <c r="E824" i="1"/>
  <c r="H823" i="1"/>
  <c r="J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E833" i="1"/>
  <c r="H832" i="1"/>
  <c r="K831" i="1"/>
  <c r="B831" i="1"/>
  <c r="E830" i="1"/>
  <c r="H829" i="1"/>
  <c r="J828" i="1"/>
  <c r="A828" i="1"/>
  <c r="D827" i="1"/>
  <c r="G826" i="1"/>
  <c r="J825" i="1"/>
  <c r="A825" i="1"/>
  <c r="D824" i="1"/>
  <c r="F823" i="1"/>
  <c r="I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D833" i="1"/>
  <c r="G832" i="1"/>
  <c r="J831" i="1"/>
  <c r="A831" i="1"/>
  <c r="D830" i="1"/>
  <c r="F829" i="1"/>
  <c r="I828" i="1"/>
  <c r="L827" i="1"/>
  <c r="C827" i="1"/>
  <c r="F826" i="1"/>
  <c r="I825" i="1"/>
  <c r="L824" i="1"/>
  <c r="B824" i="1"/>
  <c r="E823" i="1"/>
  <c r="H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833" i="1"/>
  <c r="F832" i="1"/>
  <c r="I831" i="1"/>
  <c r="L830" i="1"/>
  <c r="B830" i="1"/>
  <c r="E829" i="1"/>
  <c r="H828" i="1"/>
  <c r="K827" i="1"/>
  <c r="B827" i="1"/>
  <c r="E826" i="1"/>
  <c r="H825" i="1"/>
  <c r="J824" i="1"/>
  <c r="A824" i="1"/>
  <c r="D823" i="1"/>
  <c r="G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833" i="1"/>
  <c r="E832" i="1"/>
  <c r="H831" i="1"/>
  <c r="J830" i="1"/>
  <c r="A830" i="1"/>
  <c r="D829" i="1"/>
  <c r="G828" i="1"/>
  <c r="J827" i="1"/>
  <c r="A827" i="1"/>
  <c r="D826" i="1"/>
  <c r="F825" i="1"/>
  <c r="I824" i="1"/>
  <c r="L823" i="1"/>
  <c r="C823" i="1"/>
  <c r="F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A833" i="1"/>
  <c r="D832" i="1"/>
  <c r="F831" i="1"/>
  <c r="I830" i="1"/>
  <c r="L829" i="1"/>
  <c r="C829" i="1"/>
  <c r="F828" i="1"/>
  <c r="I827" i="1"/>
  <c r="L826" i="1"/>
  <c r="B826" i="1"/>
  <c r="E825" i="1"/>
  <c r="H824" i="1"/>
  <c r="K823" i="1"/>
  <c r="B823" i="1"/>
  <c r="E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L832" i="1"/>
  <c r="B832" i="1"/>
  <c r="E831" i="1"/>
  <c r="H830" i="1"/>
  <c r="K829" i="1"/>
  <c r="B829" i="1"/>
  <c r="E828" i="1"/>
  <c r="H827" i="1"/>
  <c r="J826" i="1"/>
  <c r="A826" i="1"/>
  <c r="D825" i="1"/>
  <c r="G824" i="1"/>
  <c r="J823" i="1"/>
  <c r="A823" i="1"/>
  <c r="D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B749" i="1"/>
  <c r="B747" i="1"/>
  <c r="E746" i="1"/>
  <c r="H745" i="1"/>
  <c r="K744" i="1"/>
  <c r="A744" i="1"/>
  <c r="D743" i="1"/>
  <c r="G742" i="1"/>
  <c r="J741" i="1"/>
  <c r="A741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F748" i="1"/>
  <c r="A747" i="1"/>
  <c r="D746" i="1"/>
  <c r="G745" i="1"/>
  <c r="I744" i="1"/>
  <c r="L743" i="1"/>
  <c r="C743" i="1"/>
  <c r="F742" i="1"/>
  <c r="I741" i="1"/>
  <c r="L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E748" i="1"/>
  <c r="L746" i="1"/>
  <c r="C746" i="1"/>
  <c r="E745" i="1"/>
  <c r="H744" i="1"/>
  <c r="K743" i="1"/>
  <c r="B743" i="1"/>
  <c r="E742" i="1"/>
  <c r="H741" i="1"/>
  <c r="K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D748" i="1"/>
  <c r="K746" i="1"/>
  <c r="A746" i="1"/>
  <c r="D745" i="1"/>
  <c r="G744" i="1"/>
  <c r="J743" i="1"/>
  <c r="A743" i="1"/>
  <c r="D742" i="1"/>
  <c r="G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J747" i="1"/>
  <c r="I746" i="1"/>
  <c r="L745" i="1"/>
  <c r="C745" i="1"/>
  <c r="F744" i="1"/>
  <c r="I743" i="1"/>
  <c r="L742" i="1"/>
  <c r="C742" i="1"/>
  <c r="E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I747" i="1"/>
  <c r="H746" i="1"/>
  <c r="K745" i="1"/>
  <c r="B745" i="1"/>
  <c r="E744" i="1"/>
  <c r="H743" i="1"/>
  <c r="K742" i="1"/>
  <c r="A742" i="1"/>
  <c r="D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H747" i="1"/>
  <c r="G746" i="1"/>
  <c r="J745" i="1"/>
  <c r="A745" i="1"/>
  <c r="D744" i="1"/>
  <c r="G743" i="1"/>
  <c r="I742" i="1"/>
  <c r="L741" i="1"/>
  <c r="C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C747" i="1"/>
  <c r="F746" i="1"/>
  <c r="I745" i="1"/>
  <c r="L744" i="1"/>
  <c r="C744" i="1"/>
  <c r="E743" i="1"/>
  <c r="H742" i="1"/>
  <c r="K741" i="1"/>
  <c r="B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L661" i="1"/>
  <c r="F660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K661" i="1"/>
  <c r="L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D661" i="1"/>
  <c r="J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C661" i="1"/>
  <c r="D659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B661" i="1"/>
  <c r="C659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H660" i="1"/>
  <c r="B659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G660" i="1"/>
  <c r="J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J661" i="1"/>
  <c r="F654" i="1"/>
  <c r="B649" i="1"/>
  <c r="J643" i="1"/>
  <c r="F638" i="1"/>
  <c r="B633" i="1"/>
  <c r="J627" i="1"/>
  <c r="H623" i="1"/>
  <c r="L620" i="1"/>
  <c r="D618" i="1"/>
  <c r="H615" i="1"/>
  <c r="L612" i="1"/>
  <c r="D610" i="1"/>
  <c r="H607" i="1"/>
  <c r="L604" i="1"/>
  <c r="D602" i="1"/>
  <c r="H599" i="1"/>
  <c r="L596" i="1"/>
  <c r="D594" i="1"/>
  <c r="H591" i="1"/>
  <c r="L588" i="1"/>
  <c r="D586" i="1"/>
  <c r="H583" i="1"/>
  <c r="L580" i="1"/>
  <c r="D578" i="1"/>
  <c r="H575" i="1"/>
  <c r="C574" i="1"/>
  <c r="C573" i="1"/>
  <c r="E572" i="1"/>
  <c r="G571" i="1"/>
  <c r="G570" i="1"/>
  <c r="I569" i="1"/>
  <c r="K568" i="1"/>
  <c r="B568" i="1"/>
  <c r="E567" i="1"/>
  <c r="G566" i="1"/>
  <c r="J565" i="1"/>
  <c r="A565" i="1"/>
  <c r="D564" i="1"/>
  <c r="G563" i="1"/>
  <c r="J562" i="1"/>
  <c r="A562" i="1"/>
  <c r="C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K659" i="1"/>
  <c r="J653" i="1"/>
  <c r="F648" i="1"/>
  <c r="B643" i="1"/>
  <c r="J637" i="1"/>
  <c r="F632" i="1"/>
  <c r="B627" i="1"/>
  <c r="B623" i="1"/>
  <c r="F620" i="1"/>
  <c r="J617" i="1"/>
  <c r="B615" i="1"/>
  <c r="F612" i="1"/>
  <c r="J609" i="1"/>
  <c r="B607" i="1"/>
  <c r="F604" i="1"/>
  <c r="J601" i="1"/>
  <c r="B599" i="1"/>
  <c r="F596" i="1"/>
  <c r="J593" i="1"/>
  <c r="B591" i="1"/>
  <c r="F588" i="1"/>
  <c r="J585" i="1"/>
  <c r="B583" i="1"/>
  <c r="F580" i="1"/>
  <c r="J577" i="1"/>
  <c r="B575" i="1"/>
  <c r="A574" i="1"/>
  <c r="B573" i="1"/>
  <c r="D572" i="1"/>
  <c r="E571" i="1"/>
  <c r="F570" i="1"/>
  <c r="H569" i="1"/>
  <c r="J568" i="1"/>
  <c r="A568" i="1"/>
  <c r="C567" i="1"/>
  <c r="F566" i="1"/>
  <c r="I565" i="1"/>
  <c r="L564" i="1"/>
  <c r="C564" i="1"/>
  <c r="F563" i="1"/>
  <c r="I562" i="1"/>
  <c r="K561" i="1"/>
  <c r="B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F658" i="1"/>
  <c r="B653" i="1"/>
  <c r="J647" i="1"/>
  <c r="F642" i="1"/>
  <c r="B637" i="1"/>
  <c r="J631" i="1"/>
  <c r="F626" i="1"/>
  <c r="L622" i="1"/>
  <c r="D620" i="1"/>
  <c r="H617" i="1"/>
  <c r="L614" i="1"/>
  <c r="D612" i="1"/>
  <c r="H609" i="1"/>
  <c r="L606" i="1"/>
  <c r="D604" i="1"/>
  <c r="H601" i="1"/>
  <c r="L598" i="1"/>
  <c r="D596" i="1"/>
  <c r="H593" i="1"/>
  <c r="L590" i="1"/>
  <c r="D588" i="1"/>
  <c r="H585" i="1"/>
  <c r="L582" i="1"/>
  <c r="D580" i="1"/>
  <c r="H577" i="1"/>
  <c r="L574" i="1"/>
  <c r="K573" i="1"/>
  <c r="A573" i="1"/>
  <c r="C572" i="1"/>
  <c r="C571" i="1"/>
  <c r="E570" i="1"/>
  <c r="G569" i="1"/>
  <c r="I568" i="1"/>
  <c r="K567" i="1"/>
  <c r="B567" i="1"/>
  <c r="E566" i="1"/>
  <c r="H565" i="1"/>
  <c r="K564" i="1"/>
  <c r="B564" i="1"/>
  <c r="E563" i="1"/>
  <c r="G562" i="1"/>
  <c r="J657" i="1"/>
  <c r="F652" i="1"/>
  <c r="B647" i="1"/>
  <c r="J641" i="1"/>
  <c r="F636" i="1"/>
  <c r="B631" i="1"/>
  <c r="J625" i="1"/>
  <c r="F622" i="1"/>
  <c r="J619" i="1"/>
  <c r="B617" i="1"/>
  <c r="F614" i="1"/>
  <c r="J611" i="1"/>
  <c r="B609" i="1"/>
  <c r="F606" i="1"/>
  <c r="J603" i="1"/>
  <c r="B601" i="1"/>
  <c r="F598" i="1"/>
  <c r="J595" i="1"/>
  <c r="B593" i="1"/>
  <c r="F590" i="1"/>
  <c r="J587" i="1"/>
  <c r="B585" i="1"/>
  <c r="F582" i="1"/>
  <c r="J579" i="1"/>
  <c r="B577" i="1"/>
  <c r="K574" i="1"/>
  <c r="J573" i="1"/>
  <c r="L572" i="1"/>
  <c r="A572" i="1"/>
  <c r="B571" i="1"/>
  <c r="D570" i="1"/>
  <c r="E569" i="1"/>
  <c r="G568" i="1"/>
  <c r="J567" i="1"/>
  <c r="A567" i="1"/>
  <c r="D566" i="1"/>
  <c r="G565" i="1"/>
  <c r="J564" i="1"/>
  <c r="A564" i="1"/>
  <c r="C563" i="1"/>
  <c r="F562" i="1"/>
  <c r="I561" i="1"/>
  <c r="L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B657" i="1"/>
  <c r="J651" i="1"/>
  <c r="F646" i="1"/>
  <c r="B641" i="1"/>
  <c r="J635" i="1"/>
  <c r="F630" i="1"/>
  <c r="B625" i="1"/>
  <c r="D622" i="1"/>
  <c r="H619" i="1"/>
  <c r="L616" i="1"/>
  <c r="D614" i="1"/>
  <c r="H611" i="1"/>
  <c r="L608" i="1"/>
  <c r="D606" i="1"/>
  <c r="H603" i="1"/>
  <c r="L600" i="1"/>
  <c r="D598" i="1"/>
  <c r="H595" i="1"/>
  <c r="L592" i="1"/>
  <c r="D590" i="1"/>
  <c r="H587" i="1"/>
  <c r="L584" i="1"/>
  <c r="D582" i="1"/>
  <c r="H579" i="1"/>
  <c r="L576" i="1"/>
  <c r="G574" i="1"/>
  <c r="I573" i="1"/>
  <c r="K572" i="1"/>
  <c r="K571" i="1"/>
  <c r="A571" i="1"/>
  <c r="C570" i="1"/>
  <c r="C569" i="1"/>
  <c r="F568" i="1"/>
  <c r="I567" i="1"/>
  <c r="L566" i="1"/>
  <c r="C566" i="1"/>
  <c r="F565" i="1"/>
  <c r="I564" i="1"/>
  <c r="K563" i="1"/>
  <c r="B563" i="1"/>
  <c r="E562" i="1"/>
  <c r="H561" i="1"/>
  <c r="K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F656" i="1"/>
  <c r="B651" i="1"/>
  <c r="J645" i="1"/>
  <c r="F640" i="1"/>
  <c r="B635" i="1"/>
  <c r="J629" i="1"/>
  <c r="F624" i="1"/>
  <c r="J621" i="1"/>
  <c r="B619" i="1"/>
  <c r="F616" i="1"/>
  <c r="J613" i="1"/>
  <c r="B611" i="1"/>
  <c r="F608" i="1"/>
  <c r="J605" i="1"/>
  <c r="B603" i="1"/>
  <c r="F600" i="1"/>
  <c r="J597" i="1"/>
  <c r="B595" i="1"/>
  <c r="F592" i="1"/>
  <c r="J589" i="1"/>
  <c r="B587" i="1"/>
  <c r="F584" i="1"/>
  <c r="J581" i="1"/>
  <c r="B579" i="1"/>
  <c r="F576" i="1"/>
  <c r="F574" i="1"/>
  <c r="H573" i="1"/>
  <c r="I572" i="1"/>
  <c r="J571" i="1"/>
  <c r="L570" i="1"/>
  <c r="A570" i="1"/>
  <c r="B569" i="1"/>
  <c r="E568" i="1"/>
  <c r="H567" i="1"/>
  <c r="K566" i="1"/>
  <c r="B566" i="1"/>
  <c r="E565" i="1"/>
  <c r="G564" i="1"/>
  <c r="J563" i="1"/>
  <c r="A563" i="1"/>
  <c r="D562" i="1"/>
  <c r="G561" i="1"/>
  <c r="J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J655" i="1"/>
  <c r="F650" i="1"/>
  <c r="B645" i="1"/>
  <c r="J639" i="1"/>
  <c r="F634" i="1"/>
  <c r="B629" i="1"/>
  <c r="D624" i="1"/>
  <c r="H621" i="1"/>
  <c r="L618" i="1"/>
  <c r="D616" i="1"/>
  <c r="H613" i="1"/>
  <c r="L610" i="1"/>
  <c r="D608" i="1"/>
  <c r="H605" i="1"/>
  <c r="L602" i="1"/>
  <c r="D600" i="1"/>
  <c r="H597" i="1"/>
  <c r="L594" i="1"/>
  <c r="D592" i="1"/>
  <c r="H589" i="1"/>
  <c r="L586" i="1"/>
  <c r="D584" i="1"/>
  <c r="H581" i="1"/>
  <c r="L578" i="1"/>
  <c r="D576" i="1"/>
  <c r="E574" i="1"/>
  <c r="G573" i="1"/>
  <c r="G572" i="1"/>
  <c r="I571" i="1"/>
  <c r="K570" i="1"/>
  <c r="K569" i="1"/>
  <c r="A569" i="1"/>
  <c r="D568" i="1"/>
  <c r="G567" i="1"/>
  <c r="J566" i="1"/>
  <c r="A566" i="1"/>
  <c r="C565" i="1"/>
  <c r="F564" i="1"/>
  <c r="I563" i="1"/>
  <c r="L562" i="1"/>
  <c r="C562" i="1"/>
  <c r="F561" i="1"/>
  <c r="I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B655" i="1"/>
  <c r="F618" i="1"/>
  <c r="B597" i="1"/>
  <c r="J575" i="1"/>
  <c r="C568" i="1"/>
  <c r="B562" i="1"/>
  <c r="C559" i="1"/>
  <c r="G556" i="1"/>
  <c r="K553" i="1"/>
  <c r="C551" i="1"/>
  <c r="G548" i="1"/>
  <c r="K545" i="1"/>
  <c r="C543" i="1"/>
  <c r="G540" i="1"/>
  <c r="K537" i="1"/>
  <c r="C535" i="1"/>
  <c r="G532" i="1"/>
  <c r="K529" i="1"/>
  <c r="C527" i="1"/>
  <c r="G524" i="1"/>
  <c r="K521" i="1"/>
  <c r="C519" i="1"/>
  <c r="G516" i="1"/>
  <c r="K513" i="1"/>
  <c r="C511" i="1"/>
  <c r="G508" i="1"/>
  <c r="C507" i="1"/>
  <c r="L505" i="1"/>
  <c r="A505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J649" i="1"/>
  <c r="J615" i="1"/>
  <c r="F594" i="1"/>
  <c r="D574" i="1"/>
  <c r="F567" i="1"/>
  <c r="J561" i="1"/>
  <c r="L558" i="1"/>
  <c r="D556" i="1"/>
  <c r="H553" i="1"/>
  <c r="L550" i="1"/>
  <c r="D548" i="1"/>
  <c r="H545" i="1"/>
  <c r="L542" i="1"/>
  <c r="D540" i="1"/>
  <c r="H537" i="1"/>
  <c r="L534" i="1"/>
  <c r="D532" i="1"/>
  <c r="H529" i="1"/>
  <c r="L526" i="1"/>
  <c r="D524" i="1"/>
  <c r="H521" i="1"/>
  <c r="L518" i="1"/>
  <c r="D516" i="1"/>
  <c r="H513" i="1"/>
  <c r="L510" i="1"/>
  <c r="D508" i="1"/>
  <c r="L506" i="1"/>
  <c r="K505" i="1"/>
  <c r="L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F644" i="1"/>
  <c r="B613" i="1"/>
  <c r="J591" i="1"/>
  <c r="E573" i="1"/>
  <c r="I566" i="1"/>
  <c r="E561" i="1"/>
  <c r="G558" i="1"/>
  <c r="K555" i="1"/>
  <c r="C553" i="1"/>
  <c r="G550" i="1"/>
  <c r="K547" i="1"/>
  <c r="C545" i="1"/>
  <c r="G542" i="1"/>
  <c r="K539" i="1"/>
  <c r="C537" i="1"/>
  <c r="G534" i="1"/>
  <c r="K531" i="1"/>
  <c r="C529" i="1"/>
  <c r="G526" i="1"/>
  <c r="K523" i="1"/>
  <c r="C521" i="1"/>
  <c r="G518" i="1"/>
  <c r="K515" i="1"/>
  <c r="C513" i="1"/>
  <c r="G510" i="1"/>
  <c r="C508" i="1"/>
  <c r="K506" i="1"/>
  <c r="I505" i="1"/>
  <c r="K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B639" i="1"/>
  <c r="F610" i="1"/>
  <c r="B589" i="1"/>
  <c r="F572" i="1"/>
  <c r="K565" i="1"/>
  <c r="A561" i="1"/>
  <c r="D558" i="1"/>
  <c r="H555" i="1"/>
  <c r="L552" i="1"/>
  <c r="D550" i="1"/>
  <c r="H547" i="1"/>
  <c r="L544" i="1"/>
  <c r="D542" i="1"/>
  <c r="H539" i="1"/>
  <c r="L536" i="1"/>
  <c r="D534" i="1"/>
  <c r="H531" i="1"/>
  <c r="L528" i="1"/>
  <c r="D526" i="1"/>
  <c r="H523" i="1"/>
  <c r="L520" i="1"/>
  <c r="D518" i="1"/>
  <c r="H515" i="1"/>
  <c r="L512" i="1"/>
  <c r="D510" i="1"/>
  <c r="L507" i="1"/>
  <c r="H506" i="1"/>
  <c r="H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J623" i="1"/>
  <c r="F602" i="1"/>
  <c r="B581" i="1"/>
  <c r="J569" i="1"/>
  <c r="H563" i="1"/>
  <c r="K559" i="1"/>
  <c r="C557" i="1"/>
  <c r="G554" i="1"/>
  <c r="K551" i="1"/>
  <c r="C549" i="1"/>
  <c r="G546" i="1"/>
  <c r="K543" i="1"/>
  <c r="C541" i="1"/>
  <c r="G538" i="1"/>
  <c r="K535" i="1"/>
  <c r="C533" i="1"/>
  <c r="G530" i="1"/>
  <c r="K527" i="1"/>
  <c r="C525" i="1"/>
  <c r="G522" i="1"/>
  <c r="K519" i="1"/>
  <c r="C517" i="1"/>
  <c r="G514" i="1"/>
  <c r="K511" i="1"/>
  <c r="C509" i="1"/>
  <c r="G507" i="1"/>
  <c r="C506" i="1"/>
  <c r="D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621" i="1"/>
  <c r="J599" i="1"/>
  <c r="F578" i="1"/>
  <c r="L568" i="1"/>
  <c r="K562" i="1"/>
  <c r="H559" i="1"/>
  <c r="L556" i="1"/>
  <c r="D554" i="1"/>
  <c r="H551" i="1"/>
  <c r="L548" i="1"/>
  <c r="D546" i="1"/>
  <c r="H543" i="1"/>
  <c r="L540" i="1"/>
  <c r="D538" i="1"/>
  <c r="H535" i="1"/>
  <c r="L532" i="1"/>
  <c r="D530" i="1"/>
  <c r="H527" i="1"/>
  <c r="L524" i="1"/>
  <c r="D522" i="1"/>
  <c r="H519" i="1"/>
  <c r="L516" i="1"/>
  <c r="D514" i="1"/>
  <c r="H511" i="1"/>
  <c r="L508" i="1"/>
  <c r="D507" i="1"/>
  <c r="A506" i="1"/>
  <c r="C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J633" i="1"/>
  <c r="B565" i="1"/>
  <c r="G552" i="1"/>
  <c r="K541" i="1"/>
  <c r="C531" i="1"/>
  <c r="G520" i="1"/>
  <c r="K509" i="1"/>
  <c r="H504" i="1"/>
  <c r="L501" i="1"/>
  <c r="D499" i="1"/>
  <c r="H496" i="1"/>
  <c r="L493" i="1"/>
  <c r="D491" i="1"/>
  <c r="H488" i="1"/>
  <c r="L485" i="1"/>
  <c r="D483" i="1"/>
  <c r="H480" i="1"/>
  <c r="L477" i="1"/>
  <c r="D475" i="1"/>
  <c r="H472" i="1"/>
  <c r="L469" i="1"/>
  <c r="D467" i="1"/>
  <c r="H464" i="1"/>
  <c r="L461" i="1"/>
  <c r="D459" i="1"/>
  <c r="H456" i="1"/>
  <c r="L453" i="1"/>
  <c r="D451" i="1"/>
  <c r="H448" i="1"/>
  <c r="L445" i="1"/>
  <c r="D443" i="1"/>
  <c r="H440" i="1"/>
  <c r="L437" i="1"/>
  <c r="D435" i="1"/>
  <c r="H432" i="1"/>
  <c r="L429" i="1"/>
  <c r="D427" i="1"/>
  <c r="H424" i="1"/>
  <c r="L421" i="1"/>
  <c r="D419" i="1"/>
  <c r="H416" i="1"/>
  <c r="L413" i="1"/>
  <c r="D411" i="1"/>
  <c r="H408" i="1"/>
  <c r="L405" i="1"/>
  <c r="D403" i="1"/>
  <c r="H400" i="1"/>
  <c r="L397" i="1"/>
  <c r="D395" i="1"/>
  <c r="H392" i="1"/>
  <c r="L389" i="1"/>
  <c r="D387" i="1"/>
  <c r="H384" i="1"/>
  <c r="L381" i="1"/>
  <c r="D379" i="1"/>
  <c r="H376" i="1"/>
  <c r="L373" i="1"/>
  <c r="D371" i="1"/>
  <c r="H368" i="1"/>
  <c r="L365" i="1"/>
  <c r="K363" i="1"/>
  <c r="L361" i="1"/>
  <c r="C360" i="1"/>
  <c r="G358" i="1"/>
  <c r="I356" i="1"/>
  <c r="E355" i="1"/>
  <c r="G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F628" i="1"/>
  <c r="E564" i="1"/>
  <c r="D552" i="1"/>
  <c r="H541" i="1"/>
  <c r="L530" i="1"/>
  <c r="D520" i="1"/>
  <c r="H509" i="1"/>
  <c r="G504" i="1"/>
  <c r="K501" i="1"/>
  <c r="C499" i="1"/>
  <c r="G496" i="1"/>
  <c r="K493" i="1"/>
  <c r="C491" i="1"/>
  <c r="G488" i="1"/>
  <c r="K485" i="1"/>
  <c r="C483" i="1"/>
  <c r="G480" i="1"/>
  <c r="K477" i="1"/>
  <c r="C475" i="1"/>
  <c r="G472" i="1"/>
  <c r="K469" i="1"/>
  <c r="C467" i="1"/>
  <c r="G464" i="1"/>
  <c r="K461" i="1"/>
  <c r="C459" i="1"/>
  <c r="G456" i="1"/>
  <c r="K453" i="1"/>
  <c r="C451" i="1"/>
  <c r="G448" i="1"/>
  <c r="K445" i="1"/>
  <c r="C443" i="1"/>
  <c r="G440" i="1"/>
  <c r="K437" i="1"/>
  <c r="C435" i="1"/>
  <c r="G432" i="1"/>
  <c r="K429" i="1"/>
  <c r="C427" i="1"/>
  <c r="G424" i="1"/>
  <c r="K421" i="1"/>
  <c r="C419" i="1"/>
  <c r="G416" i="1"/>
  <c r="K413" i="1"/>
  <c r="C411" i="1"/>
  <c r="G408" i="1"/>
  <c r="K405" i="1"/>
  <c r="C403" i="1"/>
  <c r="G400" i="1"/>
  <c r="K397" i="1"/>
  <c r="C395" i="1"/>
  <c r="G392" i="1"/>
  <c r="K389" i="1"/>
  <c r="C387" i="1"/>
  <c r="G384" i="1"/>
  <c r="K381" i="1"/>
  <c r="C379" i="1"/>
  <c r="G376" i="1"/>
  <c r="K373" i="1"/>
  <c r="C371" i="1"/>
  <c r="G368" i="1"/>
  <c r="K365" i="1"/>
  <c r="G363" i="1"/>
  <c r="K361" i="1"/>
  <c r="L359" i="1"/>
  <c r="C358" i="1"/>
  <c r="H356" i="1"/>
  <c r="D355" i="1"/>
  <c r="F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J607" i="1"/>
  <c r="G560" i="1"/>
  <c r="K549" i="1"/>
  <c r="C539" i="1"/>
  <c r="G528" i="1"/>
  <c r="K517" i="1"/>
  <c r="K507" i="1"/>
  <c r="L503" i="1"/>
  <c r="D501" i="1"/>
  <c r="H498" i="1"/>
  <c r="L495" i="1"/>
  <c r="D493" i="1"/>
  <c r="H490" i="1"/>
  <c r="L487" i="1"/>
  <c r="D485" i="1"/>
  <c r="H482" i="1"/>
  <c r="L479" i="1"/>
  <c r="D477" i="1"/>
  <c r="H474" i="1"/>
  <c r="L471" i="1"/>
  <c r="D469" i="1"/>
  <c r="H466" i="1"/>
  <c r="L463" i="1"/>
  <c r="D461" i="1"/>
  <c r="H458" i="1"/>
  <c r="L455" i="1"/>
  <c r="D453" i="1"/>
  <c r="H450" i="1"/>
  <c r="L447" i="1"/>
  <c r="D445" i="1"/>
  <c r="H442" i="1"/>
  <c r="L439" i="1"/>
  <c r="D437" i="1"/>
  <c r="H434" i="1"/>
  <c r="L431" i="1"/>
  <c r="D429" i="1"/>
  <c r="H426" i="1"/>
  <c r="L423" i="1"/>
  <c r="D421" i="1"/>
  <c r="H418" i="1"/>
  <c r="L415" i="1"/>
  <c r="D413" i="1"/>
  <c r="H410" i="1"/>
  <c r="L407" i="1"/>
  <c r="D405" i="1"/>
  <c r="H402" i="1"/>
  <c r="L399" i="1"/>
  <c r="D397" i="1"/>
  <c r="H394" i="1"/>
  <c r="L391" i="1"/>
  <c r="D389" i="1"/>
  <c r="H386" i="1"/>
  <c r="L383" i="1"/>
  <c r="D381" i="1"/>
  <c r="H378" i="1"/>
  <c r="L375" i="1"/>
  <c r="D373" i="1"/>
  <c r="H370" i="1"/>
  <c r="L367" i="1"/>
  <c r="D365" i="1"/>
  <c r="D363" i="1"/>
  <c r="G361" i="1"/>
  <c r="K359" i="1"/>
  <c r="L357" i="1"/>
  <c r="G356" i="1"/>
  <c r="C355" i="1"/>
  <c r="E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B605" i="1"/>
  <c r="D560" i="1"/>
  <c r="H549" i="1"/>
  <c r="L538" i="1"/>
  <c r="D528" i="1"/>
  <c r="H517" i="1"/>
  <c r="H507" i="1"/>
  <c r="K503" i="1"/>
  <c r="C501" i="1"/>
  <c r="G498" i="1"/>
  <c r="K495" i="1"/>
  <c r="C493" i="1"/>
  <c r="G490" i="1"/>
  <c r="K487" i="1"/>
  <c r="C485" i="1"/>
  <c r="G482" i="1"/>
  <c r="K479" i="1"/>
  <c r="C477" i="1"/>
  <c r="G474" i="1"/>
  <c r="K471" i="1"/>
  <c r="C469" i="1"/>
  <c r="G466" i="1"/>
  <c r="K463" i="1"/>
  <c r="C461" i="1"/>
  <c r="G458" i="1"/>
  <c r="K455" i="1"/>
  <c r="C453" i="1"/>
  <c r="G450" i="1"/>
  <c r="K447" i="1"/>
  <c r="C445" i="1"/>
  <c r="G442" i="1"/>
  <c r="K439" i="1"/>
  <c r="C437" i="1"/>
  <c r="G434" i="1"/>
  <c r="K431" i="1"/>
  <c r="C429" i="1"/>
  <c r="G426" i="1"/>
  <c r="K423" i="1"/>
  <c r="C421" i="1"/>
  <c r="G418" i="1"/>
  <c r="K415" i="1"/>
  <c r="C413" i="1"/>
  <c r="G410" i="1"/>
  <c r="K407" i="1"/>
  <c r="C405" i="1"/>
  <c r="G402" i="1"/>
  <c r="K399" i="1"/>
  <c r="C397" i="1"/>
  <c r="G394" i="1"/>
  <c r="K391" i="1"/>
  <c r="C389" i="1"/>
  <c r="G386" i="1"/>
  <c r="K383" i="1"/>
  <c r="C381" i="1"/>
  <c r="G378" i="1"/>
  <c r="K375" i="1"/>
  <c r="C373" i="1"/>
  <c r="G370" i="1"/>
  <c r="K367" i="1"/>
  <c r="C365" i="1"/>
  <c r="C363" i="1"/>
  <c r="D361" i="1"/>
  <c r="G359" i="1"/>
  <c r="K357" i="1"/>
  <c r="C356" i="1"/>
  <c r="B355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F586" i="1"/>
  <c r="K557" i="1"/>
  <c r="C547" i="1"/>
  <c r="G536" i="1"/>
  <c r="K525" i="1"/>
  <c r="C515" i="1"/>
  <c r="G506" i="1"/>
  <c r="D503" i="1"/>
  <c r="H500" i="1"/>
  <c r="L497" i="1"/>
  <c r="D495" i="1"/>
  <c r="H492" i="1"/>
  <c r="L489" i="1"/>
  <c r="D487" i="1"/>
  <c r="H484" i="1"/>
  <c r="L481" i="1"/>
  <c r="D479" i="1"/>
  <c r="H476" i="1"/>
  <c r="L473" i="1"/>
  <c r="D471" i="1"/>
  <c r="H468" i="1"/>
  <c r="L465" i="1"/>
  <c r="D463" i="1"/>
  <c r="H460" i="1"/>
  <c r="L457" i="1"/>
  <c r="D455" i="1"/>
  <c r="H452" i="1"/>
  <c r="L449" i="1"/>
  <c r="D447" i="1"/>
  <c r="H444" i="1"/>
  <c r="L441" i="1"/>
  <c r="D439" i="1"/>
  <c r="H436" i="1"/>
  <c r="L433" i="1"/>
  <c r="D431" i="1"/>
  <c r="H428" i="1"/>
  <c r="L425" i="1"/>
  <c r="D423" i="1"/>
  <c r="H420" i="1"/>
  <c r="L417" i="1"/>
  <c r="D415" i="1"/>
  <c r="H412" i="1"/>
  <c r="L409" i="1"/>
  <c r="D407" i="1"/>
  <c r="H404" i="1"/>
  <c r="L401" i="1"/>
  <c r="D399" i="1"/>
  <c r="H396" i="1"/>
  <c r="L393" i="1"/>
  <c r="D391" i="1"/>
  <c r="H388" i="1"/>
  <c r="L385" i="1"/>
  <c r="D383" i="1"/>
  <c r="H380" i="1"/>
  <c r="L377" i="1"/>
  <c r="D375" i="1"/>
  <c r="H372" i="1"/>
  <c r="L369" i="1"/>
  <c r="D367" i="1"/>
  <c r="H364" i="1"/>
  <c r="K362" i="1"/>
  <c r="C361" i="1"/>
  <c r="D359" i="1"/>
  <c r="G357" i="1"/>
  <c r="A356" i="1"/>
  <c r="K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J583" i="1"/>
  <c r="H557" i="1"/>
  <c r="L546" i="1"/>
  <c r="D536" i="1"/>
  <c r="H525" i="1"/>
  <c r="L514" i="1"/>
  <c r="D506" i="1"/>
  <c r="C503" i="1"/>
  <c r="G500" i="1"/>
  <c r="K497" i="1"/>
  <c r="C495" i="1"/>
  <c r="G492" i="1"/>
  <c r="K489" i="1"/>
  <c r="C487" i="1"/>
  <c r="G484" i="1"/>
  <c r="K481" i="1"/>
  <c r="C479" i="1"/>
  <c r="G476" i="1"/>
  <c r="K473" i="1"/>
  <c r="C471" i="1"/>
  <c r="G468" i="1"/>
  <c r="K465" i="1"/>
  <c r="C463" i="1"/>
  <c r="G460" i="1"/>
  <c r="K457" i="1"/>
  <c r="C455" i="1"/>
  <c r="G452" i="1"/>
  <c r="K449" i="1"/>
  <c r="C447" i="1"/>
  <c r="G444" i="1"/>
  <c r="K441" i="1"/>
  <c r="C439" i="1"/>
  <c r="G436" i="1"/>
  <c r="K433" i="1"/>
  <c r="C431" i="1"/>
  <c r="G428" i="1"/>
  <c r="K425" i="1"/>
  <c r="C423" i="1"/>
  <c r="G420" i="1"/>
  <c r="K417" i="1"/>
  <c r="C415" i="1"/>
  <c r="G412" i="1"/>
  <c r="K409" i="1"/>
  <c r="C407" i="1"/>
  <c r="G404" i="1"/>
  <c r="K401" i="1"/>
  <c r="C399" i="1"/>
  <c r="G396" i="1"/>
  <c r="K393" i="1"/>
  <c r="C391" i="1"/>
  <c r="G388" i="1"/>
  <c r="K385" i="1"/>
  <c r="C383" i="1"/>
  <c r="G380" i="1"/>
  <c r="K377" i="1"/>
  <c r="C375" i="1"/>
  <c r="G372" i="1"/>
  <c r="K369" i="1"/>
  <c r="C367" i="1"/>
  <c r="G364" i="1"/>
  <c r="H362" i="1"/>
  <c r="K360" i="1"/>
  <c r="C359" i="1"/>
  <c r="D357" i="1"/>
  <c r="L355" i="1"/>
  <c r="J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I570" i="1"/>
  <c r="L554" i="1"/>
  <c r="D544" i="1"/>
  <c r="H533" i="1"/>
  <c r="L522" i="1"/>
  <c r="D512" i="1"/>
  <c r="E505" i="1"/>
  <c r="G502" i="1"/>
  <c r="K499" i="1"/>
  <c r="C497" i="1"/>
  <c r="G494" i="1"/>
  <c r="K491" i="1"/>
  <c r="C489" i="1"/>
  <c r="G486" i="1"/>
  <c r="K483" i="1"/>
  <c r="C481" i="1"/>
  <c r="G478" i="1"/>
  <c r="K475" i="1"/>
  <c r="C473" i="1"/>
  <c r="G470" i="1"/>
  <c r="K467" i="1"/>
  <c r="C465" i="1"/>
  <c r="G462" i="1"/>
  <c r="K459" i="1"/>
  <c r="C457" i="1"/>
  <c r="G454" i="1"/>
  <c r="K451" i="1"/>
  <c r="C449" i="1"/>
  <c r="G446" i="1"/>
  <c r="K443" i="1"/>
  <c r="C441" i="1"/>
  <c r="G438" i="1"/>
  <c r="K435" i="1"/>
  <c r="C433" i="1"/>
  <c r="G430" i="1"/>
  <c r="K427" i="1"/>
  <c r="C425" i="1"/>
  <c r="G422" i="1"/>
  <c r="K419" i="1"/>
  <c r="C417" i="1"/>
  <c r="G414" i="1"/>
  <c r="K411" i="1"/>
  <c r="C409" i="1"/>
  <c r="G406" i="1"/>
  <c r="K403" i="1"/>
  <c r="C401" i="1"/>
  <c r="G398" i="1"/>
  <c r="K395" i="1"/>
  <c r="C393" i="1"/>
  <c r="G390" i="1"/>
  <c r="K387" i="1"/>
  <c r="C385" i="1"/>
  <c r="G382" i="1"/>
  <c r="K379" i="1"/>
  <c r="C377" i="1"/>
  <c r="G374" i="1"/>
  <c r="K371" i="1"/>
  <c r="C369" i="1"/>
  <c r="G366" i="1"/>
  <c r="L363" i="1"/>
  <c r="C362" i="1"/>
  <c r="G360" i="1"/>
  <c r="H358" i="1"/>
  <c r="K356" i="1"/>
  <c r="G355" i="1"/>
  <c r="H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H571" i="1"/>
  <c r="L499" i="1"/>
  <c r="H478" i="1"/>
  <c r="D457" i="1"/>
  <c r="L435" i="1"/>
  <c r="H414" i="1"/>
  <c r="D393" i="1"/>
  <c r="L371" i="1"/>
  <c r="K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9" i="1"/>
  <c r="J238" i="1"/>
  <c r="J237" i="1"/>
  <c r="I236" i="1"/>
  <c r="G235" i="1"/>
  <c r="I234" i="1"/>
  <c r="L233" i="1"/>
  <c r="C233" i="1"/>
  <c r="F232" i="1"/>
  <c r="I231" i="1"/>
  <c r="K230" i="1"/>
  <c r="B230" i="1"/>
  <c r="E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C555" i="1"/>
  <c r="D497" i="1"/>
  <c r="L475" i="1"/>
  <c r="H454" i="1"/>
  <c r="D433" i="1"/>
  <c r="L411" i="1"/>
  <c r="H390" i="1"/>
  <c r="D369" i="1"/>
  <c r="I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J239" i="1"/>
  <c r="I238" i="1"/>
  <c r="G237" i="1"/>
  <c r="H236" i="1"/>
  <c r="F235" i="1"/>
  <c r="H234" i="1"/>
  <c r="K233" i="1"/>
  <c r="B233" i="1"/>
  <c r="E232" i="1"/>
  <c r="G231" i="1"/>
  <c r="J230" i="1"/>
  <c r="A230" i="1"/>
  <c r="D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G544" i="1"/>
  <c r="H494" i="1"/>
  <c r="D473" i="1"/>
  <c r="L451" i="1"/>
  <c r="H430" i="1"/>
  <c r="D409" i="1"/>
  <c r="L387" i="1"/>
  <c r="H366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G239" i="1"/>
  <c r="H238" i="1"/>
  <c r="F237" i="1"/>
  <c r="F236" i="1"/>
  <c r="E235" i="1"/>
  <c r="G234" i="1"/>
  <c r="J233" i="1"/>
  <c r="A233" i="1"/>
  <c r="C232" i="1"/>
  <c r="F231" i="1"/>
  <c r="I230" i="1"/>
  <c r="L229" i="1"/>
  <c r="C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K533" i="1"/>
  <c r="L491" i="1"/>
  <c r="H470" i="1"/>
  <c r="D449" i="1"/>
  <c r="L427" i="1"/>
  <c r="H406" i="1"/>
  <c r="D385" i="1"/>
  <c r="C364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F239" i="1"/>
  <c r="F238" i="1"/>
  <c r="E237" i="1"/>
  <c r="C236" i="1"/>
  <c r="D235" i="1"/>
  <c r="F234" i="1"/>
  <c r="I233" i="1"/>
  <c r="K232" i="1"/>
  <c r="B232" i="1"/>
  <c r="E231" i="1"/>
  <c r="H230" i="1"/>
  <c r="K229" i="1"/>
  <c r="B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C523" i="1"/>
  <c r="D489" i="1"/>
  <c r="L467" i="1"/>
  <c r="H446" i="1"/>
  <c r="D425" i="1"/>
  <c r="L403" i="1"/>
  <c r="H382" i="1"/>
  <c r="G362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E239" i="1"/>
  <c r="C238" i="1"/>
  <c r="D237" i="1"/>
  <c r="B236" i="1"/>
  <c r="B235" i="1"/>
  <c r="E234" i="1"/>
  <c r="G233" i="1"/>
  <c r="J232" i="1"/>
  <c r="A232" i="1"/>
  <c r="D231" i="1"/>
  <c r="G230" i="1"/>
  <c r="J229" i="1"/>
  <c r="A229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G512" i="1"/>
  <c r="H486" i="1"/>
  <c r="D465" i="1"/>
  <c r="L443" i="1"/>
  <c r="H422" i="1"/>
  <c r="D401" i="1"/>
  <c r="L379" i="1"/>
  <c r="H360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C240" i="1"/>
  <c r="D239" i="1"/>
  <c r="B238" i="1"/>
  <c r="B237" i="1"/>
  <c r="A236" i="1"/>
  <c r="A235" i="1"/>
  <c r="C234" i="1"/>
  <c r="F233" i="1"/>
  <c r="I232" i="1"/>
  <c r="L231" i="1"/>
  <c r="C231" i="1"/>
  <c r="F230" i="1"/>
  <c r="I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505" i="1"/>
  <c r="L483" i="1"/>
  <c r="H462" i="1"/>
  <c r="D441" i="1"/>
  <c r="L419" i="1"/>
  <c r="H398" i="1"/>
  <c r="D377" i="1"/>
  <c r="K358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B240" i="1"/>
  <c r="B239" i="1"/>
  <c r="A238" i="1"/>
  <c r="K236" i="1"/>
  <c r="L235" i="1"/>
  <c r="K234" i="1"/>
  <c r="B234" i="1"/>
  <c r="E233" i="1"/>
  <c r="H232" i="1"/>
  <c r="K231" i="1"/>
  <c r="B231" i="1"/>
  <c r="E230" i="1"/>
  <c r="G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H502" i="1"/>
  <c r="H350" i="1"/>
  <c r="L307" i="1"/>
  <c r="D265" i="1"/>
  <c r="J236" i="1"/>
  <c r="C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8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C4" i="1"/>
  <c r="A220" i="1"/>
  <c r="I214" i="1"/>
  <c r="I198" i="1"/>
  <c r="I182" i="1"/>
  <c r="I150" i="1"/>
  <c r="E113" i="1"/>
  <c r="E88" i="1"/>
  <c r="G84" i="1"/>
  <c r="K79" i="1"/>
  <c r="C75" i="1"/>
  <c r="G70" i="1"/>
  <c r="K65" i="1"/>
  <c r="C61" i="1"/>
  <c r="K55" i="1"/>
  <c r="K51" i="1"/>
  <c r="C47" i="1"/>
  <c r="G42" i="1"/>
  <c r="K39" i="1"/>
  <c r="K35" i="1"/>
  <c r="G30" i="1"/>
  <c r="G26" i="1"/>
  <c r="K21" i="1"/>
  <c r="C17" i="1"/>
  <c r="G12" i="1"/>
  <c r="G8" i="1"/>
  <c r="D481" i="1"/>
  <c r="D345" i="1"/>
  <c r="H302" i="1"/>
  <c r="L259" i="1"/>
  <c r="J235" i="1"/>
  <c r="F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K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L237" i="1"/>
  <c r="A188" i="1"/>
  <c r="E145" i="1"/>
  <c r="A108" i="1"/>
  <c r="G86" i="1"/>
  <c r="C83" i="1"/>
  <c r="C79" i="1"/>
  <c r="K73" i="1"/>
  <c r="K69" i="1"/>
  <c r="C65" i="1"/>
  <c r="C59" i="1"/>
  <c r="G54" i="1"/>
  <c r="G50" i="1"/>
  <c r="C45" i="1"/>
  <c r="C39" i="1"/>
  <c r="G34" i="1"/>
  <c r="C29" i="1"/>
  <c r="K23" i="1"/>
  <c r="G18" i="1"/>
  <c r="K13" i="1"/>
  <c r="C9" i="1"/>
  <c r="L459" i="1"/>
  <c r="L339" i="1"/>
  <c r="D297" i="1"/>
  <c r="H254" i="1"/>
  <c r="J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J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5" i="1"/>
  <c r="A231" i="1"/>
  <c r="E193" i="1"/>
  <c r="A156" i="1"/>
  <c r="I134" i="1"/>
  <c r="A92" i="1"/>
  <c r="G82" i="1"/>
  <c r="C77" i="1"/>
  <c r="K71" i="1"/>
  <c r="C67" i="1"/>
  <c r="K61" i="1"/>
  <c r="C55" i="1"/>
  <c r="C49" i="1"/>
  <c r="G44" i="1"/>
  <c r="G40" i="1"/>
  <c r="G36" i="1"/>
  <c r="G32" i="1"/>
  <c r="C27" i="1"/>
  <c r="C23" i="1"/>
  <c r="C19" i="1"/>
  <c r="K15" i="1"/>
  <c r="K11" i="1"/>
  <c r="G6" i="1"/>
  <c r="H438" i="1"/>
  <c r="H334" i="1"/>
  <c r="L291" i="1"/>
  <c r="D249" i="1"/>
  <c r="A234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I89" i="1"/>
  <c r="I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K4" i="1"/>
  <c r="E225" i="1"/>
  <c r="A204" i="1"/>
  <c r="E161" i="1"/>
  <c r="A124" i="1"/>
  <c r="C87" i="1"/>
  <c r="C81" i="1"/>
  <c r="K77" i="1"/>
  <c r="C73" i="1"/>
  <c r="K67" i="1"/>
  <c r="G62" i="1"/>
  <c r="G56" i="1"/>
  <c r="C51" i="1"/>
  <c r="G46" i="1"/>
  <c r="K41" i="1"/>
  <c r="C37" i="1"/>
  <c r="C31" i="1"/>
  <c r="K25" i="1"/>
  <c r="C21" i="1"/>
  <c r="G16" i="1"/>
  <c r="C11" i="1"/>
  <c r="K5" i="1"/>
  <c r="D417" i="1"/>
  <c r="D329" i="1"/>
  <c r="H286" i="1"/>
  <c r="L243" i="1"/>
  <c r="D233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E89" i="1"/>
  <c r="G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H270" i="1"/>
  <c r="E209" i="1"/>
  <c r="E177" i="1"/>
  <c r="A140" i="1"/>
  <c r="I102" i="1"/>
  <c r="C85" i="1"/>
  <c r="G80" i="1"/>
  <c r="K75" i="1"/>
  <c r="G72" i="1"/>
  <c r="G68" i="1"/>
  <c r="K63" i="1"/>
  <c r="K59" i="1"/>
  <c r="C57" i="1"/>
  <c r="G52" i="1"/>
  <c r="K47" i="1"/>
  <c r="C43" i="1"/>
  <c r="K37" i="1"/>
  <c r="K33" i="1"/>
  <c r="K31" i="1"/>
  <c r="K27" i="1"/>
  <c r="G24" i="1"/>
  <c r="K19" i="1"/>
  <c r="G14" i="1"/>
  <c r="G10" i="1"/>
  <c r="K7" i="1"/>
  <c r="G4" i="1"/>
  <c r="L395" i="1"/>
  <c r="L323" i="1"/>
  <c r="D281" i="1"/>
  <c r="A240" i="1"/>
  <c r="G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9" i="1"/>
  <c r="F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D313" i="1"/>
  <c r="I166" i="1"/>
  <c r="E129" i="1"/>
  <c r="E97" i="1"/>
  <c r="K83" i="1"/>
  <c r="G78" i="1"/>
  <c r="G74" i="1"/>
  <c r="C69" i="1"/>
  <c r="G64" i="1"/>
  <c r="G60" i="1"/>
  <c r="K57" i="1"/>
  <c r="C53" i="1"/>
  <c r="G48" i="1"/>
  <c r="K43" i="1"/>
  <c r="G38" i="1"/>
  <c r="C33" i="1"/>
  <c r="G28" i="1"/>
  <c r="G22" i="1"/>
  <c r="K17" i="1"/>
  <c r="C13" i="1"/>
  <c r="C7" i="1"/>
  <c r="H374" i="1"/>
  <c r="H318" i="1"/>
  <c r="L275" i="1"/>
  <c r="K238" i="1"/>
  <c r="J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I88" i="1"/>
  <c r="E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357" i="1"/>
  <c r="A172" i="1"/>
  <c r="I118" i="1"/>
  <c r="K85" i="1"/>
  <c r="K81" i="1"/>
  <c r="G76" i="1"/>
  <c r="C71" i="1"/>
  <c r="G66" i="1"/>
  <c r="C63" i="1"/>
  <c r="G58" i="1"/>
  <c r="K53" i="1"/>
  <c r="K49" i="1"/>
  <c r="K45" i="1"/>
  <c r="C41" i="1"/>
  <c r="C35" i="1"/>
  <c r="K29" i="1"/>
  <c r="C25" i="1"/>
  <c r="G20" i="1"/>
  <c r="C15" i="1"/>
  <c r="K9" i="1"/>
  <c r="C5" i="1"/>
</calcChain>
</file>

<file path=xl/sharedStrings.xml><?xml version="1.0" encoding="utf-8"?>
<sst xmlns="http://schemas.openxmlformats.org/spreadsheetml/2006/main" count="499" uniqueCount="91">
  <si>
    <t>Settings</t>
  </si>
  <si>
    <t>Master Data Info</t>
  </si>
  <si>
    <t>Modules Info</t>
  </si>
  <si>
    <t>Module Step Setting File</t>
  </si>
  <si>
    <t>Modules</t>
  </si>
  <si>
    <t>1sG6uB28jAaiyaldDeMtbboQN41jJ2tAmE2rg6U9qH5o</t>
  </si>
  <si>
    <t>Master Data Settings File</t>
  </si>
  <si>
    <t>Module</t>
  </si>
  <si>
    <t>Step</t>
  </si>
  <si>
    <t>Master Data Sheet</t>
  </si>
  <si>
    <t>1hEhI9rg16D4Xvfk19pDaFUFF78jjfIG29BBaNg8kT0A</t>
  </si>
  <si>
    <t>Data</t>
  </si>
  <si>
    <t>TradingTicket</t>
  </si>
  <si>
    <t>DailyValuation</t>
  </si>
  <si>
    <t>CreateDoneAwayOrder</t>
  </si>
  <si>
    <t>Data Format</t>
  </si>
  <si>
    <t>Input Format</t>
  </si>
  <si>
    <t>GetMarkPriceData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</si>
  <si>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</si>
  <si>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</si>
  <si>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</si>
  <si>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</si>
  <si>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</si>
  <si>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</si>
  <si>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</si>
  <si>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</si>
  <si>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</si>
  <si>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</si>
  <si>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</si>
  <si>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UpdateMarkPrice</t>
  </si>
  <si>
    <t>GetForexConversion</t>
  </si>
  <si>
    <t>UpdateForexConversion</t>
  </si>
  <si>
    <t>PricingInput</t>
  </si>
  <si>
    <t>USD</t>
  </si>
  <si>
    <t>CAD</t>
  </si>
  <si>
    <t>CAD AO-FX</t>
  </si>
  <si>
    <t>EUR</t>
  </si>
  <si>
    <t>USD AO-FX</t>
  </si>
  <si>
    <t>GeneralLedger</t>
  </si>
  <si>
    <t>GetDayEndCash</t>
  </si>
  <si>
    <t>NewMF,NewMF1</t>
  </si>
  <si>
    <t>Allocation1,Allocation2</t>
  </si>
  <si>
    <t xml:space="preserve">GS </t>
  </si>
  <si>
    <t>PortfolioManagement</t>
  </si>
  <si>
    <t>CheckPortfolioManagement</t>
  </si>
  <si>
    <t>CheckDashboardPM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</si>
  <si>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</si>
  <si>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</si>
  <si>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</si>
  <si>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</si>
  <si>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</si>
  <si>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</si>
  <si>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</si>
  <si>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</si>
  <si>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</si>
  <si>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</si>
  <si>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</si>
  <si>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</si>
  <si>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</si>
  <si>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</si>
  <si>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</si>
  <si>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N/A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</si>
  <si>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</si>
  <si>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</si>
  <si>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</si>
  <si>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</si>
  <si>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</si>
  <si>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</si>
  <si>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</si>
  <si>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</si>
  <si>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</si>
  <si>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</si>
  <si>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</si>
  <si>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</si>
  <si>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</si>
  <si>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</si>
  <si>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</si>
  <si>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</si>
  <si>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</si>
  <si>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TSX</t>
  </si>
  <si>
    <t>FRU CN EQUITY</t>
  </si>
  <si>
    <t>UK</t>
  </si>
  <si>
    <t>NewMF1</t>
  </si>
  <si>
    <t>MS</t>
  </si>
  <si>
    <t>BMW BAYERISCHE MOTOREN WERKE AG</t>
  </si>
  <si>
    <t>EU</t>
  </si>
  <si>
    <t>FRA</t>
  </si>
  <si>
    <t>BMW GR</t>
  </si>
  <si>
    <t>DE0005190003</t>
  </si>
  <si>
    <t>BMWG.F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</si>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</sst>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color rgb="FF1155CC"/>
      <name val="Inconsolata"/>
    </font>
    <font>
      <sz val="11"/>
      <color rgb="FF000000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8" fillId="0" borderId="0" xfId="0" applyFont="1"/>
    <xf numFmtId="0" fontId="9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13" fillId="6" borderId="0" xfId="0" applyFont="1" applyFill="1" applyAlignment="1">
      <alignment horizontal="left"/>
    </xf>
    <xf numFmtId="14" fontId="4" fillId="0" borderId="0" xfId="0" applyNumberFormat="1" applyFont="1" applyAlignment="1"/>
    <xf numFmtId="0" fontId="4" fillId="0" borderId="5" xfId="0" applyFont="1" applyBorder="1" applyAlignment="1"/>
    <xf numFmtId="14" fontId="4" fillId="0" borderId="0" xfId="0" applyNumberFormat="1" applyFont="1" applyAlignment="1"/>
    <xf numFmtId="4" fontId="4" fillId="0" borderId="5" xfId="0" applyNumberFormat="1" applyFont="1" applyBorder="1" applyAlignment="1">
      <alignment horizontal="right"/>
    </xf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0" xfId="0" applyFont="1" applyAlignment="1"/>
    <xf numFmtId="4" fontId="4" fillId="0" borderId="0" xfId="0" applyNumberFormat="1" applyFont="1" applyAlignment="1">
      <alignment horizontal="right"/>
    </xf>
    <xf numFmtId="0" fontId="13" fillId="6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14" fontId="14" fillId="6" borderId="0" xfId="0" applyNumberFormat="1" applyFont="1" applyFill="1"/>
    <xf numFmtId="0" fontId="5" fillId="0" borderId="0" xfId="0" applyFont="1" applyAlignment="1">
      <alignment horizontal="right"/>
    </xf>
    <xf numFmtId="14" fontId="15" fillId="6" borderId="0" xfId="0" applyNumberFormat="1" applyFont="1" applyFill="1"/>
    <xf numFmtId="0" fontId="5" fillId="0" borderId="0" xfId="0" applyFont="1" applyAlignment="1"/>
    <xf numFmtId="0" fontId="3" fillId="0" borderId="0" xfId="0" applyFont="1" applyAlignment="1"/>
    <xf numFmtId="0" fontId="13" fillId="6" borderId="5" xfId="0" applyFont="1" applyFill="1" applyBorder="1" applyAlignment="1"/>
    <xf numFmtId="0" fontId="13" fillId="6" borderId="0" xfId="0" applyFont="1" applyFill="1" applyAlignment="1">
      <alignment horizontal="right"/>
    </xf>
    <xf numFmtId="4" fontId="5" fillId="0" borderId="5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13" fillId="0" borderId="0" xfId="0" applyFont="1" applyAlignment="1"/>
    <xf numFmtId="4" fontId="13" fillId="6" borderId="0" xfId="0" applyNumberFormat="1" applyFont="1" applyFill="1" applyAlignment="1">
      <alignment horizontal="right"/>
    </xf>
    <xf numFmtId="4" fontId="13" fillId="6" borderId="0" xfId="0" applyNumberFormat="1" applyFont="1" applyFill="1" applyAlignment="1"/>
    <xf numFmtId="0" fontId="4" fillId="0" borderId="5" xfId="0" applyFont="1" applyBorder="1" applyAlignment="1"/>
    <xf numFmtId="4" fontId="5" fillId="0" borderId="0" xfId="0" applyNumberFormat="1" applyFont="1" applyAlignment="1">
      <alignment horizontal="right"/>
    </xf>
    <xf numFmtId="14" fontId="4" fillId="0" borderId="5" xfId="0" applyNumberFormat="1" applyFont="1" applyBorder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0" xfId="0" applyFont="1" applyAlignment="1"/>
    <xf numFmtId="4" fontId="3" fillId="2" borderId="0" xfId="0" applyNumberFormat="1" applyFont="1" applyFill="1"/>
    <xf numFmtId="4" fontId="13" fillId="0" borderId="0" xfId="0" applyNumberFormat="1" applyFont="1" applyAlignment="1"/>
    <xf numFmtId="14" fontId="14" fillId="6" borderId="0" xfId="0" applyNumberFormat="1" applyFont="1" applyFill="1" applyAlignment="1">
      <alignment horizontal="right"/>
    </xf>
    <xf numFmtId="4" fontId="4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4" fontId="9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6" fillId="0" borderId="0" xfId="0" applyNumberFormat="1" applyFont="1" applyAlignment="1"/>
    <xf numFmtId="4" fontId="17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center"/>
    </xf>
    <xf numFmtId="4" fontId="17" fillId="0" borderId="0" xfId="0" applyNumberFormat="1" applyFont="1" applyAlignment="1"/>
    <xf numFmtId="4" fontId="5" fillId="0" borderId="0" xfId="0" applyNumberFormat="1" applyFont="1" applyAlignment="1"/>
    <xf numFmtId="4" fontId="5" fillId="0" borderId="5" xfId="0" applyNumberFormat="1" applyFont="1" applyBorder="1" applyAlignment="1"/>
    <xf numFmtId="4" fontId="5" fillId="0" borderId="5" xfId="0" applyNumberFormat="1" applyFont="1" applyBorder="1" applyAlignment="1"/>
    <xf numFmtId="4" fontId="5" fillId="0" borderId="0" xfId="0" applyNumberFormat="1" applyFont="1" applyAlignment="1"/>
    <xf numFmtId="4" fontId="5" fillId="0" borderId="0" xfId="0" applyNumberFormat="1" applyFont="1" applyAlignment="1">
      <alignment horizontal="right"/>
    </xf>
    <xf numFmtId="4" fontId="13" fillId="6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89" t="s">
        <v>2</v>
      </c>
      <c r="B1" s="90"/>
      <c r="C1" s="90"/>
      <c r="D1" s="90"/>
      <c r="E1" s="90"/>
      <c r="F1" s="91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4</v>
      </c>
      <c r="B3" s="5"/>
      <c r="C3" s="8"/>
      <c r="D3" s="8"/>
      <c r="E3" s="8"/>
      <c r="F3" s="8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43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92" t="s">
        <v>0</v>
      </c>
      <c r="B1" s="90"/>
      <c r="C1" s="91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4" t="s">
        <v>5</v>
      </c>
      <c r="C3" s="1"/>
    </row>
    <row r="4" spans="1:3" ht="15.75" customHeight="1">
      <c r="A4" s="6" t="s">
        <v>6</v>
      </c>
      <c r="B4" s="4" t="s">
        <v>10</v>
      </c>
      <c r="C4" s="1"/>
    </row>
    <row r="5" spans="1:3" ht="15.75" customHeight="1">
      <c r="A5" s="11"/>
      <c r="B5" s="1"/>
      <c r="C5" s="1"/>
    </row>
    <row r="6" spans="1:3" ht="15.75" customHeight="1">
      <c r="A6" s="11"/>
      <c r="B6" s="1"/>
      <c r="C6" s="1"/>
    </row>
    <row r="7" spans="1:3" ht="15.75" customHeight="1">
      <c r="A7" s="11"/>
      <c r="B7" s="1"/>
      <c r="C7" s="1"/>
    </row>
    <row r="8" spans="1:3" ht="15.75" customHeight="1">
      <c r="A8" s="11"/>
      <c r="B8" s="1"/>
      <c r="C8" s="1"/>
    </row>
    <row r="9" spans="1:3" ht="15.75" customHeight="1">
      <c r="A9" s="11"/>
      <c r="B9" s="1"/>
      <c r="C9" s="1"/>
    </row>
    <row r="10" spans="1:3" ht="15.75" customHeight="1">
      <c r="A10" s="11"/>
      <c r="B10" s="1"/>
      <c r="C10" s="1"/>
    </row>
    <row r="11" spans="1:3" ht="15.75" customHeight="1">
      <c r="A11" s="11"/>
      <c r="B11" s="1"/>
      <c r="C11" s="1"/>
    </row>
    <row r="12" spans="1:3" ht="15.75" customHeight="1">
      <c r="A12" s="11"/>
      <c r="B12" s="1"/>
      <c r="C12" s="1"/>
    </row>
    <row r="13" spans="1:3" ht="15.75" customHeight="1">
      <c r="A13" s="11"/>
      <c r="B13" s="1"/>
      <c r="C13" s="1"/>
    </row>
    <row r="14" spans="1:3" ht="15.75" customHeight="1">
      <c r="A14" s="11"/>
      <c r="B14" s="1"/>
      <c r="C14" s="1"/>
    </row>
    <row r="15" spans="1:3" ht="15.75" customHeight="1">
      <c r="A15" s="11"/>
      <c r="B15" s="1"/>
      <c r="C15" s="1"/>
    </row>
    <row r="16" spans="1:3" ht="15.75" customHeight="1">
      <c r="A16" s="11"/>
      <c r="B16" s="1"/>
      <c r="C16" s="1"/>
    </row>
    <row r="17" spans="1:3" ht="15.75" customHeight="1">
      <c r="A17" s="11"/>
      <c r="B17" s="1"/>
      <c r="C17" s="1"/>
    </row>
    <row r="18" spans="1:3" ht="15.75" customHeight="1">
      <c r="A18" s="11"/>
      <c r="B18" s="1"/>
      <c r="C18" s="1"/>
    </row>
    <row r="19" spans="1:3" ht="15.75" customHeight="1">
      <c r="A19" s="11"/>
      <c r="B19" s="1"/>
      <c r="C19" s="1"/>
    </row>
    <row r="20" spans="1:3" ht="15.75" customHeight="1">
      <c r="A20" s="11"/>
      <c r="B20" s="1"/>
      <c r="C20" s="1"/>
    </row>
    <row r="21" spans="1:3" ht="15.75" customHeight="1">
      <c r="A21" s="11"/>
      <c r="B21" s="1"/>
      <c r="C21" s="1"/>
    </row>
    <row r="22" spans="1:3" ht="15.75" customHeight="1">
      <c r="A22" s="11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89" t="s">
        <v>1</v>
      </c>
      <c r="B1" s="90"/>
      <c r="C1" s="90"/>
      <c r="D1" s="90"/>
      <c r="E1" s="90"/>
      <c r="F1" s="91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6" t="s">
        <v>7</v>
      </c>
      <c r="B3" s="7" t="s">
        <v>8</v>
      </c>
      <c r="C3" s="7" t="s">
        <v>9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12</v>
      </c>
      <c r="D3" s="3" t="s">
        <v>8</v>
      </c>
      <c r="E3" s="16" t="s">
        <v>14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4" t="s">
        <v>18</v>
      </c>
      <c r="C6" s="26" t="s">
        <v>19</v>
      </c>
      <c r="D6" s="28">
        <v>100</v>
      </c>
      <c r="E6" s="29"/>
      <c r="F6" s="30" t="s">
        <v>20</v>
      </c>
      <c r="G6" s="30" t="s">
        <v>21</v>
      </c>
      <c r="H6" s="1"/>
      <c r="I6" s="1"/>
      <c r="J6" s="31">
        <v>190</v>
      </c>
      <c r="K6" s="1"/>
      <c r="L6" s="1"/>
      <c r="M6" s="1"/>
      <c r="N6" s="27">
        <f t="shared" ref="N6:N9" ca="1" si="0">TODAY()-1</f>
        <v>44411</v>
      </c>
      <c r="O6" s="1"/>
      <c r="R6" s="32" t="s">
        <v>22</v>
      </c>
      <c r="S6" s="33">
        <v>20</v>
      </c>
    </row>
    <row r="7" spans="1:154" ht="15.75" customHeight="1">
      <c r="A7" s="1"/>
      <c r="B7" s="4" t="s">
        <v>23</v>
      </c>
      <c r="C7" s="34" t="s">
        <v>24</v>
      </c>
      <c r="D7" s="35">
        <v>100</v>
      </c>
      <c r="E7" s="1"/>
      <c r="F7" s="36" t="s">
        <v>20</v>
      </c>
      <c r="G7" s="37" t="s">
        <v>21</v>
      </c>
      <c r="H7" s="1"/>
      <c r="I7" s="1"/>
      <c r="J7" s="38">
        <v>130</v>
      </c>
      <c r="K7" s="1"/>
      <c r="L7" s="1"/>
      <c r="M7" s="1"/>
      <c r="N7" s="39">
        <f t="shared" ca="1" si="0"/>
        <v>44411</v>
      </c>
      <c r="O7" s="1"/>
      <c r="R7" s="36" t="s">
        <v>22</v>
      </c>
      <c r="S7" s="40">
        <v>30</v>
      </c>
    </row>
    <row r="8" spans="1:154" ht="15.75" customHeight="1">
      <c r="A8" s="1"/>
      <c r="B8" s="4" t="s">
        <v>25</v>
      </c>
      <c r="C8" s="34" t="s">
        <v>19</v>
      </c>
      <c r="D8" s="35">
        <v>100</v>
      </c>
      <c r="E8" s="1"/>
      <c r="F8" s="36" t="s">
        <v>26</v>
      </c>
      <c r="G8" s="37" t="s">
        <v>21</v>
      </c>
      <c r="H8" s="1"/>
      <c r="I8" s="1"/>
      <c r="J8" s="38">
        <v>8</v>
      </c>
      <c r="K8" s="1"/>
      <c r="L8" s="1"/>
      <c r="M8" s="1"/>
      <c r="N8" s="39">
        <f t="shared" ca="1" si="0"/>
        <v>44411</v>
      </c>
      <c r="O8" s="38">
        <v>0.7</v>
      </c>
      <c r="R8" s="36" t="s">
        <v>22</v>
      </c>
      <c r="S8" s="40">
        <v>40</v>
      </c>
    </row>
    <row r="9" spans="1:154" ht="15.75" customHeight="1">
      <c r="A9" s="1"/>
      <c r="B9" s="4" t="s">
        <v>27</v>
      </c>
      <c r="C9" s="37" t="s">
        <v>28</v>
      </c>
      <c r="D9" s="35">
        <v>100</v>
      </c>
      <c r="E9" s="1"/>
      <c r="F9" s="36" t="s">
        <v>26</v>
      </c>
      <c r="G9" s="37" t="s">
        <v>21</v>
      </c>
      <c r="H9" s="1"/>
      <c r="I9" s="1"/>
      <c r="J9" s="38">
        <v>60</v>
      </c>
      <c r="K9" s="1"/>
      <c r="L9" s="1"/>
      <c r="M9" s="1"/>
      <c r="N9" s="41">
        <f t="shared" ca="1" si="0"/>
        <v>44411</v>
      </c>
      <c r="O9" s="38">
        <v>1.1000000000000001</v>
      </c>
      <c r="R9" s="36" t="s">
        <v>22</v>
      </c>
      <c r="S9" s="40">
        <v>50</v>
      </c>
    </row>
    <row r="10" spans="1:154" ht="15.75" customHeight="1">
      <c r="A10" s="1"/>
      <c r="B10" s="1"/>
      <c r="C10" s="1"/>
      <c r="D10" s="1"/>
      <c r="E10" s="1"/>
      <c r="F10" s="1"/>
      <c r="G10" s="42"/>
      <c r="H10" s="1"/>
      <c r="I10" s="1"/>
      <c r="J10" s="42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13</v>
      </c>
      <c r="D3" s="3" t="s">
        <v>8</v>
      </c>
      <c r="E3" s="16" t="s">
        <v>17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>
        <f ca="1">TODAY()-1</f>
        <v>44411</v>
      </c>
      <c r="C6" s="27">
        <f ca="1">TODAY()</f>
        <v>44412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13</v>
      </c>
      <c r="D3" s="3" t="s">
        <v>8</v>
      </c>
      <c r="E3" s="16" t="s">
        <v>29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4" t="s">
        <v>18</v>
      </c>
      <c r="C6" s="31">
        <v>192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7" t="s">
        <v>23</v>
      </c>
      <c r="C7" s="45">
        <v>131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6" t="s">
        <v>25</v>
      </c>
      <c r="C8" s="38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6" t="s">
        <v>27</v>
      </c>
      <c r="C9" s="38">
        <v>61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13</v>
      </c>
      <c r="D3" s="3" t="s">
        <v>8</v>
      </c>
      <c r="E3" s="16" t="s">
        <v>30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>
        <f t="shared" ref="B6:C6" ca="1" si="0">TODAY()-1</f>
        <v>44411</v>
      </c>
      <c r="C6" s="27">
        <f t="shared" ca="1" si="0"/>
        <v>44411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13</v>
      </c>
      <c r="D3" s="3" t="s">
        <v>8</v>
      </c>
      <c r="E3" s="16" t="s">
        <v>31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6" t="s">
        <v>33</v>
      </c>
      <c r="C6" s="30" t="s">
        <v>34</v>
      </c>
      <c r="D6" s="26" t="s">
        <v>35</v>
      </c>
      <c r="E6" s="31">
        <v>1.0049999999999999</v>
      </c>
      <c r="F6" s="32"/>
      <c r="G6" s="32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7" t="s">
        <v>36</v>
      </c>
      <c r="C7" s="37" t="s">
        <v>33</v>
      </c>
      <c r="D7" s="37" t="s">
        <v>37</v>
      </c>
      <c r="E7" s="38">
        <v>1.2</v>
      </c>
      <c r="F7" s="42"/>
      <c r="G7" s="42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42"/>
      <c r="C8" s="42"/>
      <c r="D8" s="42"/>
      <c r="E8" s="42"/>
      <c r="F8" s="42"/>
      <c r="G8" s="42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32</v>
      </c>
      <c r="D3" s="3" t="s">
        <v>8</v>
      </c>
      <c r="E3" s="16" t="s">
        <v>32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6" t="s">
        <v>18</v>
      </c>
      <c r="C6" s="46">
        <v>194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6" t="s">
        <v>23</v>
      </c>
      <c r="C7" s="47">
        <v>133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48" t="s">
        <v>25</v>
      </c>
      <c r="C8" s="47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7" t="s">
        <v>27</v>
      </c>
      <c r="C9" s="47">
        <v>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38</v>
      </c>
      <c r="D3" s="3" t="s">
        <v>8</v>
      </c>
      <c r="E3" s="16" t="s">
        <v>39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40</v>
      </c>
      <c r="C6" s="4" t="s">
        <v>41</v>
      </c>
      <c r="D6" s="25">
        <f t="shared" ref="D6:E6" ca="1" si="0">TODAY()-1</f>
        <v>44411</v>
      </c>
      <c r="E6" s="25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9" t="s">
        <v>11</v>
      </c>
      <c r="C1" s="90"/>
      <c r="D1" s="90"/>
      <c r="E1" s="90"/>
      <c r="F1" s="90"/>
      <c r="G1" s="90"/>
      <c r="H1" s="9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7</v>
      </c>
      <c r="C3" s="16" t="s">
        <v>12</v>
      </c>
      <c r="D3" s="3" t="s">
        <v>8</v>
      </c>
      <c r="E3" s="16" t="s">
        <v>14</v>
      </c>
      <c r="F3" s="3" t="s">
        <v>15</v>
      </c>
      <c r="G3" s="11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4" t="s">
        <v>18</v>
      </c>
      <c r="C6" s="24" t="s">
        <v>19</v>
      </c>
      <c r="D6" s="49">
        <v>50</v>
      </c>
      <c r="E6" s="32"/>
      <c r="F6" s="50" t="s">
        <v>26</v>
      </c>
      <c r="G6" s="51" t="s">
        <v>21</v>
      </c>
      <c r="H6" s="32"/>
      <c r="I6" s="32"/>
      <c r="J6" s="52">
        <v>192</v>
      </c>
      <c r="K6" s="32"/>
      <c r="L6" s="32"/>
      <c r="M6" s="32"/>
      <c r="N6" s="53">
        <f t="shared" ref="N6:N7" ca="1" si="0">TODAY()</f>
        <v>44412</v>
      </c>
      <c r="O6" s="32"/>
      <c r="P6" s="32"/>
      <c r="Q6" s="32"/>
      <c r="R6" s="55" t="s">
        <v>22</v>
      </c>
      <c r="S6" s="56">
        <v>25</v>
      </c>
      <c r="T6" s="42"/>
      <c r="U6" s="42"/>
      <c r="V6" s="42"/>
      <c r="W6" s="42"/>
      <c r="X6" s="42"/>
      <c r="Y6" s="42"/>
      <c r="Z6" s="42"/>
    </row>
    <row r="7" spans="1:154" ht="15.75" customHeight="1">
      <c r="A7" s="1"/>
      <c r="B7" s="24" t="s">
        <v>25</v>
      </c>
      <c r="C7" s="57" t="s">
        <v>24</v>
      </c>
      <c r="D7" s="49">
        <v>150</v>
      </c>
      <c r="E7" s="42"/>
      <c r="F7" s="59" t="s">
        <v>20</v>
      </c>
      <c r="G7" s="57" t="s">
        <v>42</v>
      </c>
      <c r="H7" s="42"/>
      <c r="I7" s="42"/>
      <c r="J7" s="52">
        <v>9</v>
      </c>
      <c r="K7" s="42"/>
      <c r="L7" s="42"/>
      <c r="M7" s="42"/>
      <c r="N7" s="60">
        <f t="shared" ca="1" si="0"/>
        <v>44412</v>
      </c>
      <c r="O7" s="62">
        <v>0.7</v>
      </c>
      <c r="P7" s="42"/>
      <c r="Q7" s="42"/>
      <c r="R7" s="24" t="s">
        <v>22</v>
      </c>
      <c r="S7" s="63">
        <v>32</v>
      </c>
      <c r="T7" s="42"/>
      <c r="U7" s="42"/>
      <c r="V7" s="42"/>
      <c r="W7" s="42"/>
      <c r="X7" s="42"/>
      <c r="Y7" s="42"/>
      <c r="Z7" s="42"/>
    </row>
    <row r="8" spans="1:154" ht="15.75" customHeight="1">
      <c r="A8" s="1"/>
      <c r="B8" s="37"/>
      <c r="C8" s="37"/>
      <c r="D8" s="35"/>
      <c r="E8" s="42"/>
      <c r="F8" s="36"/>
      <c r="G8" s="37"/>
      <c r="H8" s="42"/>
      <c r="I8" s="42"/>
      <c r="J8" s="38"/>
      <c r="K8" s="42"/>
      <c r="L8" s="42"/>
      <c r="M8" s="42"/>
      <c r="N8" s="60"/>
      <c r="O8" s="38"/>
      <c r="P8" s="42"/>
      <c r="Q8" s="42"/>
      <c r="R8" s="36"/>
      <c r="S8" s="40"/>
      <c r="T8" s="42"/>
      <c r="U8" s="42"/>
      <c r="V8" s="42"/>
      <c r="W8" s="42"/>
      <c r="X8" s="42"/>
      <c r="Y8" s="42"/>
      <c r="Z8" s="42"/>
    </row>
    <row r="9" spans="1:154" ht="15.75" customHeight="1">
      <c r="A9" s="1"/>
      <c r="B9" s="37"/>
      <c r="C9" s="37"/>
      <c r="D9" s="35"/>
      <c r="E9" s="42"/>
      <c r="F9" s="36"/>
      <c r="G9" s="37"/>
      <c r="H9" s="42"/>
      <c r="I9" s="42"/>
      <c r="J9" s="38"/>
      <c r="K9" s="42"/>
      <c r="L9" s="42"/>
      <c r="M9" s="42"/>
      <c r="N9" s="60"/>
      <c r="O9" s="38"/>
      <c r="P9" s="42"/>
      <c r="Q9" s="42"/>
      <c r="R9" s="36"/>
      <c r="S9" s="40"/>
      <c r="T9" s="42"/>
      <c r="U9" s="42"/>
      <c r="V9" s="42"/>
      <c r="W9" s="42"/>
      <c r="X9" s="42"/>
      <c r="Y9" s="42"/>
      <c r="Z9" s="42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E1" workbookViewId="0">
      <selection activeCell="BL14" sqref="BL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0" width="22.28515625" customWidth="1"/>
    <col min="11" max="11" width="17.42578125" customWidth="1"/>
    <col min="12" max="12" width="26.85546875" customWidth="1"/>
    <col min="13" max="13" width="39.28515625" customWidth="1"/>
    <col min="14" max="16" width="14.42578125" customWidth="1"/>
    <col min="17" max="17" width="22.5703125" customWidth="1"/>
    <col min="18" max="27" width="14.42578125" customWidth="1"/>
    <col min="28" max="28" width="16.42578125" customWidth="1"/>
    <col min="29" max="29" width="14.42578125" customWidth="1"/>
    <col min="30" max="30" width="18.7109375" customWidth="1"/>
    <col min="31" max="31" width="14.42578125" customWidth="1"/>
    <col min="32" max="32" width="22.5703125" customWidth="1"/>
    <col min="33" max="33" width="21.42578125" customWidth="1"/>
    <col min="34" max="34" width="25.140625" customWidth="1"/>
    <col min="35" max="35" width="26.42578125" customWidth="1"/>
    <col min="36" max="36" width="20.42578125" customWidth="1"/>
    <col min="37" max="47" width="14.42578125" customWidth="1"/>
    <col min="48" max="48" width="21.140625" customWidth="1"/>
    <col min="49" max="49" width="22.140625" customWidth="1"/>
    <col min="50" max="51" width="14.42578125" customWidth="1"/>
    <col min="52" max="52" width="20.7109375" customWidth="1"/>
    <col min="53" max="53" width="24.5703125" customWidth="1"/>
    <col min="54" max="55" width="14.42578125" customWidth="1"/>
    <col min="56" max="56" width="21.42578125" customWidth="1"/>
    <col min="57" max="62" width="14.42578125" customWidth="1"/>
    <col min="63" max="63" width="23.7109375" customWidth="1"/>
    <col min="64" max="64" width="14.42578125" customWidth="1"/>
    <col min="65" max="65" width="26.5703125" customWidth="1"/>
    <col min="66" max="70" width="14.42578125" customWidth="1"/>
    <col min="71" max="71" width="20.7109375" customWidth="1"/>
    <col min="72" max="72" width="27.28515625" customWidth="1"/>
    <col min="73" max="75" width="14.42578125" customWidth="1"/>
    <col min="76" max="76" width="23.42578125" customWidth="1"/>
    <col min="77" max="77" width="23.5703125" customWidth="1"/>
    <col min="78" max="78" width="18.85546875" customWidth="1"/>
    <col min="79" max="79" width="18.140625" customWidth="1"/>
    <col min="80" max="81" width="14.42578125" customWidth="1"/>
    <col min="82" max="82" width="23.42578125" customWidth="1"/>
    <col min="83" max="83" width="21.85546875" customWidth="1"/>
    <col min="84" max="84" width="28.7109375" customWidth="1"/>
    <col min="85" max="85" width="32.7109375" customWidth="1"/>
    <col min="86" max="86" width="23.5703125" customWidth="1"/>
    <col min="87" max="87" width="26.28515625" customWidth="1"/>
    <col min="88" max="104" width="14.42578125" customWidth="1"/>
    <col min="105" max="105" width="19.7109375" customWidth="1"/>
    <col min="106" max="106" width="18.42578125" customWidth="1"/>
    <col min="107" max="107" width="14.42578125" customWidth="1"/>
    <col min="108" max="108" width="24.85546875" customWidth="1"/>
    <col min="109" max="111" width="14.42578125" customWidth="1"/>
    <col min="112" max="112" width="21.28515625" customWidth="1"/>
    <col min="113" max="113" width="38.85546875" customWidth="1"/>
    <col min="114" max="114" width="14.42578125" customWidth="1"/>
    <col min="115" max="115" width="26.7109375" customWidth="1"/>
    <col min="116" max="116" width="34.28515625" customWidth="1"/>
    <col min="117" max="117" width="20.85546875" customWidth="1"/>
    <col min="118" max="118" width="26.85546875" customWidth="1"/>
    <col min="119" max="119" width="14.42578125" customWidth="1"/>
    <col min="120" max="120" width="38.28515625" customWidth="1"/>
    <col min="121" max="135" width="14.42578125" customWidth="1"/>
    <col min="136" max="136" width="19.28515625" customWidth="1"/>
    <col min="137" max="137" width="27.140625" customWidth="1"/>
    <col min="138" max="138" width="25.7109375" customWidth="1"/>
    <col min="139" max="139" width="25.28515625" customWidth="1"/>
    <col min="140" max="140" width="38" customWidth="1"/>
    <col min="141" max="141" width="34.5703125" customWidth="1"/>
    <col min="142" max="142" width="33.42578125" customWidth="1"/>
    <col min="143" max="143" width="36" customWidth="1"/>
    <col min="144" max="144" width="26.85546875" customWidth="1"/>
    <col min="145" max="146" width="14.42578125" customWidth="1"/>
    <col min="147" max="147" width="36" customWidth="1"/>
    <col min="148" max="148" width="45.7109375" customWidth="1"/>
    <col min="149" max="149" width="14.42578125" customWidth="1"/>
    <col min="150" max="150" width="20.28515625" customWidth="1"/>
    <col min="151" max="151" width="29.5703125" customWidth="1"/>
    <col min="152" max="152" width="30.28515625" customWidth="1"/>
    <col min="153" max="166" width="14.42578125" customWidth="1"/>
  </cols>
  <sheetData>
    <row r="1" spans="1:166" ht="15.75" customHeight="1">
      <c r="A1" s="54"/>
      <c r="B1" s="93" t="s">
        <v>11</v>
      </c>
      <c r="C1" s="90"/>
      <c r="D1" s="90"/>
      <c r="E1" s="90"/>
      <c r="F1" s="90"/>
      <c r="G1" s="90"/>
      <c r="H1" s="91"/>
      <c r="I1" s="54"/>
      <c r="J1" s="54"/>
      <c r="K1" s="54"/>
      <c r="L1" s="54"/>
      <c r="M1" s="54"/>
      <c r="N1" s="54"/>
      <c r="O1" s="54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</row>
    <row r="2" spans="1:166" ht="15.75" customHeight="1">
      <c r="A2" s="61"/>
      <c r="B2" s="61"/>
      <c r="C2" s="61"/>
      <c r="D2" s="61"/>
      <c r="E2" s="61"/>
      <c r="F2" s="61"/>
      <c r="G2" s="61"/>
      <c r="H2" s="61"/>
      <c r="I2" s="61"/>
      <c r="J2" s="64" t="e">
        <f>VLOOKUP($E$3,_MasterData!B4:D1000,3,FALSE)</f>
        <v>#N/A</v>
      </c>
      <c r="K2" s="64"/>
      <c r="L2" s="61"/>
      <c r="M2" s="61"/>
      <c r="N2" s="61"/>
      <c r="O2" s="61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</row>
    <row r="3" spans="1:166" ht="15.75" customHeight="1">
      <c r="A3" s="66"/>
      <c r="B3" s="67" t="s">
        <v>7</v>
      </c>
      <c r="C3" s="68" t="s">
        <v>43</v>
      </c>
      <c r="D3" s="67" t="s">
        <v>8</v>
      </c>
      <c r="E3" s="68" t="s">
        <v>44</v>
      </c>
      <c r="F3" s="67" t="s">
        <v>15</v>
      </c>
      <c r="G3" s="69" t="s">
        <v>16</v>
      </c>
      <c r="H3" s="67"/>
      <c r="I3" s="66"/>
      <c r="J3" s="66"/>
      <c r="K3" s="66"/>
      <c r="L3" s="66"/>
      <c r="M3" s="66"/>
      <c r="N3" s="66"/>
      <c r="O3" s="66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</row>
    <row r="4" spans="1:166" ht="15.75" customHeight="1">
      <c r="A4" s="71"/>
      <c r="B4" s="71" t="str">
        <f ca="1">IFERROR(__xludf.DUMMYFUNCTION("IF(C3="""","""",Transpose(IMPORTRANGE('_Settings'!$B$3,C3&amp;""!A4:A1000"")))"),"CheckDashboardPM")</f>
        <v>CheckDashboardPM</v>
      </c>
      <c r="C4" s="71" t="str">
        <f ca="1">IFERROR(__xludf.DUMMYFUNCTION("""COMPUTED_VALUE"""),"CheckPortfolioManagement")</f>
        <v>CheckPortfolioManagement</v>
      </c>
      <c r="D4" s="71" t="str">
        <f ca="1">IFERROR(__xludf.DUMMYFUNCTION("""COMPUTED_VALUE"""),"OpenPSTFromPM")</f>
        <v>OpenPSTFromPM</v>
      </c>
      <c r="E4" s="71" t="str">
        <f ca="1">IFERROR(__xludf.DUMMYFUNCTION("""COMPUTED_VALUE"""),"ClosePM")</f>
        <v>ClosePM</v>
      </c>
      <c r="F4" s="71" t="str">
        <f ca="1">IFERROR(__xludf.DUMMYFUNCTION("""COMPUTED_VALUE"""),"FilterPM")</f>
        <v>FilterPM</v>
      </c>
      <c r="G4" s="71" t="str">
        <f ca="1">IFERROR(__xludf.DUMMYFUNCTION("""COMPUTED_VALUE"""),"GroupRowPM")</f>
        <v>GroupRowPM</v>
      </c>
      <c r="H4" s="71" t="str">
        <f ca="1">IFERROR(__xludf.DUMMYFUNCTION("""COMPUTED_VALUE"""),"CheckDashboardWithPM")</f>
        <v>CheckDashboardWithPM</v>
      </c>
      <c r="I4" s="71" t="str">
        <f ca="1">IFERROR(__xludf.DUMMYFUNCTION("""COMPUTED_VALUE"""),"RemoveFilterPM")</f>
        <v>RemoveFilterPM</v>
      </c>
      <c r="J4" s="71" t="str">
        <f ca="1">IFERROR(__xludf.DUMMYFUNCTION("""COMPUTED_VALUE"""),"CheckSummaryRowsPM")</f>
        <v>CheckSummaryRowsPM</v>
      </c>
      <c r="K4" s="71" t="str">
        <f ca="1">IFERROR(__xludf.DUMMYFUNCTION("""COMPUTED_VALUE"""),"OpenPTTFromPM")</f>
        <v>OpenPTTFromPM</v>
      </c>
      <c r="L4" s="71" t="str">
        <f ca="1">IFERROR(__xludf.DUMMYFUNCTION("""COMPUTED_VALUE"""),"OpenCreateTransactionFromPM")</f>
        <v>OpenCreateTransactionFromPM</v>
      </c>
      <c r="M4" s="71" t="str">
        <f ca="1">IFERROR(__xludf.DUMMYFUNCTION("""COMPUTED_VALUE"""),"OpenClosingFromPM")</f>
        <v>OpenClosingFromPM</v>
      </c>
      <c r="N4" s="71" t="str">
        <f ca="1">IFERROR(__xludf.DUMMYFUNCTION("""COMPUTED_VALUE"""),"OpenCorporateActionFromPM")</f>
        <v>OpenCorporateActionFromPM</v>
      </c>
      <c r="O4" s="71" t="str">
        <f ca="1">IFERROR(__xludf.DUMMYFUNCTION("""COMPUTED_VALUE"""),"OpenDailyValuationFromPM")</f>
        <v>OpenDailyValuationFromPM</v>
      </c>
      <c r="P4" s="72" t="str">
        <f ca="1">IFERROR(__xludf.DUMMYFUNCTION("""COMPUTED_VALUE"""),"ClosePositionFromPM")</f>
        <v>ClosePositionFromPM</v>
      </c>
      <c r="Q4" s="72" t="str">
        <f ca="1">IFERROR(__xludf.DUMMYFUNCTION("""COMPUTED_VALUE"""),"ShowSummaryToolFromPM")</f>
        <v>ShowSummaryToolFromPM</v>
      </c>
      <c r="R4" s="72" t="str">
        <f ca="1">IFERROR(__xludf.DUMMYFUNCTION("""COMPUTED_VALUE"""),"HideSummaryToolFromPM")</f>
        <v>HideSummaryToolFromPM</v>
      </c>
      <c r="S4" s="72" t="str">
        <f ca="1">IFERROR(__xludf.DUMMYFUNCTION("""COMPUTED_VALUE"""),"CloseAccountPositionFromPM")</f>
        <v>CloseAccountPositionFromPM</v>
      </c>
      <c r="T4" s="72" t="str">
        <f ca="1">IFERROR(__xludf.DUMMYFUNCTION("""COMPUTED_VALUE"""),"CloseSelectedTaxlotsFromPM")</f>
        <v>CloseSelectedTaxlotsFromPM</v>
      </c>
      <c r="U4" s="72" t="str">
        <f ca="1">IFERROR(__xludf.DUMMYFUNCTION("""COMPUTED_VALUE"""),"ExpandCollapsePM")</f>
        <v>ExpandCollapsePM</v>
      </c>
      <c r="V4" s="72" t="str">
        <f ca="1">IFERROR(__xludf.DUMMYFUNCTION("""COMPUTED_VALUE"""),"AddCustomViewPM")</f>
        <v>AddCustomViewPM</v>
      </c>
      <c r="W4" s="72" t="str">
        <f ca="1">IFERROR(__xludf.DUMMYFUNCTION("""COMPUTED_VALUE"""),"AddCustomViewRightClickPM")</f>
        <v>AddCustomViewRightClickPM</v>
      </c>
      <c r="X4" s="72" t="str">
        <f ca="1">IFERROR(__xludf.DUMMYFUNCTION("""COMPUTED_VALUE"""),"RenameCustomViewPM")</f>
        <v>RenameCustomViewPM</v>
      </c>
      <c r="Y4" s="72" t="str">
        <f ca="1">IFERROR(__xludf.DUMMYFUNCTION("""COMPUTED_VALUE"""),"DeleteCustomViewPM")</f>
        <v>DeleteCustomViewPM</v>
      </c>
      <c r="Z4" s="72" t="str">
        <f ca="1">IFERROR(__xludf.DUMMYFUNCTION("""COMPUTED_VALUE"""),"")</f>
        <v/>
      </c>
      <c r="AA4" s="72" t="str">
        <f ca="1">IFERROR(__xludf.DUMMYFUNCTION("""COMPUTED_VALUE"""),"")</f>
        <v/>
      </c>
      <c r="AB4" s="72" t="str">
        <f ca="1">IFERROR(__xludf.DUMMYFUNCTION("""COMPUTED_VALUE"""),"")</f>
        <v/>
      </c>
      <c r="AC4" s="72" t="str">
        <f ca="1">IFERROR(__xludf.DUMMYFUNCTION("""COMPUTED_VALUE"""),"")</f>
        <v/>
      </c>
      <c r="AD4" s="72" t="str">
        <f ca="1">IFERROR(__xludf.DUMMYFUNCTION("""COMPUTED_VALUE"""),"")</f>
        <v/>
      </c>
      <c r="AE4" s="72" t="str">
        <f ca="1">IFERROR(__xludf.DUMMYFUNCTION("""COMPUTED_VALUE"""),"")</f>
        <v/>
      </c>
      <c r="AF4" s="72" t="str">
        <f ca="1">IFERROR(__xludf.DUMMYFUNCTION("""COMPUTED_VALUE"""),"")</f>
        <v/>
      </c>
      <c r="AG4" s="72" t="str">
        <f ca="1">IFERROR(__xludf.DUMMYFUNCTION("""COMPUTED_VALUE"""),"")</f>
        <v/>
      </c>
      <c r="AH4" s="72" t="str">
        <f ca="1">IFERROR(__xludf.DUMMYFUNCTION("""COMPUTED_VALUE"""),"")</f>
        <v/>
      </c>
      <c r="AI4" s="72" t="str">
        <f ca="1">IFERROR(__xludf.DUMMYFUNCTION("""COMPUTED_VALUE"""),"")</f>
        <v/>
      </c>
      <c r="AJ4" s="72" t="str">
        <f ca="1">IFERROR(__xludf.DUMMYFUNCTION("""COMPUTED_VALUE"""),"")</f>
        <v/>
      </c>
      <c r="AK4" s="72" t="str">
        <f ca="1">IFERROR(__xludf.DUMMYFUNCTION("""COMPUTED_VALUE"""),"")</f>
        <v/>
      </c>
      <c r="AL4" s="72" t="str">
        <f ca="1">IFERROR(__xludf.DUMMYFUNCTION("""COMPUTED_VALUE"""),"")</f>
        <v/>
      </c>
      <c r="AM4" s="72" t="str">
        <f ca="1">IFERROR(__xludf.DUMMYFUNCTION("""COMPUTED_VALUE"""),"")</f>
        <v/>
      </c>
      <c r="AN4" s="72" t="str">
        <f ca="1">IFERROR(__xludf.DUMMYFUNCTION("""COMPUTED_VALUE"""),"")</f>
        <v/>
      </c>
      <c r="AO4" s="72" t="str">
        <f ca="1">IFERROR(__xludf.DUMMYFUNCTION("""COMPUTED_VALUE"""),"")</f>
        <v/>
      </c>
      <c r="AP4" s="72" t="str">
        <f ca="1">IFERROR(__xludf.DUMMYFUNCTION("""COMPUTED_VALUE"""),"")</f>
        <v/>
      </c>
      <c r="AQ4" s="72" t="str">
        <f ca="1">IFERROR(__xludf.DUMMYFUNCTION("""COMPUTED_VALUE"""),"")</f>
        <v/>
      </c>
      <c r="AR4" s="72" t="str">
        <f ca="1">IFERROR(__xludf.DUMMYFUNCTION("""COMPUTED_VALUE"""),"")</f>
        <v/>
      </c>
      <c r="AS4" s="72" t="str">
        <f ca="1">IFERROR(__xludf.DUMMYFUNCTION("""COMPUTED_VALUE"""),"")</f>
        <v/>
      </c>
      <c r="AT4" s="72" t="str">
        <f ca="1">IFERROR(__xludf.DUMMYFUNCTION("""COMPUTED_VALUE"""),"")</f>
        <v/>
      </c>
      <c r="AU4" s="72" t="str">
        <f ca="1">IFERROR(__xludf.DUMMYFUNCTION("""COMPUTED_VALUE"""),"")</f>
        <v/>
      </c>
      <c r="AV4" s="72" t="str">
        <f ca="1">IFERROR(__xludf.DUMMYFUNCTION("""COMPUTED_VALUE"""),"")</f>
        <v/>
      </c>
      <c r="AW4" s="72" t="str">
        <f ca="1">IFERROR(__xludf.DUMMYFUNCTION("""COMPUTED_VALUE"""),"")</f>
        <v/>
      </c>
      <c r="AX4" s="72" t="str">
        <f ca="1">IFERROR(__xludf.DUMMYFUNCTION("""COMPUTED_VALUE"""),"")</f>
        <v/>
      </c>
      <c r="AY4" s="72" t="str">
        <f ca="1">IFERROR(__xludf.DUMMYFUNCTION("""COMPUTED_VALUE"""),"")</f>
        <v/>
      </c>
      <c r="AZ4" s="72" t="str">
        <f ca="1">IFERROR(__xludf.DUMMYFUNCTION("""COMPUTED_VALUE"""),"")</f>
        <v/>
      </c>
      <c r="BA4" s="72" t="str">
        <f ca="1">IFERROR(__xludf.DUMMYFUNCTION("""COMPUTED_VALUE"""),"")</f>
        <v/>
      </c>
      <c r="BB4" s="72" t="str">
        <f ca="1">IFERROR(__xludf.DUMMYFUNCTION("""COMPUTED_VALUE"""),"")</f>
        <v/>
      </c>
      <c r="BC4" s="72" t="str">
        <f ca="1">IFERROR(__xludf.DUMMYFUNCTION("""COMPUTED_VALUE"""),"")</f>
        <v/>
      </c>
      <c r="BD4" s="72" t="str">
        <f ca="1">IFERROR(__xludf.DUMMYFUNCTION("""COMPUTED_VALUE"""),"")</f>
        <v/>
      </c>
      <c r="BE4" s="72" t="str">
        <f ca="1">IFERROR(__xludf.DUMMYFUNCTION("""COMPUTED_VALUE"""),"")</f>
        <v/>
      </c>
      <c r="BF4" s="72" t="str">
        <f ca="1">IFERROR(__xludf.DUMMYFUNCTION("""COMPUTED_VALUE"""),"")</f>
        <v/>
      </c>
      <c r="BG4" s="72" t="str">
        <f ca="1">IFERROR(__xludf.DUMMYFUNCTION("""COMPUTED_VALUE"""),"")</f>
        <v/>
      </c>
      <c r="BH4" s="72" t="str">
        <f ca="1">IFERROR(__xludf.DUMMYFUNCTION("""COMPUTED_VALUE"""),"")</f>
        <v/>
      </c>
      <c r="BI4" s="72" t="str">
        <f ca="1">IFERROR(__xludf.DUMMYFUNCTION("""COMPUTED_VALUE"""),"")</f>
        <v/>
      </c>
      <c r="BJ4" s="72" t="str">
        <f ca="1">IFERROR(__xludf.DUMMYFUNCTION("""COMPUTED_VALUE"""),"")</f>
        <v/>
      </c>
      <c r="BK4" s="72" t="str">
        <f ca="1">IFERROR(__xludf.DUMMYFUNCTION("""COMPUTED_VALUE"""),"")</f>
        <v/>
      </c>
      <c r="BL4" s="72" t="str">
        <f ca="1">IFERROR(__xludf.DUMMYFUNCTION("""COMPUTED_VALUE"""),"")</f>
        <v/>
      </c>
      <c r="BM4" s="72" t="str">
        <f ca="1">IFERROR(__xludf.DUMMYFUNCTION("""COMPUTED_VALUE"""),"")</f>
        <v/>
      </c>
      <c r="BN4" s="72" t="str">
        <f ca="1">IFERROR(__xludf.DUMMYFUNCTION("""COMPUTED_VALUE"""),"")</f>
        <v/>
      </c>
      <c r="BO4" s="72" t="str">
        <f ca="1">IFERROR(__xludf.DUMMYFUNCTION("""COMPUTED_VALUE"""),"")</f>
        <v/>
      </c>
      <c r="BP4" s="72" t="str">
        <f ca="1">IFERROR(__xludf.DUMMYFUNCTION("""COMPUTED_VALUE"""),"")</f>
        <v/>
      </c>
      <c r="BQ4" s="72" t="str">
        <f ca="1">IFERROR(__xludf.DUMMYFUNCTION("""COMPUTED_VALUE"""),"")</f>
        <v/>
      </c>
      <c r="BR4" s="72" t="str">
        <f ca="1">IFERROR(__xludf.DUMMYFUNCTION("""COMPUTED_VALUE"""),"")</f>
        <v/>
      </c>
      <c r="BS4" s="72" t="str">
        <f ca="1">IFERROR(__xludf.DUMMYFUNCTION("""COMPUTED_VALUE"""),"")</f>
        <v/>
      </c>
      <c r="BT4" s="72" t="str">
        <f ca="1">IFERROR(__xludf.DUMMYFUNCTION("""COMPUTED_VALUE"""),"")</f>
        <v/>
      </c>
      <c r="BU4" s="72" t="str">
        <f ca="1">IFERROR(__xludf.DUMMYFUNCTION("""COMPUTED_VALUE"""),"")</f>
        <v/>
      </c>
      <c r="BV4" s="72" t="str">
        <f ca="1">IFERROR(__xludf.DUMMYFUNCTION("""COMPUTED_VALUE"""),"")</f>
        <v/>
      </c>
      <c r="BW4" s="72" t="str">
        <f ca="1">IFERROR(__xludf.DUMMYFUNCTION("""COMPUTED_VALUE"""),"")</f>
        <v/>
      </c>
      <c r="BX4" s="72" t="str">
        <f ca="1">IFERROR(__xludf.DUMMYFUNCTION("""COMPUTED_VALUE"""),"")</f>
        <v/>
      </c>
      <c r="BY4" s="72" t="str">
        <f ca="1">IFERROR(__xludf.DUMMYFUNCTION("""COMPUTED_VALUE"""),"")</f>
        <v/>
      </c>
      <c r="BZ4" s="72" t="str">
        <f ca="1">IFERROR(__xludf.DUMMYFUNCTION("""COMPUTED_VALUE"""),"")</f>
        <v/>
      </c>
      <c r="CA4" s="72" t="str">
        <f ca="1">IFERROR(__xludf.DUMMYFUNCTION("""COMPUTED_VALUE"""),"")</f>
        <v/>
      </c>
      <c r="CB4" s="72" t="str">
        <f ca="1">IFERROR(__xludf.DUMMYFUNCTION("""COMPUTED_VALUE"""),"")</f>
        <v/>
      </c>
      <c r="CC4" s="72" t="str">
        <f ca="1">IFERROR(__xludf.DUMMYFUNCTION("""COMPUTED_VALUE"""),"")</f>
        <v/>
      </c>
      <c r="CD4" s="72" t="str">
        <f ca="1">IFERROR(__xludf.DUMMYFUNCTION("""COMPUTED_VALUE"""),"")</f>
        <v/>
      </c>
      <c r="CE4" s="72" t="str">
        <f ca="1">IFERROR(__xludf.DUMMYFUNCTION("""COMPUTED_VALUE"""),"")</f>
        <v/>
      </c>
      <c r="CF4" s="72" t="str">
        <f ca="1">IFERROR(__xludf.DUMMYFUNCTION("""COMPUTED_VALUE"""),"")</f>
        <v/>
      </c>
      <c r="CG4" s="72" t="str">
        <f ca="1">IFERROR(__xludf.DUMMYFUNCTION("""COMPUTED_VALUE"""),"")</f>
        <v/>
      </c>
      <c r="CH4" s="72" t="str">
        <f ca="1">IFERROR(__xludf.DUMMYFUNCTION("""COMPUTED_VALUE"""),"")</f>
        <v/>
      </c>
      <c r="CI4" s="72" t="str">
        <f ca="1">IFERROR(__xludf.DUMMYFUNCTION("""COMPUTED_VALUE"""),"")</f>
        <v/>
      </c>
      <c r="CJ4" s="72" t="str">
        <f ca="1">IFERROR(__xludf.DUMMYFUNCTION("""COMPUTED_VALUE"""),"")</f>
        <v/>
      </c>
      <c r="CK4" s="72" t="str">
        <f ca="1">IFERROR(__xludf.DUMMYFUNCTION("""COMPUTED_VALUE"""),"")</f>
        <v/>
      </c>
      <c r="CL4" s="72" t="str">
        <f ca="1">IFERROR(__xludf.DUMMYFUNCTION("""COMPUTED_VALUE"""),"")</f>
        <v/>
      </c>
      <c r="CM4" s="72" t="str">
        <f ca="1">IFERROR(__xludf.DUMMYFUNCTION("""COMPUTED_VALUE"""),"")</f>
        <v/>
      </c>
      <c r="CN4" s="72" t="str">
        <f ca="1">IFERROR(__xludf.DUMMYFUNCTION("""COMPUTED_VALUE"""),"")</f>
        <v/>
      </c>
      <c r="CO4" s="72" t="str">
        <f ca="1">IFERROR(__xludf.DUMMYFUNCTION("""COMPUTED_VALUE"""),"")</f>
        <v/>
      </c>
      <c r="CP4" s="72" t="str">
        <f ca="1">IFERROR(__xludf.DUMMYFUNCTION("""COMPUTED_VALUE"""),"")</f>
        <v/>
      </c>
      <c r="CQ4" s="72" t="str">
        <f ca="1">IFERROR(__xludf.DUMMYFUNCTION("""COMPUTED_VALUE"""),"")</f>
        <v/>
      </c>
      <c r="CR4" s="72" t="str">
        <f ca="1">IFERROR(__xludf.DUMMYFUNCTION("""COMPUTED_VALUE"""),"")</f>
        <v/>
      </c>
      <c r="CS4" s="72" t="str">
        <f ca="1">IFERROR(__xludf.DUMMYFUNCTION("""COMPUTED_VALUE"""),"")</f>
        <v/>
      </c>
      <c r="CT4" s="72" t="str">
        <f ca="1">IFERROR(__xludf.DUMMYFUNCTION("""COMPUTED_VALUE"""),"")</f>
        <v/>
      </c>
      <c r="CU4" s="72" t="str">
        <f ca="1">IFERROR(__xludf.DUMMYFUNCTION("""COMPUTED_VALUE"""),"")</f>
        <v/>
      </c>
      <c r="CV4" s="72" t="str">
        <f ca="1">IFERROR(__xludf.DUMMYFUNCTION("""COMPUTED_VALUE"""),"")</f>
        <v/>
      </c>
      <c r="CW4" s="72" t="str">
        <f ca="1">IFERROR(__xludf.DUMMYFUNCTION("""COMPUTED_VALUE"""),"")</f>
        <v/>
      </c>
      <c r="CX4" s="72" t="str">
        <f ca="1">IFERROR(__xludf.DUMMYFUNCTION("""COMPUTED_VALUE"""),"")</f>
        <v/>
      </c>
      <c r="CY4" s="72" t="str">
        <f ca="1">IFERROR(__xludf.DUMMYFUNCTION("""COMPUTED_VALUE"""),"")</f>
        <v/>
      </c>
      <c r="CZ4" s="72" t="str">
        <f ca="1">IFERROR(__xludf.DUMMYFUNCTION("""COMPUTED_VALUE"""),"")</f>
        <v/>
      </c>
      <c r="DA4" s="72" t="str">
        <f ca="1">IFERROR(__xludf.DUMMYFUNCTION("""COMPUTED_VALUE"""),"")</f>
        <v/>
      </c>
      <c r="DB4" s="72" t="str">
        <f ca="1">IFERROR(__xludf.DUMMYFUNCTION("""COMPUTED_VALUE"""),"")</f>
        <v/>
      </c>
      <c r="DC4" s="72" t="str">
        <f ca="1">IFERROR(__xludf.DUMMYFUNCTION("""COMPUTED_VALUE"""),"")</f>
        <v/>
      </c>
      <c r="DD4" s="72" t="str">
        <f ca="1">IFERROR(__xludf.DUMMYFUNCTION("""COMPUTED_VALUE"""),"")</f>
        <v/>
      </c>
      <c r="DE4" s="72" t="str">
        <f ca="1">IFERROR(__xludf.DUMMYFUNCTION("""COMPUTED_VALUE"""),"")</f>
        <v/>
      </c>
      <c r="DF4" s="72" t="str">
        <f ca="1">IFERROR(__xludf.DUMMYFUNCTION("""COMPUTED_VALUE"""),"")</f>
        <v/>
      </c>
      <c r="DG4" s="72" t="str">
        <f ca="1">IFERROR(__xludf.DUMMYFUNCTION("""COMPUTED_VALUE"""),"")</f>
        <v/>
      </c>
      <c r="DH4" s="72" t="str">
        <f ca="1">IFERROR(__xludf.DUMMYFUNCTION("""COMPUTED_VALUE"""),"")</f>
        <v/>
      </c>
      <c r="DI4" s="72" t="str">
        <f ca="1">IFERROR(__xludf.DUMMYFUNCTION("""COMPUTED_VALUE"""),"")</f>
        <v/>
      </c>
      <c r="DJ4" s="72" t="str">
        <f ca="1">IFERROR(__xludf.DUMMYFUNCTION("""COMPUTED_VALUE"""),"")</f>
        <v/>
      </c>
      <c r="DK4" s="72" t="str">
        <f ca="1">IFERROR(__xludf.DUMMYFUNCTION("""COMPUTED_VALUE"""),"")</f>
        <v/>
      </c>
      <c r="DL4" s="72" t="str">
        <f ca="1">IFERROR(__xludf.DUMMYFUNCTION("""COMPUTED_VALUE"""),"")</f>
        <v/>
      </c>
      <c r="DM4" s="72" t="str">
        <f ca="1">IFERROR(__xludf.DUMMYFUNCTION("""COMPUTED_VALUE"""),"")</f>
        <v/>
      </c>
      <c r="DN4" s="72" t="str">
        <f ca="1">IFERROR(__xludf.DUMMYFUNCTION("""COMPUTED_VALUE"""),"")</f>
        <v/>
      </c>
      <c r="DO4" s="72" t="str">
        <f ca="1">IFERROR(__xludf.DUMMYFUNCTION("""COMPUTED_VALUE"""),"")</f>
        <v/>
      </c>
      <c r="DP4" s="72" t="str">
        <f ca="1">IFERROR(__xludf.DUMMYFUNCTION("""COMPUTED_VALUE"""),"")</f>
        <v/>
      </c>
      <c r="DQ4" s="72" t="str">
        <f ca="1">IFERROR(__xludf.DUMMYFUNCTION("""COMPUTED_VALUE"""),"")</f>
        <v/>
      </c>
      <c r="DR4" s="72" t="str">
        <f ca="1">IFERROR(__xludf.DUMMYFUNCTION("""COMPUTED_VALUE"""),"")</f>
        <v/>
      </c>
      <c r="DS4" s="72" t="str">
        <f ca="1">IFERROR(__xludf.DUMMYFUNCTION("""COMPUTED_VALUE"""),"")</f>
        <v/>
      </c>
      <c r="DT4" s="72" t="str">
        <f ca="1">IFERROR(__xludf.DUMMYFUNCTION("""COMPUTED_VALUE"""),"")</f>
        <v/>
      </c>
      <c r="DU4" s="72" t="str">
        <f ca="1">IFERROR(__xludf.DUMMYFUNCTION("""COMPUTED_VALUE"""),"")</f>
        <v/>
      </c>
      <c r="DV4" s="72" t="str">
        <f ca="1">IFERROR(__xludf.DUMMYFUNCTION("""COMPUTED_VALUE"""),"")</f>
        <v/>
      </c>
      <c r="DW4" s="72" t="str">
        <f ca="1">IFERROR(__xludf.DUMMYFUNCTION("""COMPUTED_VALUE"""),"")</f>
        <v/>
      </c>
      <c r="DX4" s="72" t="str">
        <f ca="1">IFERROR(__xludf.DUMMYFUNCTION("""COMPUTED_VALUE"""),"")</f>
        <v/>
      </c>
      <c r="DY4" s="72" t="str">
        <f ca="1">IFERROR(__xludf.DUMMYFUNCTION("""COMPUTED_VALUE"""),"")</f>
        <v/>
      </c>
      <c r="DZ4" s="72" t="str">
        <f ca="1">IFERROR(__xludf.DUMMYFUNCTION("""COMPUTED_VALUE"""),"")</f>
        <v/>
      </c>
      <c r="EA4" s="72" t="str">
        <f ca="1">IFERROR(__xludf.DUMMYFUNCTION("""COMPUTED_VALUE"""),"")</f>
        <v/>
      </c>
      <c r="EB4" s="72" t="str">
        <f ca="1">IFERROR(__xludf.DUMMYFUNCTION("""COMPUTED_VALUE"""),"")</f>
        <v/>
      </c>
      <c r="EC4" s="72" t="str">
        <f ca="1">IFERROR(__xludf.DUMMYFUNCTION("""COMPUTED_VALUE"""),"")</f>
        <v/>
      </c>
      <c r="ED4" s="72" t="str">
        <f ca="1">IFERROR(__xludf.DUMMYFUNCTION("""COMPUTED_VALUE"""),"")</f>
        <v/>
      </c>
      <c r="EE4" s="72" t="str">
        <f ca="1">IFERROR(__xludf.DUMMYFUNCTION("""COMPUTED_VALUE"""),"")</f>
        <v/>
      </c>
      <c r="EF4" s="72" t="str">
        <f ca="1">IFERROR(__xludf.DUMMYFUNCTION("""COMPUTED_VALUE"""),"")</f>
        <v/>
      </c>
      <c r="EG4" s="72" t="str">
        <f ca="1">IFERROR(__xludf.DUMMYFUNCTION("""COMPUTED_VALUE"""),"")</f>
        <v/>
      </c>
      <c r="EH4" s="72" t="str">
        <f ca="1">IFERROR(__xludf.DUMMYFUNCTION("""COMPUTED_VALUE"""),"")</f>
        <v/>
      </c>
      <c r="EI4" s="72" t="str">
        <f ca="1">IFERROR(__xludf.DUMMYFUNCTION("""COMPUTED_VALUE"""),"")</f>
        <v/>
      </c>
      <c r="EJ4" s="72" t="str">
        <f ca="1">IFERROR(__xludf.DUMMYFUNCTION("""COMPUTED_VALUE"""),"")</f>
        <v/>
      </c>
      <c r="EK4" s="72" t="str">
        <f ca="1">IFERROR(__xludf.DUMMYFUNCTION("""COMPUTED_VALUE"""),"")</f>
        <v/>
      </c>
      <c r="EL4" s="72" t="str">
        <f ca="1">IFERROR(__xludf.DUMMYFUNCTION("""COMPUTED_VALUE"""),"")</f>
        <v/>
      </c>
      <c r="EM4" s="72" t="str">
        <f ca="1">IFERROR(__xludf.DUMMYFUNCTION("""COMPUTED_VALUE"""),"")</f>
        <v/>
      </c>
      <c r="EN4" s="72" t="str">
        <f ca="1">IFERROR(__xludf.DUMMYFUNCTION("""COMPUTED_VALUE"""),"")</f>
        <v/>
      </c>
      <c r="EO4" s="72" t="str">
        <f ca="1">IFERROR(__xludf.DUMMYFUNCTION("""COMPUTED_VALUE"""),"")</f>
        <v/>
      </c>
      <c r="EP4" s="72" t="str">
        <f ca="1">IFERROR(__xludf.DUMMYFUNCTION("""COMPUTED_VALUE"""),"")</f>
        <v/>
      </c>
      <c r="EQ4" s="72" t="str">
        <f ca="1">IFERROR(__xludf.DUMMYFUNCTION("""COMPUTED_VALUE"""),"")</f>
        <v/>
      </c>
      <c r="ER4" s="72" t="str">
        <f ca="1">IFERROR(__xludf.DUMMYFUNCTION("""COMPUTED_VALUE"""),"")</f>
        <v/>
      </c>
      <c r="ES4" s="72" t="str">
        <f ca="1">IFERROR(__xludf.DUMMYFUNCTION("""COMPUTED_VALUE"""),"")</f>
        <v/>
      </c>
      <c r="ET4" s="72" t="str">
        <f ca="1">IFERROR(__xludf.DUMMYFUNCTION("""COMPUTED_VALUE"""),"")</f>
        <v/>
      </c>
      <c r="EU4" s="72" t="str">
        <f ca="1">IFERROR(__xludf.DUMMYFUNCTION("""COMPUTED_VALUE"""),"")</f>
        <v/>
      </c>
      <c r="EV4" s="72" t="str">
        <f ca="1">IFERROR(__xludf.DUMMYFUNCTION("""COMPUTED_VALUE"""),"")</f>
        <v/>
      </c>
      <c r="EW4" s="72" t="str">
        <f ca="1">IFERROR(__xludf.DUMMYFUNCTION("""COMPUTED_VALUE"""),"")</f>
        <v/>
      </c>
      <c r="EX4" s="72" t="str">
        <f ca="1">IFERROR(__xludf.DUMMYFUNCTION("""COMPUTED_VALUE"""),"")</f>
        <v/>
      </c>
      <c r="EY4" s="72" t="str">
        <f ca="1">IFERROR(__xludf.DUMMYFUNCTION("""COMPUTED_VALUE"""),"")</f>
        <v/>
      </c>
      <c r="EZ4" s="72" t="str">
        <f ca="1">IFERROR(__xludf.DUMMYFUNCTION("""COMPUTED_VALUE"""),"")</f>
        <v/>
      </c>
      <c r="FA4" s="72" t="str">
        <f ca="1">IFERROR(__xludf.DUMMYFUNCTION("""COMPUTED_VALUE"""),"")</f>
        <v/>
      </c>
      <c r="FB4" s="72" t="str">
        <f ca="1">IFERROR(__xludf.DUMMYFUNCTION("""COMPUTED_VALUE"""),"")</f>
        <v/>
      </c>
      <c r="FC4" s="72" t="str">
        <f ca="1">IFERROR(__xludf.DUMMYFUNCTION("""COMPUTED_VALUE"""),"")</f>
        <v/>
      </c>
      <c r="FD4" s="72" t="str">
        <f ca="1">IFERROR(__xludf.DUMMYFUNCTION("""COMPUTED_VALUE"""),"")</f>
        <v/>
      </c>
      <c r="FE4" s="72" t="str">
        <f ca="1">IFERROR(__xludf.DUMMYFUNCTION("""COMPUTED_VALUE"""),"")</f>
        <v/>
      </c>
      <c r="FF4" s="72" t="str">
        <f ca="1">IFERROR(__xludf.DUMMYFUNCTION("""COMPUTED_VALUE"""),"")</f>
        <v/>
      </c>
      <c r="FG4" s="72" t="str">
        <f ca="1">IFERROR(__xludf.DUMMYFUNCTION("""COMPUTED_VALUE"""),"")</f>
        <v/>
      </c>
      <c r="FH4" s="72" t="str">
        <f ca="1">IFERROR(__xludf.DUMMYFUNCTION("""COMPUTED_VALUE"""),"")</f>
        <v/>
      </c>
      <c r="FI4" s="72" t="str">
        <f ca="1">IFERROR(__xludf.DUMMYFUNCTION("""COMPUTED_VALUE"""),"")</f>
        <v/>
      </c>
      <c r="FJ4" s="72" t="str">
        <f ca="1">IFERROR(__xludf.DUMMYFUNCTION("""COMPUTED_VALUE"""),"")</f>
        <v/>
      </c>
    </row>
    <row r="5" spans="1:166" ht="15.75" customHeight="1">
      <c r="A5" s="73" t="str">
        <f ca="1">IFERROR(__xludf.DUMMYFUNCTION("TRANSPOSE(IMPORTRANGE(VLOOKUP($E$3,IMPORTRANGE('_Settings'!$B$3,$C$3&amp;""!A4:B1000""),2,FALSE),$G$3&amp;""!A4:A1000""))"),"")</f>
        <v/>
      </c>
      <c r="B5" s="74" t="str">
        <f ca="1">IFERROR(__xludf.DUMMYFUNCTION("""COMPUTED_VALUE"""),"Trade Date")</f>
        <v>Trade Date</v>
      </c>
      <c r="C5" s="74" t="str">
        <f ca="1">IFERROR(__xludf.DUMMYFUNCTION("""COMPUTED_VALUE"""),"Symbol")</f>
        <v>Symbol</v>
      </c>
      <c r="D5" s="74" t="str">
        <f ca="1">IFERROR(__xludf.DUMMYFUNCTION("""COMPUTED_VALUE"""),"Position")</f>
        <v>Position</v>
      </c>
      <c r="E5" s="74" t="str">
        <f ca="1">IFERROR(__xludf.DUMMYFUNCTION("""COMPUTED_VALUE"""),"Account")</f>
        <v>Account</v>
      </c>
      <c r="F5" s="75" t="str">
        <f ca="1">IFERROR(__xludf.DUMMYFUNCTION("""COMPUTED_VALUE"""),"MasterFund")</f>
        <v>MasterFund</v>
      </c>
      <c r="G5" s="74" t="str">
        <f ca="1">IFERROR(__xludf.DUMMYFUNCTION("""COMPUTED_VALUE"""),"Cost Basis")</f>
        <v>Cost Basis</v>
      </c>
      <c r="H5" s="74" t="str">
        <f ca="1">IFERROR(__xludf.DUMMYFUNCTION("""COMPUTED_VALUE"""),"Position Side")</f>
        <v>Position Side</v>
      </c>
      <c r="I5" s="74" t="str">
        <f ca="1">IFERROR(__xludf.DUMMYFUNCTION("""COMPUTED_VALUE"""),"Market Value (Base)")</f>
        <v>Market Value (Base)</v>
      </c>
      <c r="J5" s="74" t="str">
        <f ca="1">IFERROR(__xludf.DUMMYFUNCTION("""COMPUTED_VALUE"""),"% Day P&amp;L (Gross MV)")</f>
        <v>% Day P&amp;L (Gross MV)</v>
      </c>
      <c r="K5" s="74" t="str">
        <f ca="1">IFERROR(__xludf.DUMMYFUNCTION("""COMPUTED_VALUE"""),"Net Exposure (Base)")</f>
        <v>Net Exposure (Base)</v>
      </c>
      <c r="L5" s="74" t="str">
        <f ca="1">IFERROR(__xludf.DUMMYFUNCTION("""COMPUTED_VALUE"""),"Beta Adj. Gross Exposure (Base)")</f>
        <v>Beta Adj. Gross Exposure (Base)</v>
      </c>
      <c r="M5" s="74" t="str">
        <f ca="1">IFERROR(__xludf.DUMMYFUNCTION("""COMPUTED_VALUE"""),"Beta Adj. Gross Exposure (Underlying) (Base)")</f>
        <v>Beta Adj. Gross Exposure (Underlying) (Base)</v>
      </c>
      <c r="N5" s="74" t="str">
        <f ca="1">IFERROR(__xludf.DUMMYFUNCTION("""COMPUTED_VALUE"""),"Day P&amp;L (Base)")</f>
        <v>Day P&amp;L (Base)</v>
      </c>
      <c r="O5" s="74" t="str">
        <f ca="1">IFERROR(__xludf.DUMMYFUNCTION("""COMPUTED_VALUE"""),"Security Name")</f>
        <v>Security Name</v>
      </c>
      <c r="P5" s="74" t="str">
        <f ca="1">IFERROR(__xludf.DUMMYFUNCTION("""COMPUTED_VALUE"""),"Closing Mark")</f>
        <v>Closing Mark</v>
      </c>
      <c r="Q5" s="74" t="str">
        <f ca="1">IFERROR(__xludf.DUMMYFUNCTION("""COMPUTED_VALUE"""),"Cost Basis P&amp;L (Base)")</f>
        <v>Cost Basis P&amp;L (Base)</v>
      </c>
      <c r="R5" s="74" t="str">
        <f ca="1">IFERROR(__xludf.DUMMYFUNCTION("""COMPUTED_VALUE"""),"Prime Broker")</f>
        <v>Prime Broker</v>
      </c>
      <c r="S5" s="74" t="str">
        <f ca="1">IFERROR(__xludf.DUMMYFUNCTION("""COMPUTED_VALUE"""),"Strategy")</f>
        <v>Strategy</v>
      </c>
      <c r="T5" s="76" t="str">
        <f ca="1">IFERROR(__xludf.DUMMYFUNCTION("""COMPUTED_VALUE"""),"Asset Class")</f>
        <v>Asset Class</v>
      </c>
      <c r="U5" s="76" t="str">
        <f ca="1">IFERROR(__xludf.DUMMYFUNCTION("""COMPUTED_VALUE"""),"Underlying")</f>
        <v>Underlying</v>
      </c>
      <c r="V5" s="76" t="str">
        <f ca="1">IFERROR(__xludf.DUMMYFUNCTION("""COMPUTED_VALUE"""),"Exchange")</f>
        <v>Exchange</v>
      </c>
      <c r="W5" s="76" t="str">
        <f ca="1">IFERROR(__xludf.DUMMYFUNCTION("""COMPUTED_VALUE"""),"Trade Currency")</f>
        <v>Trade Currency</v>
      </c>
      <c r="X5" s="76" t="str">
        <f ca="1">IFERROR(__xludf.DUMMYFUNCTION("""COMPUTED_VALUE"""),"Multiplier")</f>
        <v>Multiplier</v>
      </c>
      <c r="Y5" s="76" t="str">
        <f ca="1">IFERROR(__xludf.DUMMYFUNCTION("""COMPUTED_VALUE"""),"FX Rate")</f>
        <v>FX Rate</v>
      </c>
      <c r="Z5" s="76" t="str">
        <f ca="1">IFERROR(__xludf.DUMMYFUNCTION("""COMPUTED_VALUE"""),"Vs Currency")</f>
        <v>Vs Currency</v>
      </c>
      <c r="AA5" s="76" t="str">
        <f ca="1">IFERROR(__xludf.DUMMYFUNCTION("""COMPUTED_VALUE"""),"Lead Currency")</f>
        <v>Lead Currency</v>
      </c>
      <c r="AB5" s="76" t="str">
        <f ca="1">IFERROR(__xludf.DUMMYFUNCTION("""COMPUTED_VALUE"""),"Dividend Yield (%)")</f>
        <v>Dividend Yield (%)</v>
      </c>
      <c r="AC5" s="76" t="str">
        <f ca="1">IFERROR(__xludf.DUMMYFUNCTION("""COMPUTED_VALUE"""),"% Change")</f>
        <v>% Change</v>
      </c>
      <c r="AD5" s="76" t="str">
        <f ca="1">IFERROR(__xludf.DUMMYFUNCTION("""COMPUTED_VALUE"""),"Net Exposure (Local)")</f>
        <v>Net Exposure (Local)</v>
      </c>
      <c r="AE5" s="76" t="str">
        <f ca="1">IFERROR(__xludf.DUMMYFUNCTION("""COMPUTED_VALUE"""),"Exposure (Local)")</f>
        <v>Exposure (Local)</v>
      </c>
      <c r="AF5" s="76" t="str">
        <f ca="1">IFERROR(__xludf.DUMMYFUNCTION("""COMPUTED_VALUE"""),"Delta Adj. Position")</f>
        <v>Delta Adj. Position</v>
      </c>
      <c r="AG5" s="76" t="str">
        <f ca="1">IFERROR(__xludf.DUMMYFUNCTION("""COMPUTED_VALUE"""),"Exposure (Base)")</f>
        <v>Exposure (Base)</v>
      </c>
      <c r="AH5" s="76" t="str">
        <f ca="1">IFERROR(__xludf.DUMMYFUNCTION("""COMPUTED_VALUE"""),"Beta Adj. Exposure (Local)")</f>
        <v>Beta Adj. Exposure (Local)</v>
      </c>
      <c r="AI5" s="76" t="str">
        <f ca="1">IFERROR(__xludf.DUMMYFUNCTION("""COMPUTED_VALUE"""),"Beta Adj. Exposure (Base)")</f>
        <v>Beta Adj. Exposure (Base)</v>
      </c>
      <c r="AJ5" s="76" t="str">
        <f ca="1">IFERROR(__xludf.DUMMYFUNCTION("""COMPUTED_VALUE"""),"Exposure (BP)(Base)")</f>
        <v>Exposure (BP)(Base)</v>
      </c>
      <c r="AK5" s="76" t="str">
        <f ca="1">IFERROR(__xludf.DUMMYFUNCTION("""COMPUTED_VALUE"""),"Day P&amp;L (Local)")</f>
        <v>Day P&amp;L (Local)</v>
      </c>
      <c r="AL5" s="76" t="str">
        <f ca="1">IFERROR(__xludf.DUMMYFUNCTION("""COMPUTED_VALUE"""),"Delta")</f>
        <v>Delta</v>
      </c>
      <c r="AM5" s="76" t="str">
        <f ca="1">IFERROR(__xludf.DUMMYFUNCTION("""COMPUTED_VALUE"""),"Leveraged Factor")</f>
        <v>Leveraged Factor</v>
      </c>
      <c r="AN5" s="76" t="str">
        <f ca="1">IFERROR(__xludf.DUMMYFUNCTION("""COMPUTED_VALUE"""),"Order Side")</f>
        <v>Order Side</v>
      </c>
      <c r="AO5" s="76" t="str">
        <f ca="1">IFERROR(__xludf.DUMMYFUNCTION("""COMPUTED_VALUE"""),"Master Strategy")</f>
        <v>Master Strategy</v>
      </c>
      <c r="AP5" s="76" t="str">
        <f ca="1">IFERROR(__xludf.DUMMYFUNCTION("""COMPUTED_VALUE"""),"Transaction Side")</f>
        <v>Transaction Side</v>
      </c>
      <c r="AQ5" s="76" t="str">
        <f ca="1">IFERROR(__xludf.DUMMYFUNCTION("""COMPUTED_VALUE"""),"Underlying Symbol")</f>
        <v>Underlying Symbol</v>
      </c>
      <c r="AR5" s="76" t="str">
        <f ca="1">IFERROR(__xludf.DUMMYFUNCTION("""COMPUTED_VALUE"""),"Underlying Price")</f>
        <v>Underlying Price</v>
      </c>
      <c r="AS5" s="76" t="str">
        <f ca="1">IFERROR(__xludf.DUMMYFUNCTION("""COMPUTED_VALUE"""),"Side Multiplier")</f>
        <v>Side Multiplier</v>
      </c>
      <c r="AT5" s="76" t="str">
        <f ca="1">IFERROR(__xludf.DUMMYFUNCTION("""COMPUTED_VALUE"""),"Description")</f>
        <v>Description</v>
      </c>
      <c r="AU5" s="76" t="str">
        <f ca="1">IFERROR(__xludf.DUMMYFUNCTION("""COMPUTED_VALUE"""),"Internal Comments")</f>
        <v>Internal Comments</v>
      </c>
      <c r="AV5" s="76" t="str">
        <f ca="1">IFERROR(__xludf.DUMMYFUNCTION("""COMPUTED_VALUE"""),"FX Rate On Trade Date")</f>
        <v>FX Rate On Trade Date</v>
      </c>
      <c r="AW5" s="76" t="str">
        <f ca="1">IFERROR(__xludf.DUMMYFUNCTION("""COMPUTED_VALUE"""),"Cost Basis P&amp;L (Local)")</f>
        <v>Cost Basis P&amp;L (Local)</v>
      </c>
      <c r="AX5" s="76" t="str">
        <f ca="1">IFERROR(__xludf.DUMMYFUNCTION("""COMPUTED_VALUE"""),"Day Interest")</f>
        <v>Day Interest</v>
      </c>
      <c r="AY5" s="76" t="str">
        <f ca="1">IFERROR(__xludf.DUMMYFUNCTION("""COMPUTED_VALUE"""),"Total Interest")</f>
        <v>Total Interest</v>
      </c>
      <c r="AZ5" s="76" t="str">
        <f ca="1">IFERROR(__xludf.DUMMYFUNCTION("""COMPUTED_VALUE"""),"Market Value (Local)")</f>
        <v>Market Value (Local)</v>
      </c>
      <c r="BA5" s="76" t="str">
        <f ca="1">IFERROR(__xludf.DUMMYFUNCTION("""COMPUTED_VALUE"""),"% Gain/Loss Day")</f>
        <v>% Gain/Loss Day</v>
      </c>
      <c r="BB5" s="76" t="str">
        <f ca="1">IFERROR(__xludf.DUMMYFUNCTION("""COMPUTED_VALUE"""),"Update Time (Last Price)")</f>
        <v>Update Time (Last Price)</v>
      </c>
      <c r="BC5" s="76" t="str">
        <f ca="1">IFERROR(__xludf.DUMMYFUNCTION("""COMPUTED_VALUE"""),"Beta")</f>
        <v>Beta</v>
      </c>
      <c r="BD5" s="76" t="str">
        <f ca="1">IFERROR(__xludf.DUMMYFUNCTION("""COMPUTED_VALUE"""),"Cash Impact (Local)")</f>
        <v>Cash Impact (Local)</v>
      </c>
      <c r="BE5" s="76" t="str">
        <f ca="1">IFERROR(__xludf.DUMMYFUNCTION("""COMPUTED_VALUE"""),"User Asset")</f>
        <v>User Asset</v>
      </c>
      <c r="BF5" s="76" t="str">
        <f ca="1">IFERROR(__xludf.DUMMYFUNCTION("""COMPUTED_VALUE"""),"Security Type")</f>
        <v>Security Type</v>
      </c>
      <c r="BG5" s="76" t="str">
        <f ca="1">IFERROR(__xludf.DUMMYFUNCTION("""COMPUTED_VALUE"""),"Sector")</f>
        <v>Sector</v>
      </c>
      <c r="BH5" s="76" t="str">
        <f ca="1">IFERROR(__xludf.DUMMYFUNCTION("""COMPUTED_VALUE"""),"Sub Sector")</f>
        <v>Sub Sector</v>
      </c>
      <c r="BI5" s="76" t="str">
        <f ca="1">IFERROR(__xludf.DUMMYFUNCTION("""COMPUTED_VALUE"""),"Country")</f>
        <v>Country</v>
      </c>
      <c r="BJ5" s="76" t="str">
        <f ca="1">IFERROR(__xludf.DUMMYFUNCTION("""COMPUTED_VALUE"""),"Market Cap")</f>
        <v>Market Cap</v>
      </c>
      <c r="BK5" s="76" t="s">
        <v>90</v>
      </c>
      <c r="BL5" s="76" t="str">
        <f ca="1">IFERROR(__xludf.DUMMYFUNCTION("""COMPUTED_VALUE"""),"Avg Volume 20 Day")</f>
        <v>Avg Volume 20 Day</v>
      </c>
      <c r="BM5" s="76" t="str">
        <f ca="1">IFERROR(__xludf.DUMMYFUNCTION("""COMPUTED_VALUE"""),"% Avg Volume (Delta Adj.)")</f>
        <v>% Avg Volume (Delta Adj.)</v>
      </c>
      <c r="BN5" s="76" t="str">
        <f ca="1">IFERROR(__xludf.DUMMYFUNCTION("""COMPUTED_VALUE"""),"Ex Dividend Date")</f>
        <v>Ex Dividend Date</v>
      </c>
      <c r="BO5" s="76" t="str">
        <f ca="1">IFERROR(__xludf.DUMMYFUNCTION("""COMPUTED_VALUE"""),"Cash Impact (Base)")</f>
        <v>Cash Impact (Base)</v>
      </c>
      <c r="BP5" s="76" t="str">
        <f ca="1">IFERROR(__xludf.DUMMYFUNCTION("""COMPUTED_VALUE"""),"Volatility (%)")</f>
        <v>Volatility (%)</v>
      </c>
      <c r="BQ5" s="76" t="str">
        <f ca="1">IFERROR(__xludf.DUMMYFUNCTION("""COMPUTED_VALUE"""),"User")</f>
        <v>User</v>
      </c>
      <c r="BR5" s="76" t="str">
        <f ca="1">IFERROR(__xludf.DUMMYFUNCTION("""COMPUTED_VALUE"""),"Broker")</f>
        <v>Broker</v>
      </c>
      <c r="BS5" s="76" t="str">
        <f ca="1">IFERROR(__xludf.DUMMYFUNCTION("""COMPUTED_VALUE"""),"Earned Dividend (Local)")</f>
        <v>Earned Dividend (Local)</v>
      </c>
      <c r="BT5" s="76" t="str">
        <f ca="1">IFERROR(__xludf.DUMMYFUNCTION("""COMPUTED_VALUE"""),"Earned Dividend (Base)")</f>
        <v>Earned Dividend (Base)</v>
      </c>
      <c r="BU5" s="76" t="str">
        <f ca="1">IFERROR(__xludf.DUMMYFUNCTION("""COMPUTED_VALUE"""),"Put/Call")</f>
        <v>Put/Call</v>
      </c>
      <c r="BV5" s="76" t="str">
        <f ca="1">IFERROR(__xludf.DUMMYFUNCTION("""COMPUTED_VALUE"""),"Expiration Date")</f>
        <v>Expiration Date</v>
      </c>
      <c r="BW5" s="76" t="str">
        <f ca="1">IFERROR(__xludf.DUMMYFUNCTION("""COMPUTED_VALUE"""),"Strike Price")</f>
        <v>Strike Price</v>
      </c>
      <c r="BX5" s="76" t="str">
        <f ca="1">IFERROR(__xludf.DUMMYFUNCTION("""COMPUTED_VALUE"""),"Gross Exposure (Base)")</f>
        <v>Gross Exposure (Base)</v>
      </c>
      <c r="BY5" s="76" t="str">
        <f ca="1">IFERROR(__xludf.DUMMYFUNCTION("""COMPUTED_VALUE"""),"Gross Market Value (Base)")</f>
        <v>Gross Market Value (Base)</v>
      </c>
      <c r="BZ5" s="76" t="str">
        <f ca="1">IFERROR(__xludf.DUMMYFUNCTION("""COMPUTED_VALUE"""),"Px Selected Feed (Local)")</f>
        <v>Px Selected Feed (Local)</v>
      </c>
      <c r="CA5" s="76" t="str">
        <f ca="1">IFERROR(__xludf.DUMMYFUNCTION("""COMPUTED_VALUE"""),"Px Selected Feed (Base)")</f>
        <v>Px Selected Feed (Base)</v>
      </c>
      <c r="CB5" s="76" t="str">
        <f ca="1">IFERROR(__xludf.DUMMYFUNCTION("""COMPUTED_VALUE"""),"Settlement Date")</f>
        <v>Settlement Date</v>
      </c>
      <c r="CC5" s="76" t="str">
        <f ca="1">IFERROR(__xludf.DUMMYFUNCTION("""COMPUTED_VALUE"""),"% Avg Volume")</f>
        <v>% Avg Volume</v>
      </c>
      <c r="CD5" s="76" t="str">
        <f ca="1">IFERROR(__xludf.DUMMYFUNCTION("""COMPUTED_VALUE"""),"Day P&amp;L (Base)(Price Gain)")</f>
        <v>Day P&amp;L (Base)(Price Gain)</v>
      </c>
      <c r="CE5" s="76" t="str">
        <f ca="1">IFERROR(__xludf.DUMMYFUNCTION("""COMPUTED_VALUE"""),"Day P&amp;L (Base)(FX Gain)")</f>
        <v>Day P&amp;L (Base)(FX Gain)</v>
      </c>
      <c r="CF5" s="76" t="str">
        <f ca="1">IFERROR(__xludf.DUMMYFUNCTION("""COMPUTED_VALUE"""),"Cost Basis P&amp;L (Base)(FX Gain)")</f>
        <v>Cost Basis P&amp;L (Base)(FX Gain)</v>
      </c>
      <c r="CG5" s="76" t="str">
        <f ca="1">IFERROR(__xludf.DUMMYFUNCTION("""COMPUTED_VALUE"""),"Cost Basis P&amp;L (Base)(Price Gain)")</f>
        <v>Cost Basis P&amp;L (Base)(Price Gain)</v>
      </c>
      <c r="CH5" s="76" t="str">
        <f ca="1">IFERROR(__xludf.DUMMYFUNCTION("""COMPUTED_VALUE"""),"% Gain/Loss Cost")</f>
        <v>% Gain/Loss Cost</v>
      </c>
      <c r="CI5" s="76" t="str">
        <f ca="1">IFERROR(__xludf.DUMMYFUNCTION("""COMPUTED_VALUE"""),"Underlying Value (Options)")</f>
        <v>Underlying Value (Options)</v>
      </c>
      <c r="CJ5" s="76" t="str">
        <f ca="1">IFERROR(__xludf.DUMMYFUNCTION("""COMPUTED_VALUE"""),"Avg Volume 20 Day (Underlying Symbol)")</f>
        <v>Avg Volume 20 Day (Underlying Symbol)</v>
      </c>
      <c r="CK5" s="76" t="str">
        <f ca="1">IFERROR(__xludf.DUMMYFUNCTION("""COMPUTED_VALUE"""),"IsStaleData")</f>
        <v>IsStaleData</v>
      </c>
      <c r="CL5" s="76" t="str">
        <f ca="1">IFERROR(__xludf.DUMMYFUNCTION("""COMPUTED_VALUE"""),"IDCO")</f>
        <v>IDCO</v>
      </c>
      <c r="CM5" s="76" t="str">
        <f ca="1">IFERROR(__xludf.DUMMYFUNCTION("""COMPUTED_VALUE"""),"OSI")</f>
        <v>OSI</v>
      </c>
      <c r="CN5" s="76" t="str">
        <f ca="1">IFERROR(__xludf.DUMMYFUNCTION("""COMPUTED_VALUE"""),"SEDOL")</f>
        <v>SEDOL</v>
      </c>
      <c r="CO5" s="76" t="str">
        <f ca="1">IFERROR(__xludf.DUMMYFUNCTION("""COMPUTED_VALUE"""),"CUSIP")</f>
        <v>CUSIP</v>
      </c>
      <c r="CP5" s="76" t="str">
        <f ca="1">IFERROR(__xludf.DUMMYFUNCTION("""COMPUTED_VALUE"""),"Bloomberg")</f>
        <v>Bloomberg</v>
      </c>
      <c r="CQ5" s="76" t="str">
        <f ca="1">IFERROR(__xludf.DUMMYFUNCTION("""COMPUTED_VALUE"""),"ISIN")</f>
        <v>ISIN</v>
      </c>
      <c r="CR5" s="76" t="str">
        <f ca="1">IFERROR(__xludf.DUMMYFUNCTION("""COMPUTED_VALUE"""),"Start Trade Date")</f>
        <v>Start Trade Date</v>
      </c>
      <c r="CS5" s="76" t="str">
        <f ca="1">IFERROR(__xludf.DUMMYFUNCTION("""COMPUTED_VALUE"""),"Cost Basis (Break Even)")</f>
        <v>Cost Basis (Break Even)</v>
      </c>
      <c r="CT5" s="76" t="str">
        <f ca="1">IFERROR(__xludf.DUMMYFUNCTION("""COMPUTED_VALUE"""),"Trade Attribute 3")</f>
        <v>Trade Attribute 3</v>
      </c>
      <c r="CU5" s="76" t="str">
        <f ca="1">IFERROR(__xludf.DUMMYFUNCTION("""COMPUTED_VALUE"""),"Trade Attribute 4")</f>
        <v>Trade Attribute 4</v>
      </c>
      <c r="CV5" s="76" t="str">
        <f ca="1">IFERROR(__xludf.DUMMYFUNCTION("""COMPUTED_VALUE"""),"Trade Attribute 5")</f>
        <v>Trade Attribute 5</v>
      </c>
      <c r="CW5" s="76" t="str">
        <f ca="1">IFERROR(__xludf.DUMMYFUNCTION("""COMPUTED_VALUE"""),"Trade Attribute 6")</f>
        <v>Trade Attribute 6</v>
      </c>
      <c r="CX5" s="76" t="str">
        <f ca="1">IFERROR(__xludf.DUMMYFUNCTION("""COMPUTED_VALUE"""),"Proxy Symbol")</f>
        <v>Proxy Symbol</v>
      </c>
      <c r="CY5" s="76" t="str">
        <f ca="1">IFERROR(__xludf.DUMMYFUNCTION("""COMPUTED_VALUE"""),"Pricing Source")</f>
        <v>Pricing Source</v>
      </c>
      <c r="CZ5" s="76" t="str">
        <f ca="1">IFERROR(__xludf.DUMMYFUNCTION("""COMPUTED_VALUE"""),"Delta Source")</f>
        <v>Delta Source</v>
      </c>
      <c r="DA5" s="76" t="str">
        <f ca="1">IFERROR(__xludf.DUMMYFUNCTION("""COMPUTED_VALUE"""),"Gross Exposure (Local)")</f>
        <v>Gross Exposure (Local)</v>
      </c>
      <c r="DB5" s="76" t="str">
        <f ca="1">IFERROR(__xludf.DUMMYFUNCTION("""COMPUTED_VALUE"""),"% Day P&amp;L (Net MV)")</f>
        <v>% Day P&amp;L (Net MV)</v>
      </c>
      <c r="DC5" s="76" t="str">
        <f ca="1">IFERROR(__xludf.DUMMYFUNCTION("""COMPUTED_VALUE"""),"Expiration Month")</f>
        <v>Expiration Month</v>
      </c>
      <c r="DD5" s="76" t="str">
        <f ca="1">IFERROR(__xludf.DUMMYFUNCTION("""COMPUTED_VALUE"""),"Delta Adj. Position (LME)")</f>
        <v>Delta Adj. Position (LME)</v>
      </c>
      <c r="DE5" s="76" t="str">
        <f ca="1">IFERROR(__xludf.DUMMYFUNCTION("""COMPUTED_VALUE"""),"Premium")</f>
        <v>Premium</v>
      </c>
      <c r="DF5" s="76" t="str">
        <f ca="1">IFERROR(__xludf.DUMMYFUNCTION("""COMPUTED_VALUE"""),"Premium $")</f>
        <v>Premium $</v>
      </c>
      <c r="DG5" s="76" t="str">
        <f ca="1">IFERROR(__xludf.DUMMYFUNCTION("""COMPUTED_VALUE"""),"Forward Points")</f>
        <v>Forward Points</v>
      </c>
      <c r="DH5" s="76" t="str">
        <f ca="1">IFERROR(__xludf.DUMMYFUNCTION("""COMPUTED_VALUE"""),"Closing Mark (Underlying)")</f>
        <v>Closing Mark (Underlying)</v>
      </c>
      <c r="DI5" s="76" t="str">
        <f ca="1">IFERROR(__xludf.DUMMYFUNCTION("""COMPUTED_VALUE"""),"% Change (Underlying Price)")</f>
        <v>% Change (Underlying Price)</v>
      </c>
      <c r="DJ5" s="76" t="str">
        <f ca="1">IFERROR(__xludf.DUMMYFUNCTION("""COMPUTED_VALUE"""),"Transaction Type")</f>
        <v>Transaction Type</v>
      </c>
      <c r="DK5" s="76" t="str">
        <f ca="1">IFERROR(__xludf.DUMMYFUNCTION("""COMPUTED_VALUE"""),"Closing Market Value (Local)")</f>
        <v>Closing Market Value (Local)</v>
      </c>
      <c r="DL5" s="76" t="str">
        <f ca="1">IFERROR(__xludf.DUMMYFUNCTION("""COMPUTED_VALUE"""),"Closing Market Value (Base)")</f>
        <v>Closing Market Value (Base)</v>
      </c>
      <c r="DM5" s="76" t="str">
        <f ca="1">IFERROR(__xludf.DUMMYFUNCTION("""COMPUTED_VALUE"""),"Closing FX Rate")</f>
        <v>Closing FX Rate</v>
      </c>
      <c r="DN5" s="76" t="str">
        <f ca="1">IFERROR(__xludf.DUMMYFUNCTION("""COMPUTED_VALUE"""),"Change In Underlying Price")</f>
        <v>Change In Underlying Price</v>
      </c>
      <c r="DO5" s="76" t="str">
        <f ca="1">IFERROR(__xludf.DUMMYFUNCTION("""COMPUTED_VALUE"""),"RIC")</f>
        <v>RIC</v>
      </c>
      <c r="DP5" s="76" t="str">
        <f ca="1">IFERROR(__xludf.DUMMYFUNCTION("""COMPUTED_VALUE"""),"Position Side Exposure (Boxed)")</f>
        <v>Position Side Exposure (Boxed)</v>
      </c>
      <c r="DQ5" s="76" t="str">
        <f ca="1">IFERROR(__xludf.DUMMYFUNCTION("""COMPUTED_VALUE"""),"Analyst")</f>
        <v>Analyst</v>
      </c>
      <c r="DR5" s="76" t="str">
        <f ca="1">IFERROR(__xludf.DUMMYFUNCTION("""COMPUTED_VALUE"""),"Country Of Risk")</f>
        <v>Country Of Risk</v>
      </c>
      <c r="DS5" s="76" t="str">
        <f ca="1">IFERROR(__xludf.DUMMYFUNCTION("""COMPUTED_VALUE"""),"Custom UDA1")</f>
        <v>Custom UDA1</v>
      </c>
      <c r="DT5" s="76" t="str">
        <f ca="1">IFERROR(__xludf.DUMMYFUNCTION("""COMPUTED_VALUE"""),"Custom UDA2")</f>
        <v>Custom UDA2</v>
      </c>
      <c r="DU5" s="76" t="str">
        <f ca="1">IFERROR(__xludf.DUMMYFUNCTION("""COMPUTED_VALUE"""),"Custom UDA3")</f>
        <v>Custom UDA3</v>
      </c>
      <c r="DV5" s="76" t="str">
        <f ca="1">IFERROR(__xludf.DUMMYFUNCTION("""COMPUTED_VALUE"""),"Custom UDA4")</f>
        <v>Custom UDA4</v>
      </c>
      <c r="DW5" s="76" t="str">
        <f ca="1">IFERROR(__xludf.DUMMYFUNCTION("""COMPUTED_VALUE"""),"Custom UDA5")</f>
        <v>Custom UDA5</v>
      </c>
      <c r="DX5" s="76" t="str">
        <f ca="1">IFERROR(__xludf.DUMMYFUNCTION("""COMPUTED_VALUE"""),"Custom UDA6")</f>
        <v>Custom UDA6</v>
      </c>
      <c r="DY5" s="76" t="str">
        <f ca="1">IFERROR(__xludf.DUMMYFUNCTION("""COMPUTED_VALUE"""),"Custom UDA7")</f>
        <v>Custom UDA7</v>
      </c>
      <c r="DZ5" s="76" t="str">
        <f ca="1">IFERROR(__xludf.DUMMYFUNCTION("""COMPUTED_VALUE"""),"Issuer")</f>
        <v>Issuer</v>
      </c>
      <c r="EA5" s="76" t="str">
        <f ca="1">IFERROR(__xludf.DUMMYFUNCTION("""COMPUTED_VALUE"""),"Liquid Tag")</f>
        <v>Liquid Tag</v>
      </c>
      <c r="EB5" s="76" t="str">
        <f ca="1">IFERROR(__xludf.DUMMYFUNCTION("""COMPUTED_VALUE"""),"Market Cap UDA")</f>
        <v>Market Cap UDA</v>
      </c>
      <c r="EC5" s="76" t="str">
        <f ca="1">IFERROR(__xludf.DUMMYFUNCTION("""COMPUTED_VALUE"""),"Region")</f>
        <v>Region</v>
      </c>
      <c r="ED5" s="76" t="str">
        <f ca="1">IFERROR(__xludf.DUMMYFUNCTION("""COMPUTED_VALUE"""),"Risk Currency")</f>
        <v>Risk Currency</v>
      </c>
      <c r="EE5" s="76" t="str">
        <f ca="1">IFERROR(__xludf.DUMMYFUNCTION("""COMPUTED_VALUE"""),"UCITS Eligible Tag")</f>
        <v>UCITS Eligible Tag</v>
      </c>
      <c r="EF5" s="76" t="str">
        <f ca="1">IFERROR(__xludf.DUMMYFUNCTION("""COMPUTED_VALUE"""),"FX Rate (Display)")</f>
        <v>FX Rate (Display)</v>
      </c>
      <c r="EG5" s="76" t="str">
        <f ca="1">IFERROR(__xludf.DUMMYFUNCTION("""COMPUTED_VALUE"""),"% Net Exposure (Base)")</f>
        <v>% Net Exposure (Base)</v>
      </c>
      <c r="EH5" s="76" t="str">
        <f ca="1">IFERROR(__xludf.DUMMYFUNCTION("""COMPUTED_VALUE"""),"% Gross Exposure (Base)")</f>
        <v>% Gross Exposure (Base)</v>
      </c>
      <c r="EI5" s="76" t="str">
        <f ca="1">IFERROR(__xludf.DUMMYFUNCTION("""COMPUTED_VALUE"""),"% Exposure (Base)")</f>
        <v>% Exposure (Base)</v>
      </c>
      <c r="EJ5" s="76" t="str">
        <f ca="1">IFERROR(__xludf.DUMMYFUNCTION("""COMPUTED_VALUE"""),"% Gross Exposure (Underlying) (Base)")</f>
        <v>% Gross Exposure (Underlying) (Base)</v>
      </c>
      <c r="EK5" s="76" t="str">
        <f ca="1">IFERROR(__xludf.DUMMYFUNCTION("""COMPUTED_VALUE"""),"% Beta Adj. Gross Exposure (Base)")</f>
        <v>% Beta Adj. Gross Exposure (Base)</v>
      </c>
      <c r="EL5" s="76" t="str">
        <f ca="1">IFERROR(__xludf.DUMMYFUNCTION("""COMPUTED_VALUE"""),"Position Side Exposure (Underlying)")</f>
        <v>Position Side Exposure (Underlying)</v>
      </c>
      <c r="EM5" s="76" t="str">
        <f ca="1">IFERROR(__xludf.DUMMYFUNCTION("""COMPUTED_VALUE"""),"Gross Exposure (Underlying) (Base)")</f>
        <v>Gross Exposure (Underlying) (Base)</v>
      </c>
      <c r="EN5" s="76" t="str">
        <f ca="1">IFERROR(__xludf.DUMMYFUNCTION("""COMPUTED_VALUE"""),"Gross Exposure (Underlying)")</f>
        <v>Gross Exposure (Underlying)</v>
      </c>
      <c r="EO5" s="76" t="str">
        <f ca="1">IFERROR(__xludf.DUMMYFUNCTION("""COMPUTED_VALUE"""),"Day Return")</f>
        <v>Day Return</v>
      </c>
      <c r="EP5" s="76" t="str">
        <f ca="1">IFERROR(__xludf.DUMMYFUNCTION("""COMPUTED_VALUE"""),"Start of Day NAV")</f>
        <v>Start of Day NAV</v>
      </c>
      <c r="EQ5" s="76" t="str">
        <f ca="1">IFERROR(__xludf.DUMMYFUNCTION("""COMPUTED_VALUE"""),"% Gross Market Value (Base)")</f>
        <v>% Gross Market Value (Base)</v>
      </c>
      <c r="ER5" s="76" t="str">
        <f ca="1">IFERROR(__xludf.DUMMYFUNCTION("""COMPUTED_VALUE"""),"Beta Adj. Gross Exposure (Underlying) (Local)")</f>
        <v>Beta Adj. Gross Exposure (Underlying) (Local)</v>
      </c>
      <c r="ES5" s="76" t="str">
        <f ca="1">IFERROR(__xludf.DUMMYFUNCTION("""COMPUTED_VALUE"""),"NAV")</f>
        <v>NAV</v>
      </c>
      <c r="ET5" s="76" t="str">
        <f ca="1">IFERROR(__xludf.DUMMYFUNCTION("""COMPUTED_VALUE"""),"% P&amp;L Contribution")</f>
        <v>% P&amp;L Contribution</v>
      </c>
      <c r="EU5" s="76" t="str">
        <f ca="1">IFERROR(__xludf.DUMMYFUNCTION("""COMPUTED_VALUE"""),"% Net Market Value (Base)")</f>
        <v>% Net Market Value (Base)</v>
      </c>
      <c r="EV5" s="76" t="str">
        <f ca="1">IFERROR(__xludf.DUMMYFUNCTION("""COMPUTED_VALUE"""),"Position Side Exposure")</f>
        <v>Position Side Exposure</v>
      </c>
      <c r="EW5" s="76" t="str">
        <f ca="1">IFERROR(__xludf.DUMMYFUNCTION("""COMPUTED_VALUE"""),"NAV (Touch)")</f>
        <v>NAV (Touch)</v>
      </c>
      <c r="EX5" s="76" t="str">
        <f ca="1">IFERROR(__xludf.DUMMYFUNCTION("""COMPUTED_VALUE"""),"IgnorePropertyChangeEvents")</f>
        <v>IgnorePropertyChangeEvents</v>
      </c>
      <c r="EY5" s="76" t="str">
        <f ca="1">IFERROR(__xludf.DUMMYFUNCTION("""COMPUTED_VALUE"""),"Trade Attribute 1")</f>
        <v>Trade Attribute 1</v>
      </c>
      <c r="EZ5" s="76" t="str">
        <f ca="1">IFERROR(__xludf.DUMMYFUNCTION("""COMPUTED_VALUE"""),"Trade Attribute 2")</f>
        <v>Trade Attribute 2</v>
      </c>
      <c r="FA5" s="76" t="str">
        <f ca="1">IFERROR(__xludf.DUMMYFUNCTION("""COMPUTED_VALUE"""),"")</f>
        <v/>
      </c>
      <c r="FB5" s="76" t="str">
        <f ca="1">IFERROR(__xludf.DUMMYFUNCTION("""COMPUTED_VALUE"""),"")</f>
        <v/>
      </c>
      <c r="FC5" s="76" t="str">
        <f ca="1">IFERROR(__xludf.DUMMYFUNCTION("""COMPUTED_VALUE"""),"")</f>
        <v/>
      </c>
      <c r="FD5" s="76" t="str">
        <f ca="1">IFERROR(__xludf.DUMMYFUNCTION("""COMPUTED_VALUE"""),"")</f>
        <v/>
      </c>
      <c r="FE5" s="76" t="str">
        <f ca="1">IFERROR(__xludf.DUMMYFUNCTION("""COMPUTED_VALUE"""),"")</f>
        <v/>
      </c>
      <c r="FF5" s="76" t="str">
        <f ca="1">IFERROR(__xludf.DUMMYFUNCTION("""COMPUTED_VALUE"""),"")</f>
        <v/>
      </c>
      <c r="FG5" s="76" t="str">
        <f ca="1">IFERROR(__xludf.DUMMYFUNCTION("""COMPUTED_VALUE"""),"")</f>
        <v/>
      </c>
      <c r="FH5" s="76" t="str">
        <f ca="1">IFERROR(__xludf.DUMMYFUNCTION("""COMPUTED_VALUE"""),"")</f>
        <v/>
      </c>
      <c r="FI5" s="76" t="str">
        <f ca="1">IFERROR(__xludf.DUMMYFUNCTION("""COMPUTED_VALUE"""),"")</f>
        <v/>
      </c>
      <c r="FJ5" s="76" t="str">
        <f ca="1">IFERROR(__xludf.DUMMYFUNCTION("""COMPUTED_VALUE"""),"")</f>
        <v/>
      </c>
    </row>
    <row r="6" spans="1:166" ht="15.75" customHeight="1">
      <c r="A6" s="77"/>
      <c r="B6" s="77"/>
      <c r="C6" s="78" t="s">
        <v>18</v>
      </c>
      <c r="D6" s="79">
        <v>100</v>
      </c>
      <c r="E6" s="78" t="s">
        <v>20</v>
      </c>
      <c r="F6" s="78" t="s">
        <v>46</v>
      </c>
      <c r="G6" s="79">
        <v>190</v>
      </c>
      <c r="H6" s="78" t="s">
        <v>47</v>
      </c>
      <c r="I6" s="79">
        <v>19400</v>
      </c>
      <c r="J6" s="80">
        <v>1.03</v>
      </c>
      <c r="K6" s="79">
        <v>19400</v>
      </c>
      <c r="L6" s="79">
        <v>19400</v>
      </c>
      <c r="M6" s="79">
        <v>29100</v>
      </c>
      <c r="N6" s="79">
        <v>200</v>
      </c>
      <c r="O6" s="78" t="s">
        <v>48</v>
      </c>
      <c r="P6" s="79">
        <v>192</v>
      </c>
      <c r="Q6" s="79">
        <v>400</v>
      </c>
      <c r="R6" s="78" t="s">
        <v>49</v>
      </c>
      <c r="S6" s="78" t="s">
        <v>50</v>
      </c>
      <c r="T6" s="78" t="s">
        <v>51</v>
      </c>
      <c r="U6" s="78" t="s">
        <v>52</v>
      </c>
      <c r="V6" s="78" t="s">
        <v>53</v>
      </c>
      <c r="W6" s="78" t="s">
        <v>33</v>
      </c>
      <c r="X6" s="79">
        <v>1</v>
      </c>
      <c r="Y6" s="79">
        <v>1</v>
      </c>
      <c r="Z6" s="78" t="s">
        <v>54</v>
      </c>
      <c r="AA6" s="78" t="s">
        <v>54</v>
      </c>
      <c r="AB6" s="79">
        <v>0</v>
      </c>
      <c r="AC6" s="80">
        <v>1.04</v>
      </c>
      <c r="AD6" s="79">
        <v>19400</v>
      </c>
      <c r="AE6" s="79">
        <v>19400</v>
      </c>
      <c r="AF6" s="79">
        <v>100</v>
      </c>
      <c r="AG6" s="79">
        <v>19400</v>
      </c>
      <c r="AH6" s="79">
        <v>19400</v>
      </c>
      <c r="AI6" s="79">
        <v>19400</v>
      </c>
      <c r="AJ6" s="80">
        <v>464982.29</v>
      </c>
      <c r="AK6" s="79">
        <v>200</v>
      </c>
      <c r="AL6" s="79">
        <v>1</v>
      </c>
      <c r="AM6" s="79">
        <v>1</v>
      </c>
      <c r="AN6" s="78" t="s">
        <v>19</v>
      </c>
      <c r="AO6" s="78" t="s">
        <v>54</v>
      </c>
      <c r="AP6" s="78" t="s">
        <v>47</v>
      </c>
      <c r="AQ6" s="78" t="s">
        <v>18</v>
      </c>
      <c r="AR6" s="79">
        <v>194</v>
      </c>
      <c r="AS6" s="79">
        <v>1</v>
      </c>
      <c r="AT6" s="78" t="s">
        <v>55</v>
      </c>
      <c r="AU6" s="78" t="s">
        <v>56</v>
      </c>
      <c r="AV6" s="79"/>
      <c r="AW6" s="79">
        <v>400</v>
      </c>
      <c r="AX6" s="79">
        <v>0</v>
      </c>
      <c r="AY6" s="79">
        <v>0</v>
      </c>
      <c r="AZ6" s="79">
        <v>19400</v>
      </c>
      <c r="BA6" s="80">
        <v>1.05</v>
      </c>
      <c r="BB6" s="78"/>
      <c r="BC6" s="79">
        <v>1</v>
      </c>
      <c r="BD6" s="79">
        <v>0</v>
      </c>
      <c r="BE6" s="78" t="s">
        <v>51</v>
      </c>
      <c r="BF6" s="78" t="s">
        <v>57</v>
      </c>
      <c r="BG6" s="78" t="s">
        <v>58</v>
      </c>
      <c r="BH6" s="78" t="s">
        <v>59</v>
      </c>
      <c r="BI6" s="79">
        <v>5</v>
      </c>
      <c r="BJ6" s="79">
        <v>0</v>
      </c>
      <c r="BK6" s="79">
        <v>0</v>
      </c>
      <c r="BL6" s="79">
        <v>0</v>
      </c>
      <c r="BM6" s="79">
        <v>0</v>
      </c>
      <c r="BN6" s="78"/>
      <c r="BO6" s="79">
        <v>0</v>
      </c>
      <c r="BP6" s="79">
        <v>0</v>
      </c>
      <c r="BQ6" s="78" t="s">
        <v>60</v>
      </c>
      <c r="BR6" s="78" t="s">
        <v>21</v>
      </c>
      <c r="BS6" s="79">
        <v>0</v>
      </c>
      <c r="BT6" s="79">
        <v>0</v>
      </c>
      <c r="BU6" s="78" t="s">
        <v>51</v>
      </c>
      <c r="BV6" s="78" t="s">
        <v>61</v>
      </c>
      <c r="BW6" s="79">
        <v>0</v>
      </c>
      <c r="BX6" s="79">
        <v>19400</v>
      </c>
      <c r="BY6" s="79">
        <v>19400</v>
      </c>
      <c r="BZ6" s="79">
        <v>194</v>
      </c>
      <c r="CA6" s="79">
        <v>194</v>
      </c>
      <c r="CB6" s="78"/>
      <c r="CC6" s="79">
        <v>0</v>
      </c>
      <c r="CD6" s="79">
        <v>200</v>
      </c>
      <c r="CE6" s="79">
        <v>0</v>
      </c>
      <c r="CF6" s="79">
        <v>0</v>
      </c>
      <c r="CG6" s="79">
        <v>400</v>
      </c>
      <c r="CH6" s="80">
        <v>2.11</v>
      </c>
      <c r="CI6" s="79">
        <v>0</v>
      </c>
      <c r="CJ6" s="79">
        <v>0</v>
      </c>
      <c r="CK6" s="81" t="b">
        <v>0</v>
      </c>
      <c r="CL6" s="78" t="s">
        <v>54</v>
      </c>
      <c r="CM6" s="78" t="s">
        <v>54</v>
      </c>
      <c r="CN6" s="78" t="s">
        <v>18</v>
      </c>
      <c r="CO6" s="78" t="s">
        <v>18</v>
      </c>
      <c r="CP6" s="78" t="s">
        <v>62</v>
      </c>
      <c r="CQ6" s="78" t="s">
        <v>54</v>
      </c>
      <c r="CR6" s="79"/>
      <c r="CS6" s="79">
        <v>190</v>
      </c>
      <c r="CT6" s="78" t="s">
        <v>54</v>
      </c>
      <c r="CU6" s="78" t="s">
        <v>54</v>
      </c>
      <c r="CV6" s="78" t="s">
        <v>54</v>
      </c>
      <c r="CW6" s="78" t="s">
        <v>54</v>
      </c>
      <c r="CX6" s="78" t="s">
        <v>54</v>
      </c>
      <c r="CY6" s="78" t="s">
        <v>63</v>
      </c>
      <c r="CZ6" s="78" t="s">
        <v>64</v>
      </c>
      <c r="DA6" s="79">
        <v>19400</v>
      </c>
      <c r="DB6" s="80">
        <v>1.03</v>
      </c>
      <c r="DC6" s="82"/>
      <c r="DD6" s="79">
        <v>100</v>
      </c>
      <c r="DE6" s="79">
        <v>0</v>
      </c>
      <c r="DF6" s="79">
        <v>0</v>
      </c>
      <c r="DG6" s="79">
        <v>0</v>
      </c>
      <c r="DH6" s="79">
        <v>192</v>
      </c>
      <c r="DI6" s="80">
        <v>1.04</v>
      </c>
      <c r="DJ6" s="78" t="s">
        <v>19</v>
      </c>
      <c r="DK6" s="79">
        <v>19200</v>
      </c>
      <c r="DL6" s="79">
        <v>19200</v>
      </c>
      <c r="DM6" s="79">
        <v>1</v>
      </c>
      <c r="DN6" s="79">
        <v>2</v>
      </c>
      <c r="DO6" s="78" t="s">
        <v>54</v>
      </c>
      <c r="DP6" s="78" t="s">
        <v>47</v>
      </c>
      <c r="DQ6" s="78" t="s">
        <v>65</v>
      </c>
      <c r="DR6" s="78" t="s">
        <v>66</v>
      </c>
      <c r="DS6" s="78" t="s">
        <v>65</v>
      </c>
      <c r="DT6" s="78" t="s">
        <v>65</v>
      </c>
      <c r="DU6" s="78" t="s">
        <v>67</v>
      </c>
      <c r="DV6" s="78" t="s">
        <v>65</v>
      </c>
      <c r="DW6" s="78" t="s">
        <v>65</v>
      </c>
      <c r="DX6" s="78" t="s">
        <v>65</v>
      </c>
      <c r="DY6" s="78" t="s">
        <v>65</v>
      </c>
      <c r="DZ6" s="78" t="s">
        <v>48</v>
      </c>
      <c r="EA6" s="78" t="s">
        <v>67</v>
      </c>
      <c r="EB6" s="78" t="s">
        <v>65</v>
      </c>
      <c r="EC6" s="78" t="s">
        <v>65</v>
      </c>
      <c r="ED6" s="78" t="s">
        <v>33</v>
      </c>
      <c r="EE6" s="78" t="s">
        <v>68</v>
      </c>
      <c r="EF6" s="79">
        <v>0</v>
      </c>
      <c r="EG6" s="80">
        <v>4649.82</v>
      </c>
      <c r="EH6" s="80">
        <v>4649.82</v>
      </c>
      <c r="EI6" s="80">
        <v>4649.82</v>
      </c>
      <c r="EJ6" s="80">
        <v>6974.73</v>
      </c>
      <c r="EK6" s="80">
        <v>6974.73</v>
      </c>
      <c r="EL6" s="78" t="s">
        <v>47</v>
      </c>
      <c r="EM6" s="79">
        <v>29100</v>
      </c>
      <c r="EN6" s="79">
        <v>29100</v>
      </c>
      <c r="EO6" s="79">
        <v>0</v>
      </c>
      <c r="EP6" s="80">
        <v>-98.32</v>
      </c>
      <c r="EQ6" s="80">
        <v>4649.82</v>
      </c>
      <c r="ER6" s="79">
        <v>29100</v>
      </c>
      <c r="ES6" s="80">
        <v>417.22</v>
      </c>
      <c r="ET6" s="80">
        <v>47.94</v>
      </c>
      <c r="EU6" s="80">
        <v>4649.82</v>
      </c>
      <c r="EV6" s="78" t="s">
        <v>47</v>
      </c>
      <c r="EW6" s="80">
        <v>458.02</v>
      </c>
      <c r="EX6" s="81" t="b">
        <v>0</v>
      </c>
      <c r="EY6" s="78" t="s">
        <v>54</v>
      </c>
      <c r="EZ6" s="78" t="s">
        <v>54</v>
      </c>
      <c r="FA6" s="65"/>
      <c r="FB6" s="65"/>
      <c r="FC6" s="65"/>
      <c r="FD6" s="65"/>
      <c r="FE6" s="65"/>
      <c r="FF6" s="65"/>
      <c r="FG6" s="65"/>
      <c r="FH6" s="65"/>
      <c r="FI6" s="65"/>
      <c r="FJ6" s="65"/>
    </row>
    <row r="7" spans="1:166" ht="15.75" customHeight="1">
      <c r="A7" s="61"/>
      <c r="B7" s="61"/>
      <c r="C7" s="78" t="s">
        <v>23</v>
      </c>
      <c r="D7" s="79">
        <v>-100</v>
      </c>
      <c r="E7" s="78" t="s">
        <v>20</v>
      </c>
      <c r="F7" s="78" t="s">
        <v>46</v>
      </c>
      <c r="G7" s="79">
        <v>130</v>
      </c>
      <c r="H7" s="78" t="s">
        <v>69</v>
      </c>
      <c r="I7" s="79">
        <v>-13300</v>
      </c>
      <c r="J7" s="80">
        <v>-1.5</v>
      </c>
      <c r="K7" s="79">
        <v>-13300</v>
      </c>
      <c r="L7" s="79">
        <v>13300</v>
      </c>
      <c r="M7" s="79">
        <v>13300</v>
      </c>
      <c r="N7" s="79">
        <v>-200</v>
      </c>
      <c r="O7" s="78" t="s">
        <v>70</v>
      </c>
      <c r="P7" s="79">
        <v>131</v>
      </c>
      <c r="Q7" s="79">
        <v>-300</v>
      </c>
      <c r="R7" s="78" t="s">
        <v>49</v>
      </c>
      <c r="S7" s="78" t="s">
        <v>50</v>
      </c>
      <c r="T7" s="78" t="s">
        <v>51</v>
      </c>
      <c r="U7" s="78" t="s">
        <v>52</v>
      </c>
      <c r="V7" s="78" t="s">
        <v>53</v>
      </c>
      <c r="W7" s="78" t="s">
        <v>33</v>
      </c>
      <c r="X7" s="79">
        <v>1</v>
      </c>
      <c r="Y7" s="79">
        <v>1</v>
      </c>
      <c r="Z7" s="78" t="s">
        <v>54</v>
      </c>
      <c r="AA7" s="78" t="s">
        <v>54</v>
      </c>
      <c r="AB7" s="79">
        <v>0</v>
      </c>
      <c r="AC7" s="80">
        <v>1.53</v>
      </c>
      <c r="AD7" s="79">
        <v>-13300</v>
      </c>
      <c r="AE7" s="79">
        <v>-13300</v>
      </c>
      <c r="AF7" s="79">
        <v>-100</v>
      </c>
      <c r="AG7" s="79">
        <v>-13300</v>
      </c>
      <c r="AH7" s="79">
        <v>-13300</v>
      </c>
      <c r="AI7" s="79">
        <v>-13300</v>
      </c>
      <c r="AJ7" s="80">
        <v>-318776.52</v>
      </c>
      <c r="AK7" s="79">
        <v>-200</v>
      </c>
      <c r="AL7" s="79">
        <v>1</v>
      </c>
      <c r="AM7" s="79">
        <v>1</v>
      </c>
      <c r="AN7" s="78" t="s">
        <v>28</v>
      </c>
      <c r="AO7" s="78" t="s">
        <v>54</v>
      </c>
      <c r="AP7" s="78" t="s">
        <v>69</v>
      </c>
      <c r="AQ7" s="78" t="s">
        <v>23</v>
      </c>
      <c r="AR7" s="79">
        <v>133</v>
      </c>
      <c r="AS7" s="79">
        <v>-1</v>
      </c>
      <c r="AT7" s="78" t="s">
        <v>55</v>
      </c>
      <c r="AU7" s="78" t="s">
        <v>56</v>
      </c>
      <c r="AV7" s="79"/>
      <c r="AW7" s="79">
        <v>-300</v>
      </c>
      <c r="AX7" s="79">
        <v>0</v>
      </c>
      <c r="AY7" s="79">
        <v>0</v>
      </c>
      <c r="AZ7" s="79">
        <v>-13300</v>
      </c>
      <c r="BA7" s="80">
        <v>-1.54</v>
      </c>
      <c r="BB7" s="78"/>
      <c r="BC7" s="79">
        <v>1</v>
      </c>
      <c r="BD7" s="79">
        <v>0</v>
      </c>
      <c r="BE7" s="78" t="s">
        <v>51</v>
      </c>
      <c r="BF7" s="78" t="s">
        <v>71</v>
      </c>
      <c r="BG7" s="78" t="s">
        <v>72</v>
      </c>
      <c r="BH7" s="78" t="s">
        <v>73</v>
      </c>
      <c r="BI7" s="78" t="s">
        <v>59</v>
      </c>
      <c r="BJ7" s="79">
        <v>0</v>
      </c>
      <c r="BK7" s="79">
        <v>0</v>
      </c>
      <c r="BL7" s="79">
        <v>0</v>
      </c>
      <c r="BM7" s="79">
        <v>0</v>
      </c>
      <c r="BN7" s="78"/>
      <c r="BO7" s="79">
        <v>0</v>
      </c>
      <c r="BP7" s="79">
        <v>0</v>
      </c>
      <c r="BQ7" s="78" t="s">
        <v>60</v>
      </c>
      <c r="BR7" s="78" t="s">
        <v>21</v>
      </c>
      <c r="BS7" s="79">
        <v>0</v>
      </c>
      <c r="BT7" s="79">
        <v>0</v>
      </c>
      <c r="BU7" s="78" t="s">
        <v>51</v>
      </c>
      <c r="BV7" s="78" t="s">
        <v>61</v>
      </c>
      <c r="BW7" s="79">
        <v>0</v>
      </c>
      <c r="BX7" s="79">
        <v>13300</v>
      </c>
      <c r="BY7" s="79">
        <v>13300</v>
      </c>
      <c r="BZ7" s="79">
        <v>133</v>
      </c>
      <c r="CA7" s="79">
        <v>133</v>
      </c>
      <c r="CB7" s="78"/>
      <c r="CC7" s="79">
        <v>0</v>
      </c>
      <c r="CD7" s="79">
        <v>-200</v>
      </c>
      <c r="CE7" s="79">
        <v>0</v>
      </c>
      <c r="CF7" s="79">
        <v>0</v>
      </c>
      <c r="CG7" s="79">
        <v>-300</v>
      </c>
      <c r="CH7" s="80">
        <v>-2.31</v>
      </c>
      <c r="CI7" s="79">
        <v>0</v>
      </c>
      <c r="CJ7" s="79">
        <v>0</v>
      </c>
      <c r="CK7" s="81" t="b">
        <v>0</v>
      </c>
      <c r="CL7" s="78" t="s">
        <v>54</v>
      </c>
      <c r="CM7" s="78" t="s">
        <v>54</v>
      </c>
      <c r="CN7" s="79">
        <v>2588173</v>
      </c>
      <c r="CO7" s="79">
        <v>594918104</v>
      </c>
      <c r="CP7" s="78" t="s">
        <v>74</v>
      </c>
      <c r="CQ7" s="78" t="s">
        <v>75</v>
      </c>
      <c r="CR7" s="79"/>
      <c r="CS7" s="79">
        <v>130</v>
      </c>
      <c r="CT7" s="78" t="s">
        <v>54</v>
      </c>
      <c r="CU7" s="78" t="s">
        <v>54</v>
      </c>
      <c r="CV7" s="78" t="s">
        <v>54</v>
      </c>
      <c r="CW7" s="78" t="s">
        <v>54</v>
      </c>
      <c r="CX7" s="78" t="s">
        <v>54</v>
      </c>
      <c r="CY7" s="78" t="s">
        <v>63</v>
      </c>
      <c r="CZ7" s="78" t="s">
        <v>64</v>
      </c>
      <c r="DA7" s="79">
        <v>13300</v>
      </c>
      <c r="DB7" s="80">
        <v>1.5</v>
      </c>
      <c r="DC7" s="82"/>
      <c r="DD7" s="79">
        <v>-100</v>
      </c>
      <c r="DE7" s="79">
        <v>0</v>
      </c>
      <c r="DF7" s="79">
        <v>0</v>
      </c>
      <c r="DG7" s="79">
        <v>0</v>
      </c>
      <c r="DH7" s="79">
        <v>131</v>
      </c>
      <c r="DI7" s="80">
        <v>1.53</v>
      </c>
      <c r="DJ7" s="78" t="s">
        <v>28</v>
      </c>
      <c r="DK7" s="79">
        <v>-13100</v>
      </c>
      <c r="DL7" s="79">
        <v>-13100</v>
      </c>
      <c r="DM7" s="79">
        <v>1</v>
      </c>
      <c r="DN7" s="79">
        <v>2</v>
      </c>
      <c r="DO7" s="78" t="s">
        <v>76</v>
      </c>
      <c r="DP7" s="78" t="s">
        <v>69</v>
      </c>
      <c r="DQ7" s="78" t="s">
        <v>59</v>
      </c>
      <c r="DR7" s="78" t="s">
        <v>77</v>
      </c>
      <c r="DS7" s="78" t="s">
        <v>78</v>
      </c>
      <c r="DT7" s="78" t="s">
        <v>59</v>
      </c>
      <c r="DU7" s="78" t="s">
        <v>59</v>
      </c>
      <c r="DV7" s="78" t="s">
        <v>59</v>
      </c>
      <c r="DW7" s="78"/>
      <c r="DX7" s="79"/>
      <c r="DY7" s="78" t="s">
        <v>59</v>
      </c>
      <c r="DZ7" s="78" t="s">
        <v>70</v>
      </c>
      <c r="EA7" s="78" t="s">
        <v>68</v>
      </c>
      <c r="EB7" s="78" t="s">
        <v>59</v>
      </c>
      <c r="EC7" s="78" t="s">
        <v>59</v>
      </c>
      <c r="ED7" s="78" t="s">
        <v>33</v>
      </c>
      <c r="EE7" s="78" t="s">
        <v>68</v>
      </c>
      <c r="EF7" s="79">
        <v>0</v>
      </c>
      <c r="EG7" s="80">
        <v>-3187.77</v>
      </c>
      <c r="EH7" s="80">
        <v>3187.77</v>
      </c>
      <c r="EI7" s="80">
        <v>-3187.77</v>
      </c>
      <c r="EJ7" s="80">
        <v>3187.77</v>
      </c>
      <c r="EK7" s="80">
        <v>3187.77</v>
      </c>
      <c r="EL7" s="78" t="s">
        <v>69</v>
      </c>
      <c r="EM7" s="79">
        <v>13300</v>
      </c>
      <c r="EN7" s="79">
        <v>13300</v>
      </c>
      <c r="EO7" s="79">
        <v>0</v>
      </c>
      <c r="EP7" s="80">
        <v>-98.32</v>
      </c>
      <c r="EQ7" s="80">
        <v>3187.77</v>
      </c>
      <c r="ER7" s="79">
        <v>13300</v>
      </c>
      <c r="ES7" s="80">
        <v>417.22</v>
      </c>
      <c r="ET7" s="80">
        <v>-47.94</v>
      </c>
      <c r="EU7" s="80">
        <v>-3187.77</v>
      </c>
      <c r="EV7" s="78" t="s">
        <v>69</v>
      </c>
      <c r="EW7" s="80">
        <v>458.02</v>
      </c>
      <c r="EX7" s="81" t="b">
        <v>0</v>
      </c>
      <c r="EY7" s="78" t="s">
        <v>54</v>
      </c>
      <c r="EZ7" s="78" t="s">
        <v>54</v>
      </c>
      <c r="FA7" s="65"/>
      <c r="FB7" s="65"/>
      <c r="FC7" s="65"/>
      <c r="FD7" s="65"/>
      <c r="FE7" s="65"/>
      <c r="FF7" s="65"/>
      <c r="FG7" s="65"/>
      <c r="FH7" s="65"/>
      <c r="FI7" s="65"/>
      <c r="FJ7" s="65"/>
    </row>
    <row r="8" spans="1:166" ht="15.75" customHeight="1">
      <c r="A8" s="61"/>
      <c r="B8" s="61"/>
      <c r="C8" s="78" t="s">
        <v>25</v>
      </c>
      <c r="D8" s="79">
        <v>-150</v>
      </c>
      <c r="E8" s="78" t="s">
        <v>20</v>
      </c>
      <c r="F8" s="78" t="s">
        <v>46</v>
      </c>
      <c r="G8" s="79">
        <v>9</v>
      </c>
      <c r="H8" s="78" t="s">
        <v>69</v>
      </c>
      <c r="I8" s="80">
        <v>-1492.54</v>
      </c>
      <c r="J8" s="80">
        <v>29.21</v>
      </c>
      <c r="K8" s="80">
        <v>-1492.54</v>
      </c>
      <c r="L8" s="80">
        <v>1492.54</v>
      </c>
      <c r="M8" s="80">
        <v>497.51</v>
      </c>
      <c r="N8" s="80">
        <v>436.03</v>
      </c>
      <c r="O8" s="78" t="s">
        <v>25</v>
      </c>
      <c r="P8" s="79">
        <v>9</v>
      </c>
      <c r="Q8" s="80">
        <v>436.03</v>
      </c>
      <c r="R8" s="78" t="s">
        <v>49</v>
      </c>
      <c r="S8" s="78" t="s">
        <v>50</v>
      </c>
      <c r="T8" s="78" t="s">
        <v>51</v>
      </c>
      <c r="U8" s="78" t="s">
        <v>52</v>
      </c>
      <c r="V8" s="78" t="s">
        <v>79</v>
      </c>
      <c r="W8" s="78" t="s">
        <v>34</v>
      </c>
      <c r="X8" s="79">
        <v>1</v>
      </c>
      <c r="Y8" s="80">
        <v>1</v>
      </c>
      <c r="Z8" s="78" t="s">
        <v>54</v>
      </c>
      <c r="AA8" s="78" t="s">
        <v>54</v>
      </c>
      <c r="AB8" s="79">
        <v>0</v>
      </c>
      <c r="AC8" s="80">
        <v>11.11</v>
      </c>
      <c r="AD8" s="79">
        <v>-1500</v>
      </c>
      <c r="AE8" s="79">
        <v>-1500</v>
      </c>
      <c r="AF8" s="79">
        <v>-150</v>
      </c>
      <c r="AG8" s="80">
        <v>-1492.54</v>
      </c>
      <c r="AH8" s="79">
        <v>-1500</v>
      </c>
      <c r="AI8" s="80">
        <v>-1492.54</v>
      </c>
      <c r="AJ8" s="80">
        <v>-35773.370000000003</v>
      </c>
      <c r="AK8" s="79">
        <v>-150</v>
      </c>
      <c r="AL8" s="79">
        <v>1</v>
      </c>
      <c r="AM8" s="79">
        <v>1</v>
      </c>
      <c r="AN8" s="78" t="s">
        <v>28</v>
      </c>
      <c r="AO8" s="78" t="s">
        <v>54</v>
      </c>
      <c r="AP8" s="78" t="s">
        <v>69</v>
      </c>
      <c r="AQ8" s="78" t="s">
        <v>25</v>
      </c>
      <c r="AR8" s="79">
        <v>10</v>
      </c>
      <c r="AS8" s="79">
        <v>-1</v>
      </c>
      <c r="AT8" s="78" t="s">
        <v>55</v>
      </c>
      <c r="AU8" s="78" t="s">
        <v>56</v>
      </c>
      <c r="AV8" s="79"/>
      <c r="AW8" s="79">
        <v>-150</v>
      </c>
      <c r="AX8" s="79">
        <v>0</v>
      </c>
      <c r="AY8" s="79">
        <v>0</v>
      </c>
      <c r="AZ8" s="79">
        <v>-1500</v>
      </c>
      <c r="BA8" s="80">
        <v>-7.74</v>
      </c>
      <c r="BB8" s="78"/>
      <c r="BC8" s="79">
        <v>1</v>
      </c>
      <c r="BD8" s="79">
        <v>1350</v>
      </c>
      <c r="BE8" s="78" t="s">
        <v>51</v>
      </c>
      <c r="BF8" s="78" t="s">
        <v>59</v>
      </c>
      <c r="BG8" s="78" t="s">
        <v>59</v>
      </c>
      <c r="BH8" s="78" t="s">
        <v>59</v>
      </c>
      <c r="BI8" s="78" t="s">
        <v>59</v>
      </c>
      <c r="BJ8" s="79">
        <v>0</v>
      </c>
      <c r="BK8" s="79">
        <v>0</v>
      </c>
      <c r="BL8" s="79">
        <v>0</v>
      </c>
      <c r="BM8" s="79">
        <v>0</v>
      </c>
      <c r="BN8" s="78"/>
      <c r="BO8" s="80">
        <v>1928.57</v>
      </c>
      <c r="BP8" s="79">
        <v>0</v>
      </c>
      <c r="BQ8" s="78" t="s">
        <v>60</v>
      </c>
      <c r="BR8" s="78" t="s">
        <v>21</v>
      </c>
      <c r="BS8" s="79">
        <v>0</v>
      </c>
      <c r="BT8" s="79">
        <v>0</v>
      </c>
      <c r="BU8" s="78" t="s">
        <v>51</v>
      </c>
      <c r="BV8" s="78" t="s">
        <v>61</v>
      </c>
      <c r="BW8" s="79">
        <v>0</v>
      </c>
      <c r="BX8" s="80">
        <v>1492.54</v>
      </c>
      <c r="BY8" s="80">
        <v>1492.54</v>
      </c>
      <c r="BZ8" s="79">
        <v>10</v>
      </c>
      <c r="CA8" s="80">
        <v>9.9499999999999993</v>
      </c>
      <c r="CB8" s="78"/>
      <c r="CC8" s="79">
        <v>0</v>
      </c>
      <c r="CD8" s="80">
        <v>-149.25</v>
      </c>
      <c r="CE8" s="80">
        <v>585.29</v>
      </c>
      <c r="CF8" s="80">
        <v>585.29</v>
      </c>
      <c r="CG8" s="80">
        <v>-149.25</v>
      </c>
      <c r="CH8" s="80">
        <v>22.61</v>
      </c>
      <c r="CI8" s="79">
        <v>0</v>
      </c>
      <c r="CJ8" s="79">
        <v>0</v>
      </c>
      <c r="CK8" s="81" t="b">
        <v>0</v>
      </c>
      <c r="CL8" s="78" t="s">
        <v>54</v>
      </c>
      <c r="CM8" s="78" t="s">
        <v>54</v>
      </c>
      <c r="CN8" s="78" t="s">
        <v>54</v>
      </c>
      <c r="CO8" s="78" t="s">
        <v>54</v>
      </c>
      <c r="CP8" s="78" t="s">
        <v>80</v>
      </c>
      <c r="CQ8" s="78" t="s">
        <v>54</v>
      </c>
      <c r="CR8" s="79"/>
      <c r="CS8" s="79">
        <v>9</v>
      </c>
      <c r="CT8" s="78" t="s">
        <v>54</v>
      </c>
      <c r="CU8" s="78" t="s">
        <v>54</v>
      </c>
      <c r="CV8" s="78" t="s">
        <v>54</v>
      </c>
      <c r="CW8" s="78" t="s">
        <v>54</v>
      </c>
      <c r="CX8" s="78" t="s">
        <v>54</v>
      </c>
      <c r="CY8" s="78" t="s">
        <v>63</v>
      </c>
      <c r="CZ8" s="78" t="s">
        <v>64</v>
      </c>
      <c r="DA8" s="79">
        <v>1500</v>
      </c>
      <c r="DB8" s="80">
        <v>-29.21</v>
      </c>
      <c r="DC8" s="82"/>
      <c r="DD8" s="79">
        <v>-150</v>
      </c>
      <c r="DE8" s="79">
        <v>0</v>
      </c>
      <c r="DF8" s="79">
        <v>0</v>
      </c>
      <c r="DG8" s="79">
        <v>0</v>
      </c>
      <c r="DH8" s="79">
        <v>9</v>
      </c>
      <c r="DI8" s="80">
        <v>11.11</v>
      </c>
      <c r="DJ8" s="78" t="s">
        <v>28</v>
      </c>
      <c r="DK8" s="79">
        <v>0</v>
      </c>
      <c r="DL8" s="79">
        <v>0</v>
      </c>
      <c r="DM8" s="80">
        <v>1</v>
      </c>
      <c r="DN8" s="79">
        <v>1</v>
      </c>
      <c r="DO8" s="78" t="s">
        <v>54</v>
      </c>
      <c r="DP8" s="78" t="s">
        <v>69</v>
      </c>
      <c r="DQ8" s="78" t="s">
        <v>59</v>
      </c>
      <c r="DR8" s="78" t="s">
        <v>81</v>
      </c>
      <c r="DS8" s="78" t="s">
        <v>59</v>
      </c>
      <c r="DT8" s="78" t="s">
        <v>59</v>
      </c>
      <c r="DU8" s="78" t="s">
        <v>59</v>
      </c>
      <c r="DV8" s="78" t="s">
        <v>59</v>
      </c>
      <c r="DW8" s="78" t="s">
        <v>59</v>
      </c>
      <c r="DX8" s="78" t="s">
        <v>59</v>
      </c>
      <c r="DY8" s="78" t="s">
        <v>59</v>
      </c>
      <c r="DZ8" s="78" t="s">
        <v>25</v>
      </c>
      <c r="EA8" s="78" t="s">
        <v>68</v>
      </c>
      <c r="EB8" s="78" t="s">
        <v>59</v>
      </c>
      <c r="EC8" s="78" t="s">
        <v>59</v>
      </c>
      <c r="ED8" s="78" t="s">
        <v>34</v>
      </c>
      <c r="EE8" s="78" t="s">
        <v>68</v>
      </c>
      <c r="EF8" s="80">
        <v>1.01</v>
      </c>
      <c r="EG8" s="80">
        <v>-357.73</v>
      </c>
      <c r="EH8" s="80">
        <v>357.73</v>
      </c>
      <c r="EI8" s="80">
        <v>-357.73</v>
      </c>
      <c r="EJ8" s="80">
        <v>119.24</v>
      </c>
      <c r="EK8" s="80">
        <v>119.24</v>
      </c>
      <c r="EL8" s="78" t="s">
        <v>69</v>
      </c>
      <c r="EM8" s="80">
        <v>497.51</v>
      </c>
      <c r="EN8" s="79">
        <v>500</v>
      </c>
      <c r="EO8" s="79">
        <v>0</v>
      </c>
      <c r="EP8" s="80">
        <v>-98.32</v>
      </c>
      <c r="EQ8" s="80">
        <v>357.73</v>
      </c>
      <c r="ER8" s="79">
        <v>500</v>
      </c>
      <c r="ES8" s="80">
        <v>417.22</v>
      </c>
      <c r="ET8" s="80">
        <v>104.51</v>
      </c>
      <c r="EU8" s="80">
        <v>-357.73</v>
      </c>
      <c r="EV8" s="78" t="s">
        <v>69</v>
      </c>
      <c r="EW8" s="80">
        <v>458.02</v>
      </c>
      <c r="EX8" s="81" t="b">
        <v>0</v>
      </c>
      <c r="EY8" s="78" t="s">
        <v>54</v>
      </c>
      <c r="EZ8" s="78" t="s">
        <v>54</v>
      </c>
      <c r="FA8" s="65"/>
      <c r="FB8" s="65"/>
      <c r="FC8" s="65"/>
      <c r="FD8" s="65"/>
      <c r="FE8" s="65"/>
      <c r="FF8" s="65"/>
      <c r="FG8" s="65"/>
      <c r="FH8" s="65"/>
      <c r="FI8" s="65"/>
      <c r="FJ8" s="65"/>
    </row>
    <row r="9" spans="1:166" ht="15.75" customHeight="1">
      <c r="A9" s="61"/>
      <c r="B9" s="61"/>
      <c r="C9" s="78" t="s">
        <v>25</v>
      </c>
      <c r="D9" s="79">
        <v>100</v>
      </c>
      <c r="E9" s="78" t="s">
        <v>26</v>
      </c>
      <c r="F9" s="78" t="s">
        <v>82</v>
      </c>
      <c r="G9" s="79">
        <v>8</v>
      </c>
      <c r="H9" s="78" t="s">
        <v>69</v>
      </c>
      <c r="I9" s="80">
        <v>995.02</v>
      </c>
      <c r="J9" s="79">
        <v>10</v>
      </c>
      <c r="K9" s="80">
        <v>995.02</v>
      </c>
      <c r="L9" s="80">
        <v>995.02</v>
      </c>
      <c r="M9" s="80">
        <v>497.51</v>
      </c>
      <c r="N9" s="80">
        <v>99.5</v>
      </c>
      <c r="O9" s="78" t="s">
        <v>25</v>
      </c>
      <c r="P9" s="79">
        <v>9</v>
      </c>
      <c r="Q9" s="80">
        <v>-147.83000000000001</v>
      </c>
      <c r="R9" s="78" t="s">
        <v>83</v>
      </c>
      <c r="S9" s="78" t="s">
        <v>50</v>
      </c>
      <c r="T9" s="78" t="s">
        <v>51</v>
      </c>
      <c r="U9" s="78" t="s">
        <v>52</v>
      </c>
      <c r="V9" s="78" t="s">
        <v>79</v>
      </c>
      <c r="W9" s="78" t="s">
        <v>34</v>
      </c>
      <c r="X9" s="79">
        <v>1</v>
      </c>
      <c r="Y9" s="80">
        <v>1</v>
      </c>
      <c r="Z9" s="78" t="s">
        <v>54</v>
      </c>
      <c r="AA9" s="78" t="s">
        <v>54</v>
      </c>
      <c r="AB9" s="79">
        <v>0</v>
      </c>
      <c r="AC9" s="80">
        <v>11.11</v>
      </c>
      <c r="AD9" s="79">
        <v>1000</v>
      </c>
      <c r="AE9" s="79">
        <v>1000</v>
      </c>
      <c r="AF9" s="79">
        <v>100</v>
      </c>
      <c r="AG9" s="80">
        <v>995.02</v>
      </c>
      <c r="AH9" s="79">
        <v>1000</v>
      </c>
      <c r="AI9" s="80">
        <v>995.02</v>
      </c>
      <c r="AJ9" s="80">
        <v>23848.91</v>
      </c>
      <c r="AK9" s="79">
        <v>100</v>
      </c>
      <c r="AL9" s="79">
        <v>1</v>
      </c>
      <c r="AM9" s="79">
        <v>1</v>
      </c>
      <c r="AN9" s="78" t="s">
        <v>19</v>
      </c>
      <c r="AO9" s="78" t="s">
        <v>54</v>
      </c>
      <c r="AP9" s="78" t="s">
        <v>47</v>
      </c>
      <c r="AQ9" s="78" t="s">
        <v>25</v>
      </c>
      <c r="AR9" s="79">
        <v>10</v>
      </c>
      <c r="AS9" s="79">
        <v>1</v>
      </c>
      <c r="AT9" s="78" t="s">
        <v>55</v>
      </c>
      <c r="AU9" s="78" t="s">
        <v>56</v>
      </c>
      <c r="AV9" s="79"/>
      <c r="AW9" s="79">
        <v>200</v>
      </c>
      <c r="AX9" s="79">
        <v>0</v>
      </c>
      <c r="AY9" s="79">
        <v>0</v>
      </c>
      <c r="AZ9" s="79">
        <v>1000</v>
      </c>
      <c r="BA9" s="80">
        <v>8.7100000000000009</v>
      </c>
      <c r="BB9" s="78"/>
      <c r="BC9" s="79">
        <v>1</v>
      </c>
      <c r="BD9" s="79">
        <v>0</v>
      </c>
      <c r="BE9" s="78" t="s">
        <v>51</v>
      </c>
      <c r="BF9" s="78" t="s">
        <v>59</v>
      </c>
      <c r="BG9" s="78" t="s">
        <v>59</v>
      </c>
      <c r="BH9" s="78" t="s">
        <v>59</v>
      </c>
      <c r="BI9" s="78" t="s">
        <v>59</v>
      </c>
      <c r="BJ9" s="79">
        <v>0</v>
      </c>
      <c r="BK9" s="79">
        <v>0</v>
      </c>
      <c r="BL9" s="79">
        <v>0</v>
      </c>
      <c r="BM9" s="79">
        <v>0</v>
      </c>
      <c r="BN9" s="78"/>
      <c r="BO9" s="79">
        <v>0</v>
      </c>
      <c r="BP9" s="79">
        <v>0</v>
      </c>
      <c r="BQ9" s="78" t="s">
        <v>60</v>
      </c>
      <c r="BR9" s="78" t="s">
        <v>21</v>
      </c>
      <c r="BS9" s="79">
        <v>0</v>
      </c>
      <c r="BT9" s="79">
        <v>0</v>
      </c>
      <c r="BU9" s="78" t="s">
        <v>51</v>
      </c>
      <c r="BV9" s="78" t="s">
        <v>61</v>
      </c>
      <c r="BW9" s="79">
        <v>0</v>
      </c>
      <c r="BX9" s="80">
        <v>995.02</v>
      </c>
      <c r="BY9" s="80">
        <v>995.02</v>
      </c>
      <c r="BZ9" s="79">
        <v>10</v>
      </c>
      <c r="CA9" s="80">
        <v>9.9499999999999993</v>
      </c>
      <c r="CB9" s="78"/>
      <c r="CC9" s="79">
        <v>0</v>
      </c>
      <c r="CD9" s="80">
        <v>99.5</v>
      </c>
      <c r="CE9" s="79">
        <v>0</v>
      </c>
      <c r="CF9" s="80">
        <v>-346.84</v>
      </c>
      <c r="CG9" s="80">
        <v>199</v>
      </c>
      <c r="CH9" s="80">
        <v>-12.94</v>
      </c>
      <c r="CI9" s="79">
        <v>0</v>
      </c>
      <c r="CJ9" s="79">
        <v>0</v>
      </c>
      <c r="CK9" s="81" t="b">
        <v>0</v>
      </c>
      <c r="CL9" s="78" t="s">
        <v>54</v>
      </c>
      <c r="CM9" s="78" t="s">
        <v>54</v>
      </c>
      <c r="CN9" s="78" t="s">
        <v>54</v>
      </c>
      <c r="CO9" s="78" t="s">
        <v>54</v>
      </c>
      <c r="CP9" s="78" t="s">
        <v>80</v>
      </c>
      <c r="CQ9" s="78" t="s">
        <v>54</v>
      </c>
      <c r="CR9" s="79"/>
      <c r="CS9" s="79">
        <v>8</v>
      </c>
      <c r="CT9" s="78" t="s">
        <v>54</v>
      </c>
      <c r="CU9" s="78" t="s">
        <v>54</v>
      </c>
      <c r="CV9" s="78" t="s">
        <v>54</v>
      </c>
      <c r="CW9" s="78" t="s">
        <v>54</v>
      </c>
      <c r="CX9" s="78" t="s">
        <v>54</v>
      </c>
      <c r="CY9" s="78" t="s">
        <v>63</v>
      </c>
      <c r="CZ9" s="78" t="s">
        <v>64</v>
      </c>
      <c r="DA9" s="79">
        <v>1000</v>
      </c>
      <c r="DB9" s="79">
        <v>10</v>
      </c>
      <c r="DC9" s="82"/>
      <c r="DD9" s="79">
        <v>100</v>
      </c>
      <c r="DE9" s="79">
        <v>0</v>
      </c>
      <c r="DF9" s="79">
        <v>0</v>
      </c>
      <c r="DG9" s="79">
        <v>0</v>
      </c>
      <c r="DH9" s="79">
        <v>9</v>
      </c>
      <c r="DI9" s="80">
        <v>11.11</v>
      </c>
      <c r="DJ9" s="78" t="s">
        <v>19</v>
      </c>
      <c r="DK9" s="79">
        <v>900</v>
      </c>
      <c r="DL9" s="80">
        <v>895.52</v>
      </c>
      <c r="DM9" s="80">
        <v>1</v>
      </c>
      <c r="DN9" s="79">
        <v>1</v>
      </c>
      <c r="DO9" s="78" t="s">
        <v>54</v>
      </c>
      <c r="DP9" s="78" t="s">
        <v>47</v>
      </c>
      <c r="DQ9" s="78" t="s">
        <v>59</v>
      </c>
      <c r="DR9" s="78" t="s">
        <v>81</v>
      </c>
      <c r="DS9" s="78" t="s">
        <v>59</v>
      </c>
      <c r="DT9" s="78" t="s">
        <v>59</v>
      </c>
      <c r="DU9" s="78" t="s">
        <v>59</v>
      </c>
      <c r="DV9" s="78" t="s">
        <v>59</v>
      </c>
      <c r="DW9" s="78" t="s">
        <v>59</v>
      </c>
      <c r="DX9" s="78" t="s">
        <v>59</v>
      </c>
      <c r="DY9" s="78" t="s">
        <v>59</v>
      </c>
      <c r="DZ9" s="78" t="s">
        <v>25</v>
      </c>
      <c r="EA9" s="78" t="s">
        <v>68</v>
      </c>
      <c r="EB9" s="78" t="s">
        <v>59</v>
      </c>
      <c r="EC9" s="78" t="s">
        <v>59</v>
      </c>
      <c r="ED9" s="78" t="s">
        <v>34</v>
      </c>
      <c r="EE9" s="78" t="s">
        <v>68</v>
      </c>
      <c r="EF9" s="80">
        <v>1.01</v>
      </c>
      <c r="EG9" s="80">
        <v>238.49</v>
      </c>
      <c r="EH9" s="80">
        <v>238.49</v>
      </c>
      <c r="EI9" s="80">
        <v>238.49</v>
      </c>
      <c r="EJ9" s="80">
        <v>119.24</v>
      </c>
      <c r="EK9" s="80">
        <v>119.24</v>
      </c>
      <c r="EL9" s="78" t="s">
        <v>69</v>
      </c>
      <c r="EM9" s="80">
        <v>497.51</v>
      </c>
      <c r="EN9" s="79">
        <v>500</v>
      </c>
      <c r="EO9" s="79">
        <v>0</v>
      </c>
      <c r="EP9" s="80">
        <v>-98.32</v>
      </c>
      <c r="EQ9" s="80">
        <v>238.49</v>
      </c>
      <c r="ER9" s="79">
        <v>500</v>
      </c>
      <c r="ES9" s="80">
        <v>417.22</v>
      </c>
      <c r="ET9" s="80">
        <v>23.85</v>
      </c>
      <c r="EU9" s="80">
        <v>238.49</v>
      </c>
      <c r="EV9" s="78" t="s">
        <v>69</v>
      </c>
      <c r="EW9" s="80">
        <v>-40.799999999999997</v>
      </c>
      <c r="EX9" s="81" t="b">
        <v>0</v>
      </c>
      <c r="EY9" s="78" t="s">
        <v>54</v>
      </c>
      <c r="EZ9" s="78" t="s">
        <v>54</v>
      </c>
      <c r="FA9" s="65"/>
      <c r="FB9" s="65"/>
      <c r="FC9" s="65"/>
      <c r="FD9" s="65"/>
      <c r="FE9" s="65"/>
      <c r="FF9" s="65"/>
      <c r="FG9" s="65"/>
      <c r="FH9" s="65"/>
      <c r="FI9" s="65"/>
      <c r="FJ9" s="65"/>
    </row>
    <row r="10" spans="1:166" ht="15.75" customHeight="1">
      <c r="A10" s="61"/>
      <c r="B10" s="61"/>
      <c r="C10" s="78" t="s">
        <v>27</v>
      </c>
      <c r="D10" s="79">
        <v>-100</v>
      </c>
      <c r="E10" s="78" t="s">
        <v>26</v>
      </c>
      <c r="F10" s="78" t="s">
        <v>82</v>
      </c>
      <c r="G10" s="79">
        <v>60</v>
      </c>
      <c r="H10" s="78" t="s">
        <v>69</v>
      </c>
      <c r="I10" s="79">
        <v>-7440</v>
      </c>
      <c r="J10" s="80">
        <v>-1.61</v>
      </c>
      <c r="K10" s="79">
        <v>-7440</v>
      </c>
      <c r="L10" s="79">
        <v>7440</v>
      </c>
      <c r="M10" s="79">
        <v>7440</v>
      </c>
      <c r="N10" s="79">
        <v>-120</v>
      </c>
      <c r="O10" s="78" t="s">
        <v>84</v>
      </c>
      <c r="P10" s="79">
        <v>61</v>
      </c>
      <c r="Q10" s="80">
        <v>-840</v>
      </c>
      <c r="R10" s="78" t="s">
        <v>83</v>
      </c>
      <c r="S10" s="78" t="s">
        <v>50</v>
      </c>
      <c r="T10" s="78" t="s">
        <v>51</v>
      </c>
      <c r="U10" s="78" t="s">
        <v>85</v>
      </c>
      <c r="V10" s="78" t="s">
        <v>86</v>
      </c>
      <c r="W10" s="78" t="s">
        <v>36</v>
      </c>
      <c r="X10" s="79">
        <v>1</v>
      </c>
      <c r="Y10" s="79">
        <v>1.2</v>
      </c>
      <c r="Z10" s="78" t="s">
        <v>54</v>
      </c>
      <c r="AA10" s="78" t="s">
        <v>54</v>
      </c>
      <c r="AB10" s="79">
        <v>0</v>
      </c>
      <c r="AC10" s="80">
        <v>1.64</v>
      </c>
      <c r="AD10" s="79">
        <v>-6200</v>
      </c>
      <c r="AE10" s="79">
        <v>-6200</v>
      </c>
      <c r="AF10" s="79">
        <v>-100</v>
      </c>
      <c r="AG10" s="79">
        <v>-7440</v>
      </c>
      <c r="AH10" s="79">
        <v>-6200</v>
      </c>
      <c r="AI10" s="79">
        <v>-7440</v>
      </c>
      <c r="AJ10" s="80">
        <v>-178323.1</v>
      </c>
      <c r="AK10" s="79">
        <v>-100</v>
      </c>
      <c r="AL10" s="79">
        <v>1</v>
      </c>
      <c r="AM10" s="79">
        <v>1</v>
      </c>
      <c r="AN10" s="78" t="s">
        <v>28</v>
      </c>
      <c r="AO10" s="78" t="s">
        <v>54</v>
      </c>
      <c r="AP10" s="78" t="s">
        <v>69</v>
      </c>
      <c r="AQ10" s="78" t="s">
        <v>27</v>
      </c>
      <c r="AR10" s="79">
        <v>62</v>
      </c>
      <c r="AS10" s="79">
        <v>-1</v>
      </c>
      <c r="AT10" s="78" t="s">
        <v>55</v>
      </c>
      <c r="AU10" s="78" t="s">
        <v>56</v>
      </c>
      <c r="AV10" s="79"/>
      <c r="AW10" s="79">
        <v>-200</v>
      </c>
      <c r="AX10" s="79">
        <v>0</v>
      </c>
      <c r="AY10" s="79">
        <v>0</v>
      </c>
      <c r="AZ10" s="79">
        <v>-6200</v>
      </c>
      <c r="BA10" s="80">
        <v>-1.82</v>
      </c>
      <c r="BB10" s="78"/>
      <c r="BC10" s="79">
        <v>1</v>
      </c>
      <c r="BD10" s="79">
        <v>0</v>
      </c>
      <c r="BE10" s="78" t="s">
        <v>51</v>
      </c>
      <c r="BF10" s="78" t="s">
        <v>59</v>
      </c>
      <c r="BG10" s="78" t="s">
        <v>59</v>
      </c>
      <c r="BH10" s="78" t="s">
        <v>59</v>
      </c>
      <c r="BI10" s="78" t="s">
        <v>59</v>
      </c>
      <c r="BJ10" s="79">
        <v>0</v>
      </c>
      <c r="BK10" s="79">
        <v>0</v>
      </c>
      <c r="BL10" s="79">
        <v>0</v>
      </c>
      <c r="BM10" s="79">
        <v>0</v>
      </c>
      <c r="BN10" s="78"/>
      <c r="BO10" s="79">
        <v>0</v>
      </c>
      <c r="BP10" s="79">
        <v>0</v>
      </c>
      <c r="BQ10" s="78" t="s">
        <v>60</v>
      </c>
      <c r="BR10" s="78" t="s">
        <v>21</v>
      </c>
      <c r="BS10" s="79">
        <v>0</v>
      </c>
      <c r="BT10" s="79">
        <v>0</v>
      </c>
      <c r="BU10" s="78" t="s">
        <v>51</v>
      </c>
      <c r="BV10" s="78" t="s">
        <v>61</v>
      </c>
      <c r="BW10" s="79">
        <v>0</v>
      </c>
      <c r="BX10" s="79">
        <v>7440</v>
      </c>
      <c r="BY10" s="79">
        <v>7440</v>
      </c>
      <c r="BZ10" s="79">
        <v>62</v>
      </c>
      <c r="CA10" s="79">
        <v>74.400000000000006</v>
      </c>
      <c r="CB10" s="78"/>
      <c r="CC10" s="79">
        <v>0</v>
      </c>
      <c r="CD10" s="79">
        <v>-120</v>
      </c>
      <c r="CE10" s="79">
        <v>0</v>
      </c>
      <c r="CF10" s="80">
        <v>-600</v>
      </c>
      <c r="CG10" s="79">
        <v>-240</v>
      </c>
      <c r="CH10" s="80">
        <v>-12.73</v>
      </c>
      <c r="CI10" s="79">
        <v>0</v>
      </c>
      <c r="CJ10" s="79">
        <v>0</v>
      </c>
      <c r="CK10" s="81" t="b">
        <v>0</v>
      </c>
      <c r="CL10" s="78" t="s">
        <v>54</v>
      </c>
      <c r="CM10" s="78" t="s">
        <v>54</v>
      </c>
      <c r="CN10" s="79">
        <v>5756029</v>
      </c>
      <c r="CO10" s="78" t="s">
        <v>54</v>
      </c>
      <c r="CP10" s="78" t="s">
        <v>87</v>
      </c>
      <c r="CQ10" s="78" t="s">
        <v>88</v>
      </c>
      <c r="CR10" s="79"/>
      <c r="CS10" s="79">
        <v>60</v>
      </c>
      <c r="CT10" s="78" t="s">
        <v>54</v>
      </c>
      <c r="CU10" s="78" t="s">
        <v>54</v>
      </c>
      <c r="CV10" s="78" t="s">
        <v>54</v>
      </c>
      <c r="CW10" s="78" t="s">
        <v>54</v>
      </c>
      <c r="CX10" s="78" t="s">
        <v>54</v>
      </c>
      <c r="CY10" s="78" t="s">
        <v>63</v>
      </c>
      <c r="CZ10" s="78" t="s">
        <v>64</v>
      </c>
      <c r="DA10" s="79">
        <v>6200</v>
      </c>
      <c r="DB10" s="80">
        <v>1.61</v>
      </c>
      <c r="DC10" s="82"/>
      <c r="DD10" s="79">
        <v>-100</v>
      </c>
      <c r="DE10" s="79">
        <v>0</v>
      </c>
      <c r="DF10" s="79">
        <v>0</v>
      </c>
      <c r="DG10" s="79">
        <v>0</v>
      </c>
      <c r="DH10" s="79">
        <v>61</v>
      </c>
      <c r="DI10" s="80">
        <v>1.64</v>
      </c>
      <c r="DJ10" s="78" t="s">
        <v>28</v>
      </c>
      <c r="DK10" s="79">
        <v>-6100</v>
      </c>
      <c r="DL10" s="79">
        <v>-7320</v>
      </c>
      <c r="DM10" s="79">
        <v>1.2</v>
      </c>
      <c r="DN10" s="79">
        <v>1</v>
      </c>
      <c r="DO10" s="78" t="s">
        <v>89</v>
      </c>
      <c r="DP10" s="78" t="s">
        <v>69</v>
      </c>
      <c r="DQ10" s="78" t="s">
        <v>59</v>
      </c>
      <c r="DR10" s="78" t="s">
        <v>81</v>
      </c>
      <c r="DS10" s="78" t="s">
        <v>59</v>
      </c>
      <c r="DT10" s="78" t="s">
        <v>59</v>
      </c>
      <c r="DU10" s="78" t="s">
        <v>59</v>
      </c>
      <c r="DV10" s="78" t="s">
        <v>59</v>
      </c>
      <c r="DW10" s="78" t="s">
        <v>59</v>
      </c>
      <c r="DX10" s="78" t="s">
        <v>59</v>
      </c>
      <c r="DY10" s="78" t="s">
        <v>59</v>
      </c>
      <c r="DZ10" s="78" t="s">
        <v>84</v>
      </c>
      <c r="EA10" s="78" t="s">
        <v>68</v>
      </c>
      <c r="EB10" s="78" t="s">
        <v>59</v>
      </c>
      <c r="EC10" s="78" t="s">
        <v>59</v>
      </c>
      <c r="ED10" s="78" t="s">
        <v>36</v>
      </c>
      <c r="EE10" s="78" t="s">
        <v>68</v>
      </c>
      <c r="EF10" s="79">
        <v>1.2</v>
      </c>
      <c r="EG10" s="80">
        <v>-1783.23</v>
      </c>
      <c r="EH10" s="80">
        <v>1783.23</v>
      </c>
      <c r="EI10" s="80">
        <v>-1783.23</v>
      </c>
      <c r="EJ10" s="80">
        <v>1783.23</v>
      </c>
      <c r="EK10" s="80">
        <v>1783.23</v>
      </c>
      <c r="EL10" s="78" t="s">
        <v>69</v>
      </c>
      <c r="EM10" s="79">
        <v>7440</v>
      </c>
      <c r="EN10" s="79">
        <v>6200</v>
      </c>
      <c r="EO10" s="79">
        <v>0</v>
      </c>
      <c r="EP10" s="80">
        <v>-98.32</v>
      </c>
      <c r="EQ10" s="80">
        <v>1783.23</v>
      </c>
      <c r="ER10" s="79">
        <v>6200</v>
      </c>
      <c r="ES10" s="80">
        <v>417.22</v>
      </c>
      <c r="ET10" s="80">
        <v>-28.76</v>
      </c>
      <c r="EU10" s="80">
        <v>-1783.23</v>
      </c>
      <c r="EV10" s="78" t="s">
        <v>69</v>
      </c>
      <c r="EW10" s="80">
        <v>-40.799999999999997</v>
      </c>
      <c r="EX10" s="81" t="b">
        <v>0</v>
      </c>
      <c r="EY10" s="78" t="s">
        <v>54</v>
      </c>
      <c r="EZ10" s="78" t="s">
        <v>54</v>
      </c>
      <c r="FA10" s="65"/>
      <c r="FB10" s="65"/>
      <c r="FC10" s="65"/>
      <c r="FD10" s="65"/>
      <c r="FE10" s="65"/>
      <c r="FF10" s="65"/>
      <c r="FG10" s="65"/>
      <c r="FH10" s="65"/>
      <c r="FI10" s="65"/>
      <c r="FJ10" s="65"/>
    </row>
    <row r="11" spans="1:166" ht="15.75" customHeight="1">
      <c r="A11" s="61"/>
      <c r="B11" s="61"/>
      <c r="C11" s="78" t="s">
        <v>18</v>
      </c>
      <c r="D11" s="79">
        <v>50</v>
      </c>
      <c r="E11" s="78" t="s">
        <v>26</v>
      </c>
      <c r="F11" s="78" t="s">
        <v>82</v>
      </c>
      <c r="G11" s="79">
        <v>192</v>
      </c>
      <c r="H11" s="78" t="s">
        <v>47</v>
      </c>
      <c r="I11" s="79">
        <v>9700</v>
      </c>
      <c r="J11" s="80">
        <v>1.03</v>
      </c>
      <c r="K11" s="79">
        <v>9700</v>
      </c>
      <c r="L11" s="79">
        <v>9700</v>
      </c>
      <c r="M11" s="79">
        <v>29100</v>
      </c>
      <c r="N11" s="79">
        <v>100</v>
      </c>
      <c r="O11" s="78" t="s">
        <v>48</v>
      </c>
      <c r="P11" s="79">
        <v>192</v>
      </c>
      <c r="Q11" s="79">
        <v>100</v>
      </c>
      <c r="R11" s="78" t="s">
        <v>83</v>
      </c>
      <c r="S11" s="78" t="s">
        <v>50</v>
      </c>
      <c r="T11" s="78" t="s">
        <v>51</v>
      </c>
      <c r="U11" s="78" t="s">
        <v>52</v>
      </c>
      <c r="V11" s="78" t="s">
        <v>53</v>
      </c>
      <c r="W11" s="78" t="s">
        <v>33</v>
      </c>
      <c r="X11" s="79">
        <v>1</v>
      </c>
      <c r="Y11" s="79">
        <v>1</v>
      </c>
      <c r="Z11" s="78" t="s">
        <v>54</v>
      </c>
      <c r="AA11" s="78" t="s">
        <v>54</v>
      </c>
      <c r="AB11" s="79">
        <v>0</v>
      </c>
      <c r="AC11" s="80">
        <v>1.04</v>
      </c>
      <c r="AD11" s="79">
        <v>9700</v>
      </c>
      <c r="AE11" s="79">
        <v>9700</v>
      </c>
      <c r="AF11" s="79">
        <v>50</v>
      </c>
      <c r="AG11" s="79">
        <v>9700</v>
      </c>
      <c r="AH11" s="79">
        <v>9700</v>
      </c>
      <c r="AI11" s="79">
        <v>9700</v>
      </c>
      <c r="AJ11" s="80">
        <v>232491.14</v>
      </c>
      <c r="AK11" s="79">
        <v>100</v>
      </c>
      <c r="AL11" s="79">
        <v>1</v>
      </c>
      <c r="AM11" s="79">
        <v>1</v>
      </c>
      <c r="AN11" s="78" t="s">
        <v>19</v>
      </c>
      <c r="AO11" s="78" t="s">
        <v>54</v>
      </c>
      <c r="AP11" s="78" t="s">
        <v>47</v>
      </c>
      <c r="AQ11" s="78" t="s">
        <v>18</v>
      </c>
      <c r="AR11" s="79">
        <v>194</v>
      </c>
      <c r="AS11" s="79">
        <v>1</v>
      </c>
      <c r="AT11" s="78" t="s">
        <v>55</v>
      </c>
      <c r="AU11" s="78" t="s">
        <v>56</v>
      </c>
      <c r="AV11" s="79"/>
      <c r="AW11" s="79">
        <v>100</v>
      </c>
      <c r="AX11" s="79">
        <v>0</v>
      </c>
      <c r="AY11" s="79">
        <v>0</v>
      </c>
      <c r="AZ11" s="79">
        <v>9700</v>
      </c>
      <c r="BA11" s="80">
        <v>1.04</v>
      </c>
      <c r="BB11" s="78"/>
      <c r="BC11" s="79">
        <v>1</v>
      </c>
      <c r="BD11" s="79">
        <v>-9600</v>
      </c>
      <c r="BE11" s="78" t="s">
        <v>51</v>
      </c>
      <c r="BF11" s="78" t="s">
        <v>57</v>
      </c>
      <c r="BG11" s="78" t="s">
        <v>58</v>
      </c>
      <c r="BH11" s="78" t="s">
        <v>59</v>
      </c>
      <c r="BI11" s="79">
        <v>5</v>
      </c>
      <c r="BJ11" s="79">
        <v>0</v>
      </c>
      <c r="BK11" s="79">
        <v>0</v>
      </c>
      <c r="BL11" s="79">
        <v>0</v>
      </c>
      <c r="BM11" s="79">
        <v>0</v>
      </c>
      <c r="BN11" s="78"/>
      <c r="BO11" s="79">
        <v>-9600</v>
      </c>
      <c r="BP11" s="79">
        <v>0</v>
      </c>
      <c r="BQ11" s="78" t="s">
        <v>60</v>
      </c>
      <c r="BR11" s="78" t="s">
        <v>21</v>
      </c>
      <c r="BS11" s="79">
        <v>0</v>
      </c>
      <c r="BT11" s="79">
        <v>0</v>
      </c>
      <c r="BU11" s="78" t="s">
        <v>51</v>
      </c>
      <c r="BV11" s="78" t="s">
        <v>61</v>
      </c>
      <c r="BW11" s="79">
        <v>0</v>
      </c>
      <c r="BX11" s="79">
        <v>9700</v>
      </c>
      <c r="BY11" s="79">
        <v>9700</v>
      </c>
      <c r="BZ11" s="79">
        <v>194</v>
      </c>
      <c r="CA11" s="79">
        <v>194</v>
      </c>
      <c r="CB11" s="78"/>
      <c r="CC11" s="79">
        <v>0</v>
      </c>
      <c r="CD11" s="79">
        <v>100</v>
      </c>
      <c r="CE11" s="79">
        <v>0</v>
      </c>
      <c r="CF11" s="79">
        <v>0</v>
      </c>
      <c r="CG11" s="79">
        <v>100</v>
      </c>
      <c r="CH11" s="80">
        <v>1.04</v>
      </c>
      <c r="CI11" s="79">
        <v>0</v>
      </c>
      <c r="CJ11" s="79">
        <v>0</v>
      </c>
      <c r="CK11" s="81" t="b">
        <v>0</v>
      </c>
      <c r="CL11" s="78" t="s">
        <v>54</v>
      </c>
      <c r="CM11" s="78" t="s">
        <v>54</v>
      </c>
      <c r="CN11" s="78" t="s">
        <v>18</v>
      </c>
      <c r="CO11" s="78" t="s">
        <v>18</v>
      </c>
      <c r="CP11" s="78" t="s">
        <v>62</v>
      </c>
      <c r="CQ11" s="78" t="s">
        <v>54</v>
      </c>
      <c r="CR11" s="79"/>
      <c r="CS11" s="79">
        <v>192</v>
      </c>
      <c r="CT11" s="78" t="s">
        <v>54</v>
      </c>
      <c r="CU11" s="78" t="s">
        <v>54</v>
      </c>
      <c r="CV11" s="78" t="s">
        <v>54</v>
      </c>
      <c r="CW11" s="78" t="s">
        <v>54</v>
      </c>
      <c r="CX11" s="78" t="s">
        <v>54</v>
      </c>
      <c r="CY11" s="78" t="s">
        <v>63</v>
      </c>
      <c r="CZ11" s="78" t="s">
        <v>64</v>
      </c>
      <c r="DA11" s="79">
        <v>9700</v>
      </c>
      <c r="DB11" s="80">
        <v>1.03</v>
      </c>
      <c r="DC11" s="82"/>
      <c r="DD11" s="79">
        <v>50</v>
      </c>
      <c r="DE11" s="79">
        <v>0</v>
      </c>
      <c r="DF11" s="79">
        <v>0</v>
      </c>
      <c r="DG11" s="79">
        <v>0</v>
      </c>
      <c r="DH11" s="79">
        <v>192</v>
      </c>
      <c r="DI11" s="80">
        <v>1.04</v>
      </c>
      <c r="DJ11" s="78" t="s">
        <v>19</v>
      </c>
      <c r="DK11" s="79">
        <v>0</v>
      </c>
      <c r="DL11" s="79">
        <v>0</v>
      </c>
      <c r="DM11" s="79">
        <v>1</v>
      </c>
      <c r="DN11" s="79">
        <v>2</v>
      </c>
      <c r="DO11" s="78" t="s">
        <v>54</v>
      </c>
      <c r="DP11" s="78" t="s">
        <v>47</v>
      </c>
      <c r="DQ11" s="78" t="s">
        <v>65</v>
      </c>
      <c r="DR11" s="78" t="s">
        <v>66</v>
      </c>
      <c r="DS11" s="78" t="s">
        <v>65</v>
      </c>
      <c r="DT11" s="78" t="s">
        <v>65</v>
      </c>
      <c r="DU11" s="78" t="s">
        <v>67</v>
      </c>
      <c r="DV11" s="78" t="s">
        <v>65</v>
      </c>
      <c r="DW11" s="78" t="s">
        <v>65</v>
      </c>
      <c r="DX11" s="78" t="s">
        <v>65</v>
      </c>
      <c r="DY11" s="78" t="s">
        <v>65</v>
      </c>
      <c r="DZ11" s="78" t="s">
        <v>48</v>
      </c>
      <c r="EA11" s="78" t="s">
        <v>67</v>
      </c>
      <c r="EB11" s="78" t="s">
        <v>65</v>
      </c>
      <c r="EC11" s="78" t="s">
        <v>65</v>
      </c>
      <c r="ED11" s="78" t="s">
        <v>33</v>
      </c>
      <c r="EE11" s="78" t="s">
        <v>68</v>
      </c>
      <c r="EF11" s="79">
        <v>0</v>
      </c>
      <c r="EG11" s="80">
        <v>2324.91</v>
      </c>
      <c r="EH11" s="80">
        <v>2324.91</v>
      </c>
      <c r="EI11" s="80">
        <v>2324.91</v>
      </c>
      <c r="EJ11" s="80">
        <v>6974.73</v>
      </c>
      <c r="EK11" s="80">
        <v>6974.73</v>
      </c>
      <c r="EL11" s="78" t="s">
        <v>47</v>
      </c>
      <c r="EM11" s="79">
        <v>29100</v>
      </c>
      <c r="EN11" s="79">
        <v>29100</v>
      </c>
      <c r="EO11" s="79">
        <v>0</v>
      </c>
      <c r="EP11" s="80">
        <v>-98.32</v>
      </c>
      <c r="EQ11" s="80">
        <v>2324.91</v>
      </c>
      <c r="ER11" s="79">
        <v>29100</v>
      </c>
      <c r="ES11" s="80">
        <v>417.22</v>
      </c>
      <c r="ET11" s="80">
        <v>23.97</v>
      </c>
      <c r="EU11" s="80">
        <v>2324.91</v>
      </c>
      <c r="EV11" s="78" t="s">
        <v>47</v>
      </c>
      <c r="EW11" s="80">
        <v>-40.799999999999997</v>
      </c>
      <c r="EX11" s="81" t="b">
        <v>0</v>
      </c>
      <c r="EY11" s="78" t="s">
        <v>54</v>
      </c>
      <c r="EZ11" s="78" t="s">
        <v>54</v>
      </c>
      <c r="FA11" s="65"/>
      <c r="FB11" s="65"/>
      <c r="FC11" s="65"/>
      <c r="FD11" s="65"/>
      <c r="FE11" s="65"/>
      <c r="FF11" s="65"/>
      <c r="FG11" s="65"/>
      <c r="FH11" s="65"/>
      <c r="FI11" s="65"/>
      <c r="FJ11" s="65"/>
    </row>
    <row r="12" spans="1:166" ht="15.75" customHeight="1">
      <c r="A12" s="61"/>
      <c r="B12" s="61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65"/>
      <c r="FB12" s="65"/>
      <c r="FC12" s="65"/>
      <c r="FD12" s="65"/>
      <c r="FE12" s="65"/>
      <c r="FF12" s="65"/>
      <c r="FG12" s="65"/>
      <c r="FH12" s="65"/>
      <c r="FI12" s="65"/>
      <c r="FJ12" s="65"/>
    </row>
    <row r="13" spans="1:166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</row>
    <row r="14" spans="1:166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</row>
    <row r="15" spans="1:166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</row>
    <row r="16" spans="1:16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</row>
    <row r="17" spans="1:166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</row>
    <row r="18" spans="1:166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</row>
    <row r="19" spans="1:166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</row>
    <row r="20" spans="1:166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</row>
    <row r="21" spans="1:166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</row>
    <row r="22" spans="1:16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</row>
    <row r="23" spans="1:166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</row>
    <row r="24" spans="1:166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</row>
    <row r="25" spans="1:166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</row>
    <row r="26" spans="1:16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</row>
    <row r="27" spans="1:166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</row>
    <row r="28" spans="1:166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</row>
    <row r="29" spans="1:166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</row>
    <row r="30" spans="1:166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</row>
    <row r="31" spans="1:166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</row>
    <row r="32" spans="1:166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</row>
    <row r="33" spans="1:166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</row>
    <row r="34" spans="1:166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</row>
    <row r="35" spans="1:166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</row>
    <row r="36" spans="1:16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</row>
    <row r="37" spans="1:166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</row>
    <row r="38" spans="1:166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</row>
    <row r="39" spans="1:166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</row>
    <row r="40" spans="1:166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</row>
    <row r="41" spans="1:166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</row>
    <row r="42" spans="1:166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</row>
    <row r="43" spans="1:166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</row>
    <row r="44" spans="1:166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</row>
    <row r="45" spans="1:166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</row>
    <row r="46" spans="1:16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</row>
    <row r="47" spans="1:166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</row>
    <row r="48" spans="1:166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</row>
    <row r="49" spans="1:166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</row>
    <row r="50" spans="1:166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</row>
    <row r="51" spans="1:166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</row>
    <row r="52" spans="1:166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</row>
    <row r="53" spans="1:166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</row>
    <row r="54" spans="1:166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</row>
    <row r="55" spans="1:166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</row>
    <row r="56" spans="1:16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</row>
    <row r="57" spans="1:166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</row>
    <row r="58" spans="1:166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</row>
    <row r="59" spans="1:166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</row>
    <row r="60" spans="1:166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</row>
    <row r="61" spans="1:166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</row>
    <row r="62" spans="1:166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</row>
    <row r="63" spans="1:166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</row>
    <row r="64" spans="1:166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</row>
    <row r="65" spans="1:166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</row>
    <row r="66" spans="1:1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</row>
    <row r="67" spans="1:166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</row>
    <row r="68" spans="1:166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</row>
    <row r="69" spans="1:166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</row>
    <row r="70" spans="1:166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</row>
    <row r="71" spans="1:166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</row>
    <row r="72" spans="1:166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</row>
    <row r="73" spans="1:166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</row>
    <row r="74" spans="1:166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</row>
    <row r="75" spans="1:166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</row>
    <row r="76" spans="1:16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</row>
    <row r="77" spans="1:166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</row>
    <row r="78" spans="1:166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</row>
    <row r="79" spans="1:166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</row>
    <row r="80" spans="1:166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</row>
    <row r="81" spans="1:166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</row>
    <row r="82" spans="1:166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</row>
    <row r="83" spans="1:166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</row>
    <row r="84" spans="1:166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</row>
    <row r="85" spans="1:166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</row>
    <row r="86" spans="1:16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</row>
    <row r="87" spans="1:166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</row>
    <row r="88" spans="1:166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</row>
    <row r="89" spans="1:166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</row>
    <row r="90" spans="1:166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</row>
    <row r="91" spans="1:166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</row>
    <row r="92" spans="1:166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</row>
    <row r="93" spans="1:166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</row>
    <row r="94" spans="1:166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</row>
    <row r="95" spans="1:166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</row>
    <row r="96" spans="1:16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</row>
    <row r="97" spans="1:166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</row>
    <row r="98" spans="1:166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</row>
    <row r="99" spans="1:166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</row>
    <row r="100" spans="1:166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6.42578125" customWidth="1"/>
    <col min="3" max="3" width="17.710937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2" width="23.42578125" customWidth="1"/>
    <col min="13" max="16" width="14.42578125" customWidth="1"/>
    <col min="17" max="17" width="18.140625" customWidth="1"/>
    <col min="18" max="18" width="16.7109375" customWidth="1"/>
    <col min="19" max="19" width="18.5703125" customWidth="1"/>
    <col min="20" max="20" width="18.42578125" customWidth="1"/>
    <col min="21" max="21" width="21.5703125" customWidth="1"/>
    <col min="22" max="22" width="14.42578125" customWidth="1"/>
    <col min="23" max="23" width="18.7109375" customWidth="1"/>
    <col min="24" max="25" width="14.42578125" customWidth="1"/>
    <col min="26" max="26" width="20.28515625" customWidth="1"/>
    <col min="27" max="27" width="21" customWidth="1"/>
    <col min="28" max="28" width="26.85546875" customWidth="1"/>
    <col min="29" max="29" width="21.28515625" customWidth="1"/>
    <col min="30" max="30" width="18.7109375" customWidth="1"/>
    <col min="31" max="31" width="39.140625" customWidth="1"/>
    <col min="32" max="32" width="19.7109375" customWidth="1"/>
    <col min="33" max="33" width="31.140625" customWidth="1"/>
    <col min="34" max="34" width="14.42578125" customWidth="1"/>
    <col min="35" max="35" width="19" customWidth="1"/>
    <col min="36" max="43" width="14.42578125" customWidth="1"/>
    <col min="44" max="44" width="23.7109375" customWidth="1"/>
    <col min="45" max="45" width="18.7109375" customWidth="1"/>
    <col min="46" max="46" width="17.85546875" customWidth="1"/>
    <col min="47" max="47" width="25.28515625" customWidth="1"/>
    <col min="48" max="48" width="18.28515625" customWidth="1"/>
    <col min="49" max="49" width="17.140625" customWidth="1"/>
    <col min="50" max="50" width="14.42578125" customWidth="1"/>
    <col min="51" max="51" width="21.5703125" customWidth="1"/>
    <col min="52" max="52" width="14.42578125" customWidth="1"/>
    <col min="53" max="53" width="17.5703125" customWidth="1"/>
    <col min="54" max="54" width="14.85546875" customWidth="1"/>
    <col min="55" max="55" width="19.7109375" customWidth="1"/>
    <col min="56" max="56" width="17.42578125" customWidth="1"/>
    <col min="57" max="57" width="20.140625" customWidth="1"/>
    <col min="58" max="154" width="14.42578125" customWidth="1"/>
  </cols>
  <sheetData>
    <row r="1" spans="1:154" ht="15.75" customHeight="1">
      <c r="A1" s="54"/>
      <c r="B1" s="93" t="s">
        <v>11</v>
      </c>
      <c r="C1" s="90"/>
      <c r="D1" s="90"/>
      <c r="E1" s="90"/>
      <c r="F1" s="90"/>
      <c r="G1" s="90"/>
      <c r="H1" s="91"/>
      <c r="I1" s="54"/>
      <c r="J1" s="54"/>
      <c r="K1" s="54"/>
      <c r="L1" s="54"/>
      <c r="M1" s="54"/>
      <c r="N1" s="54"/>
      <c r="O1" s="54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</row>
    <row r="2" spans="1:154" ht="15.75" customHeight="1">
      <c r="A2" s="61"/>
      <c r="B2" s="61"/>
      <c r="C2" s="61"/>
      <c r="D2" s="61"/>
      <c r="E2" s="61"/>
      <c r="F2" s="61"/>
      <c r="G2" s="61"/>
      <c r="H2" s="61"/>
      <c r="I2" s="61"/>
      <c r="J2" s="64" t="e">
        <f>VLOOKUP($E$3,_MasterData!B4:D1000,3,FALSE)</f>
        <v>#N/A</v>
      </c>
      <c r="K2" s="64"/>
      <c r="L2" s="61"/>
      <c r="M2" s="61"/>
      <c r="N2" s="61"/>
      <c r="O2" s="61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</row>
    <row r="3" spans="1:154" ht="15.75" customHeight="1">
      <c r="A3" s="66"/>
      <c r="B3" s="67" t="s">
        <v>7</v>
      </c>
      <c r="C3" s="68" t="s">
        <v>43</v>
      </c>
      <c r="D3" s="67" t="s">
        <v>8</v>
      </c>
      <c r="E3" s="68" t="s">
        <v>45</v>
      </c>
      <c r="F3" s="67" t="s">
        <v>15</v>
      </c>
      <c r="G3" s="69" t="s">
        <v>16</v>
      </c>
      <c r="H3" s="67"/>
      <c r="I3" s="66"/>
      <c r="J3" s="66"/>
      <c r="K3" s="66"/>
      <c r="L3" s="66"/>
      <c r="M3" s="66"/>
      <c r="N3" s="66"/>
      <c r="O3" s="66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</row>
    <row r="4" spans="1:154" ht="15.75" customHeight="1">
      <c r="A4" s="71"/>
      <c r="B4" s="71" t="str">
        <f ca="1">IFERROR(__xludf.DUMMYFUNCTION("IF(C3="""","""",Transpose(IMPORTRANGE('_Settings'!$B$3,C3&amp;""!A4:A1000"")))"),"CheckDashboardPM")</f>
        <v>CheckDashboardPM</v>
      </c>
      <c r="C4" s="71" t="str">
        <f ca="1">IFERROR(__xludf.DUMMYFUNCTION("""COMPUTED_VALUE"""),"CheckPortfolioManagement")</f>
        <v>CheckPortfolioManagement</v>
      </c>
      <c r="D4" s="71" t="str">
        <f ca="1">IFERROR(__xludf.DUMMYFUNCTION("""COMPUTED_VALUE"""),"OpenPSTFromPM")</f>
        <v>OpenPSTFromPM</v>
      </c>
      <c r="E4" s="71" t="str">
        <f ca="1">IFERROR(__xludf.DUMMYFUNCTION("""COMPUTED_VALUE"""),"ClosePM")</f>
        <v>ClosePM</v>
      </c>
      <c r="F4" s="71" t="str">
        <f ca="1">IFERROR(__xludf.DUMMYFUNCTION("""COMPUTED_VALUE"""),"FilterPM")</f>
        <v>FilterPM</v>
      </c>
      <c r="G4" s="71" t="str">
        <f ca="1">IFERROR(__xludf.DUMMYFUNCTION("""COMPUTED_VALUE"""),"GroupRowPM")</f>
        <v>GroupRowPM</v>
      </c>
      <c r="H4" s="71" t="str">
        <f ca="1">IFERROR(__xludf.DUMMYFUNCTION("""COMPUTED_VALUE"""),"CheckDashboardWithPM")</f>
        <v>CheckDashboardWithPM</v>
      </c>
      <c r="I4" s="71" t="str">
        <f ca="1">IFERROR(__xludf.DUMMYFUNCTION("""COMPUTED_VALUE"""),"RemoveFilterPM")</f>
        <v>RemoveFilterPM</v>
      </c>
      <c r="J4" s="71" t="str">
        <f ca="1">IFERROR(__xludf.DUMMYFUNCTION("""COMPUTED_VALUE"""),"CheckSummaryRowsPM")</f>
        <v>CheckSummaryRowsPM</v>
      </c>
      <c r="K4" s="71" t="str">
        <f ca="1">IFERROR(__xludf.DUMMYFUNCTION("""COMPUTED_VALUE"""),"OpenPTTFromPM")</f>
        <v>OpenPTTFromPM</v>
      </c>
      <c r="L4" s="71" t="str">
        <f ca="1">IFERROR(__xludf.DUMMYFUNCTION("""COMPUTED_VALUE"""),"OpenCreateTransactionFromPM")</f>
        <v>OpenCreateTransactionFromPM</v>
      </c>
      <c r="M4" s="71" t="str">
        <f ca="1">IFERROR(__xludf.DUMMYFUNCTION("""COMPUTED_VALUE"""),"OpenClosingFromPM")</f>
        <v>OpenClosingFromPM</v>
      </c>
      <c r="N4" s="71" t="str">
        <f ca="1">IFERROR(__xludf.DUMMYFUNCTION("""COMPUTED_VALUE"""),"OpenCorporateActionFromPM")</f>
        <v>OpenCorporateActionFromPM</v>
      </c>
      <c r="O4" s="71" t="str">
        <f ca="1">IFERROR(__xludf.DUMMYFUNCTION("""COMPUTED_VALUE"""),"OpenDailyValuationFromPM")</f>
        <v>OpenDailyValuationFromPM</v>
      </c>
      <c r="P4" s="72" t="str">
        <f ca="1">IFERROR(__xludf.DUMMYFUNCTION("""COMPUTED_VALUE"""),"ClosePositionFromPM")</f>
        <v>ClosePositionFromPM</v>
      </c>
      <c r="Q4" s="72" t="str">
        <f ca="1">IFERROR(__xludf.DUMMYFUNCTION("""COMPUTED_VALUE"""),"ShowSummaryToolFromPM")</f>
        <v>ShowSummaryToolFromPM</v>
      </c>
      <c r="R4" s="72" t="str">
        <f ca="1">IFERROR(__xludf.DUMMYFUNCTION("""COMPUTED_VALUE"""),"HideSummaryToolFromPM")</f>
        <v>HideSummaryToolFromPM</v>
      </c>
      <c r="S4" s="72" t="str">
        <f ca="1">IFERROR(__xludf.DUMMYFUNCTION("""COMPUTED_VALUE"""),"CloseAccountPositionFromPM")</f>
        <v>CloseAccountPositionFromPM</v>
      </c>
      <c r="T4" s="72" t="str">
        <f ca="1">IFERROR(__xludf.DUMMYFUNCTION("""COMPUTED_VALUE"""),"CloseSelectedTaxlotsFromPM")</f>
        <v>CloseSelectedTaxlotsFromPM</v>
      </c>
      <c r="U4" s="72" t="str">
        <f ca="1">IFERROR(__xludf.DUMMYFUNCTION("""COMPUTED_VALUE"""),"ExpandCollapsePM")</f>
        <v>ExpandCollapsePM</v>
      </c>
      <c r="V4" s="72" t="str">
        <f ca="1">IFERROR(__xludf.DUMMYFUNCTION("""COMPUTED_VALUE"""),"AddCustomViewPM")</f>
        <v>AddCustomViewPM</v>
      </c>
      <c r="W4" s="72" t="str">
        <f ca="1">IFERROR(__xludf.DUMMYFUNCTION("""COMPUTED_VALUE"""),"AddCustomViewRightClickPM")</f>
        <v>AddCustomViewRightClickPM</v>
      </c>
      <c r="X4" s="72" t="str">
        <f ca="1">IFERROR(__xludf.DUMMYFUNCTION("""COMPUTED_VALUE"""),"RenameCustomViewPM")</f>
        <v>RenameCustomViewPM</v>
      </c>
      <c r="Y4" s="72" t="str">
        <f ca="1">IFERROR(__xludf.DUMMYFUNCTION("""COMPUTED_VALUE"""),"DeleteCustomViewPM")</f>
        <v>DeleteCustomViewPM</v>
      </c>
      <c r="Z4" s="72" t="str">
        <f ca="1">IFERROR(__xludf.DUMMYFUNCTION("""COMPUTED_VALUE"""),"")</f>
        <v/>
      </c>
      <c r="AA4" s="72" t="str">
        <f ca="1">IFERROR(__xludf.DUMMYFUNCTION("""COMPUTED_VALUE"""),"")</f>
        <v/>
      </c>
      <c r="AB4" s="72" t="str">
        <f ca="1">IFERROR(__xludf.DUMMYFUNCTION("""COMPUTED_VALUE"""),"")</f>
        <v/>
      </c>
      <c r="AC4" s="72" t="str">
        <f ca="1">IFERROR(__xludf.DUMMYFUNCTION("""COMPUTED_VALUE"""),"")</f>
        <v/>
      </c>
      <c r="AD4" s="72" t="str">
        <f ca="1">IFERROR(__xludf.DUMMYFUNCTION("""COMPUTED_VALUE"""),"")</f>
        <v/>
      </c>
      <c r="AE4" s="72" t="str">
        <f ca="1">IFERROR(__xludf.DUMMYFUNCTION("""COMPUTED_VALUE"""),"")</f>
        <v/>
      </c>
      <c r="AF4" s="72" t="str">
        <f ca="1">IFERROR(__xludf.DUMMYFUNCTION("""COMPUTED_VALUE"""),"")</f>
        <v/>
      </c>
      <c r="AG4" s="72" t="str">
        <f ca="1">IFERROR(__xludf.DUMMYFUNCTION("""COMPUTED_VALUE"""),"")</f>
        <v/>
      </c>
      <c r="AH4" s="72" t="str">
        <f ca="1">IFERROR(__xludf.DUMMYFUNCTION("""COMPUTED_VALUE"""),"")</f>
        <v/>
      </c>
      <c r="AI4" s="72" t="str">
        <f ca="1">IFERROR(__xludf.DUMMYFUNCTION("""COMPUTED_VALUE"""),"")</f>
        <v/>
      </c>
      <c r="AJ4" s="72" t="str">
        <f ca="1">IFERROR(__xludf.DUMMYFUNCTION("""COMPUTED_VALUE"""),"")</f>
        <v/>
      </c>
      <c r="AK4" s="72" t="str">
        <f ca="1">IFERROR(__xludf.DUMMYFUNCTION("""COMPUTED_VALUE"""),"")</f>
        <v/>
      </c>
      <c r="AL4" s="72" t="str">
        <f ca="1">IFERROR(__xludf.DUMMYFUNCTION("""COMPUTED_VALUE"""),"")</f>
        <v/>
      </c>
      <c r="AM4" s="72" t="str">
        <f ca="1">IFERROR(__xludf.DUMMYFUNCTION("""COMPUTED_VALUE"""),"")</f>
        <v/>
      </c>
      <c r="AN4" s="72" t="str">
        <f ca="1">IFERROR(__xludf.DUMMYFUNCTION("""COMPUTED_VALUE"""),"")</f>
        <v/>
      </c>
      <c r="AO4" s="72" t="str">
        <f ca="1">IFERROR(__xludf.DUMMYFUNCTION("""COMPUTED_VALUE"""),"")</f>
        <v/>
      </c>
      <c r="AP4" s="72" t="str">
        <f ca="1">IFERROR(__xludf.DUMMYFUNCTION("""COMPUTED_VALUE"""),"")</f>
        <v/>
      </c>
      <c r="AQ4" s="72" t="str">
        <f ca="1">IFERROR(__xludf.DUMMYFUNCTION("""COMPUTED_VALUE"""),"")</f>
        <v/>
      </c>
      <c r="AR4" s="72" t="str">
        <f ca="1">IFERROR(__xludf.DUMMYFUNCTION("""COMPUTED_VALUE"""),"")</f>
        <v/>
      </c>
      <c r="AS4" s="72" t="str">
        <f ca="1">IFERROR(__xludf.DUMMYFUNCTION("""COMPUTED_VALUE"""),"")</f>
        <v/>
      </c>
      <c r="AT4" s="72" t="str">
        <f ca="1">IFERROR(__xludf.DUMMYFUNCTION("""COMPUTED_VALUE"""),"")</f>
        <v/>
      </c>
      <c r="AU4" s="72" t="str">
        <f ca="1">IFERROR(__xludf.DUMMYFUNCTION("""COMPUTED_VALUE"""),"")</f>
        <v/>
      </c>
      <c r="AV4" s="72" t="str">
        <f ca="1">IFERROR(__xludf.DUMMYFUNCTION("""COMPUTED_VALUE"""),"")</f>
        <v/>
      </c>
      <c r="AW4" s="72" t="str">
        <f ca="1">IFERROR(__xludf.DUMMYFUNCTION("""COMPUTED_VALUE"""),"")</f>
        <v/>
      </c>
      <c r="AX4" s="72" t="str">
        <f ca="1">IFERROR(__xludf.DUMMYFUNCTION("""COMPUTED_VALUE"""),"")</f>
        <v/>
      </c>
      <c r="AY4" s="72" t="str">
        <f ca="1">IFERROR(__xludf.DUMMYFUNCTION("""COMPUTED_VALUE"""),"")</f>
        <v/>
      </c>
      <c r="AZ4" s="72" t="str">
        <f ca="1">IFERROR(__xludf.DUMMYFUNCTION("""COMPUTED_VALUE"""),"")</f>
        <v/>
      </c>
      <c r="BA4" s="72" t="str">
        <f ca="1">IFERROR(__xludf.DUMMYFUNCTION("""COMPUTED_VALUE"""),"")</f>
        <v/>
      </c>
      <c r="BB4" s="72" t="str">
        <f ca="1">IFERROR(__xludf.DUMMYFUNCTION("""COMPUTED_VALUE"""),"")</f>
        <v/>
      </c>
      <c r="BC4" s="72" t="str">
        <f ca="1">IFERROR(__xludf.DUMMYFUNCTION("""COMPUTED_VALUE"""),"")</f>
        <v/>
      </c>
      <c r="BD4" s="72" t="str">
        <f ca="1">IFERROR(__xludf.DUMMYFUNCTION("""COMPUTED_VALUE"""),"")</f>
        <v/>
      </c>
      <c r="BE4" s="72" t="str">
        <f ca="1">IFERROR(__xludf.DUMMYFUNCTION("""COMPUTED_VALUE"""),"")</f>
        <v/>
      </c>
      <c r="BF4" s="72" t="str">
        <f ca="1">IFERROR(__xludf.DUMMYFUNCTION("""COMPUTED_VALUE"""),"")</f>
        <v/>
      </c>
      <c r="BG4" s="72" t="str">
        <f ca="1">IFERROR(__xludf.DUMMYFUNCTION("""COMPUTED_VALUE"""),"")</f>
        <v/>
      </c>
      <c r="BH4" s="72" t="str">
        <f ca="1">IFERROR(__xludf.DUMMYFUNCTION("""COMPUTED_VALUE"""),"")</f>
        <v/>
      </c>
      <c r="BI4" s="72" t="str">
        <f ca="1">IFERROR(__xludf.DUMMYFUNCTION("""COMPUTED_VALUE"""),"")</f>
        <v/>
      </c>
      <c r="BJ4" s="72" t="str">
        <f ca="1">IFERROR(__xludf.DUMMYFUNCTION("""COMPUTED_VALUE"""),"")</f>
        <v/>
      </c>
      <c r="BK4" s="72" t="str">
        <f ca="1">IFERROR(__xludf.DUMMYFUNCTION("""COMPUTED_VALUE"""),"")</f>
        <v/>
      </c>
      <c r="BL4" s="72" t="str">
        <f ca="1">IFERROR(__xludf.DUMMYFUNCTION("""COMPUTED_VALUE"""),"")</f>
        <v/>
      </c>
      <c r="BM4" s="72" t="str">
        <f ca="1">IFERROR(__xludf.DUMMYFUNCTION("""COMPUTED_VALUE"""),"")</f>
        <v/>
      </c>
      <c r="BN4" s="72" t="str">
        <f ca="1">IFERROR(__xludf.DUMMYFUNCTION("""COMPUTED_VALUE"""),"")</f>
        <v/>
      </c>
      <c r="BO4" s="72" t="str">
        <f ca="1">IFERROR(__xludf.DUMMYFUNCTION("""COMPUTED_VALUE"""),"")</f>
        <v/>
      </c>
      <c r="BP4" s="72" t="str">
        <f ca="1">IFERROR(__xludf.DUMMYFUNCTION("""COMPUTED_VALUE"""),"")</f>
        <v/>
      </c>
      <c r="BQ4" s="72" t="str">
        <f ca="1">IFERROR(__xludf.DUMMYFUNCTION("""COMPUTED_VALUE"""),"")</f>
        <v/>
      </c>
      <c r="BR4" s="72" t="str">
        <f ca="1">IFERROR(__xludf.DUMMYFUNCTION("""COMPUTED_VALUE"""),"")</f>
        <v/>
      </c>
      <c r="BS4" s="72" t="str">
        <f ca="1">IFERROR(__xludf.DUMMYFUNCTION("""COMPUTED_VALUE"""),"")</f>
        <v/>
      </c>
      <c r="BT4" s="72" t="str">
        <f ca="1">IFERROR(__xludf.DUMMYFUNCTION("""COMPUTED_VALUE"""),"")</f>
        <v/>
      </c>
      <c r="BU4" s="72" t="str">
        <f ca="1">IFERROR(__xludf.DUMMYFUNCTION("""COMPUTED_VALUE"""),"")</f>
        <v/>
      </c>
      <c r="BV4" s="72" t="str">
        <f ca="1">IFERROR(__xludf.DUMMYFUNCTION("""COMPUTED_VALUE"""),"")</f>
        <v/>
      </c>
      <c r="BW4" s="72" t="str">
        <f ca="1">IFERROR(__xludf.DUMMYFUNCTION("""COMPUTED_VALUE"""),"")</f>
        <v/>
      </c>
      <c r="BX4" s="72" t="str">
        <f ca="1">IFERROR(__xludf.DUMMYFUNCTION("""COMPUTED_VALUE"""),"")</f>
        <v/>
      </c>
      <c r="BY4" s="72" t="str">
        <f ca="1">IFERROR(__xludf.DUMMYFUNCTION("""COMPUTED_VALUE"""),"")</f>
        <v/>
      </c>
      <c r="BZ4" s="72" t="str">
        <f ca="1">IFERROR(__xludf.DUMMYFUNCTION("""COMPUTED_VALUE"""),"")</f>
        <v/>
      </c>
      <c r="CA4" s="72" t="str">
        <f ca="1">IFERROR(__xludf.DUMMYFUNCTION("""COMPUTED_VALUE"""),"")</f>
        <v/>
      </c>
      <c r="CB4" s="72" t="str">
        <f ca="1">IFERROR(__xludf.DUMMYFUNCTION("""COMPUTED_VALUE"""),"")</f>
        <v/>
      </c>
      <c r="CC4" s="72" t="str">
        <f ca="1">IFERROR(__xludf.DUMMYFUNCTION("""COMPUTED_VALUE"""),"")</f>
        <v/>
      </c>
      <c r="CD4" s="72" t="str">
        <f ca="1">IFERROR(__xludf.DUMMYFUNCTION("""COMPUTED_VALUE"""),"")</f>
        <v/>
      </c>
      <c r="CE4" s="72" t="str">
        <f ca="1">IFERROR(__xludf.DUMMYFUNCTION("""COMPUTED_VALUE"""),"")</f>
        <v/>
      </c>
      <c r="CF4" s="72" t="str">
        <f ca="1">IFERROR(__xludf.DUMMYFUNCTION("""COMPUTED_VALUE"""),"")</f>
        <v/>
      </c>
      <c r="CG4" s="72" t="str">
        <f ca="1">IFERROR(__xludf.DUMMYFUNCTION("""COMPUTED_VALUE"""),"")</f>
        <v/>
      </c>
      <c r="CH4" s="72" t="str">
        <f ca="1">IFERROR(__xludf.DUMMYFUNCTION("""COMPUTED_VALUE"""),"")</f>
        <v/>
      </c>
      <c r="CI4" s="72" t="str">
        <f ca="1">IFERROR(__xludf.DUMMYFUNCTION("""COMPUTED_VALUE"""),"")</f>
        <v/>
      </c>
      <c r="CJ4" s="72" t="str">
        <f ca="1">IFERROR(__xludf.DUMMYFUNCTION("""COMPUTED_VALUE"""),"")</f>
        <v/>
      </c>
      <c r="CK4" s="72" t="str">
        <f ca="1">IFERROR(__xludf.DUMMYFUNCTION("""COMPUTED_VALUE"""),"")</f>
        <v/>
      </c>
      <c r="CL4" s="72" t="str">
        <f ca="1">IFERROR(__xludf.DUMMYFUNCTION("""COMPUTED_VALUE"""),"")</f>
        <v/>
      </c>
      <c r="CM4" s="72" t="str">
        <f ca="1">IFERROR(__xludf.DUMMYFUNCTION("""COMPUTED_VALUE"""),"")</f>
        <v/>
      </c>
      <c r="CN4" s="72" t="str">
        <f ca="1">IFERROR(__xludf.DUMMYFUNCTION("""COMPUTED_VALUE"""),"")</f>
        <v/>
      </c>
      <c r="CO4" s="72" t="str">
        <f ca="1">IFERROR(__xludf.DUMMYFUNCTION("""COMPUTED_VALUE"""),"")</f>
        <v/>
      </c>
      <c r="CP4" s="72" t="str">
        <f ca="1">IFERROR(__xludf.DUMMYFUNCTION("""COMPUTED_VALUE"""),"")</f>
        <v/>
      </c>
      <c r="CQ4" s="72" t="str">
        <f ca="1">IFERROR(__xludf.DUMMYFUNCTION("""COMPUTED_VALUE"""),"")</f>
        <v/>
      </c>
      <c r="CR4" s="72" t="str">
        <f ca="1">IFERROR(__xludf.DUMMYFUNCTION("""COMPUTED_VALUE"""),"")</f>
        <v/>
      </c>
      <c r="CS4" s="72" t="str">
        <f ca="1">IFERROR(__xludf.DUMMYFUNCTION("""COMPUTED_VALUE"""),"")</f>
        <v/>
      </c>
      <c r="CT4" s="72" t="str">
        <f ca="1">IFERROR(__xludf.DUMMYFUNCTION("""COMPUTED_VALUE"""),"")</f>
        <v/>
      </c>
      <c r="CU4" s="72" t="str">
        <f ca="1">IFERROR(__xludf.DUMMYFUNCTION("""COMPUTED_VALUE"""),"")</f>
        <v/>
      </c>
      <c r="CV4" s="72" t="str">
        <f ca="1">IFERROR(__xludf.DUMMYFUNCTION("""COMPUTED_VALUE"""),"")</f>
        <v/>
      </c>
      <c r="CW4" s="72" t="str">
        <f ca="1">IFERROR(__xludf.DUMMYFUNCTION("""COMPUTED_VALUE"""),"")</f>
        <v/>
      </c>
      <c r="CX4" s="72" t="str">
        <f ca="1">IFERROR(__xludf.DUMMYFUNCTION("""COMPUTED_VALUE"""),"")</f>
        <v/>
      </c>
      <c r="CY4" s="72" t="str">
        <f ca="1">IFERROR(__xludf.DUMMYFUNCTION("""COMPUTED_VALUE"""),"")</f>
        <v/>
      </c>
      <c r="CZ4" s="72" t="str">
        <f ca="1">IFERROR(__xludf.DUMMYFUNCTION("""COMPUTED_VALUE"""),"")</f>
        <v/>
      </c>
      <c r="DA4" s="72" t="str">
        <f ca="1">IFERROR(__xludf.DUMMYFUNCTION("""COMPUTED_VALUE"""),"")</f>
        <v/>
      </c>
      <c r="DB4" s="72" t="str">
        <f ca="1">IFERROR(__xludf.DUMMYFUNCTION("""COMPUTED_VALUE"""),"")</f>
        <v/>
      </c>
      <c r="DC4" s="72" t="str">
        <f ca="1">IFERROR(__xludf.DUMMYFUNCTION("""COMPUTED_VALUE"""),"")</f>
        <v/>
      </c>
      <c r="DD4" s="72" t="str">
        <f ca="1">IFERROR(__xludf.DUMMYFUNCTION("""COMPUTED_VALUE"""),"")</f>
        <v/>
      </c>
      <c r="DE4" s="72" t="str">
        <f ca="1">IFERROR(__xludf.DUMMYFUNCTION("""COMPUTED_VALUE"""),"")</f>
        <v/>
      </c>
      <c r="DF4" s="72" t="str">
        <f ca="1">IFERROR(__xludf.DUMMYFUNCTION("""COMPUTED_VALUE"""),"")</f>
        <v/>
      </c>
      <c r="DG4" s="72" t="str">
        <f ca="1">IFERROR(__xludf.DUMMYFUNCTION("""COMPUTED_VALUE"""),"")</f>
        <v/>
      </c>
      <c r="DH4" s="72" t="str">
        <f ca="1">IFERROR(__xludf.DUMMYFUNCTION("""COMPUTED_VALUE"""),"")</f>
        <v/>
      </c>
      <c r="DI4" s="72" t="str">
        <f ca="1">IFERROR(__xludf.DUMMYFUNCTION("""COMPUTED_VALUE"""),"")</f>
        <v/>
      </c>
      <c r="DJ4" s="72" t="str">
        <f ca="1">IFERROR(__xludf.DUMMYFUNCTION("""COMPUTED_VALUE"""),"")</f>
        <v/>
      </c>
      <c r="DK4" s="72" t="str">
        <f ca="1">IFERROR(__xludf.DUMMYFUNCTION("""COMPUTED_VALUE"""),"")</f>
        <v/>
      </c>
      <c r="DL4" s="72" t="str">
        <f ca="1">IFERROR(__xludf.DUMMYFUNCTION("""COMPUTED_VALUE"""),"")</f>
        <v/>
      </c>
      <c r="DM4" s="72" t="str">
        <f ca="1">IFERROR(__xludf.DUMMYFUNCTION("""COMPUTED_VALUE"""),"")</f>
        <v/>
      </c>
      <c r="DN4" s="72" t="str">
        <f ca="1">IFERROR(__xludf.DUMMYFUNCTION("""COMPUTED_VALUE"""),"")</f>
        <v/>
      </c>
      <c r="DO4" s="72" t="str">
        <f ca="1">IFERROR(__xludf.DUMMYFUNCTION("""COMPUTED_VALUE"""),"")</f>
        <v/>
      </c>
      <c r="DP4" s="72" t="str">
        <f ca="1">IFERROR(__xludf.DUMMYFUNCTION("""COMPUTED_VALUE"""),"")</f>
        <v/>
      </c>
      <c r="DQ4" s="72" t="str">
        <f ca="1">IFERROR(__xludf.DUMMYFUNCTION("""COMPUTED_VALUE"""),"")</f>
        <v/>
      </c>
      <c r="DR4" s="72" t="str">
        <f ca="1">IFERROR(__xludf.DUMMYFUNCTION("""COMPUTED_VALUE"""),"")</f>
        <v/>
      </c>
      <c r="DS4" s="72" t="str">
        <f ca="1">IFERROR(__xludf.DUMMYFUNCTION("""COMPUTED_VALUE"""),"")</f>
        <v/>
      </c>
      <c r="DT4" s="72" t="str">
        <f ca="1">IFERROR(__xludf.DUMMYFUNCTION("""COMPUTED_VALUE"""),"")</f>
        <v/>
      </c>
      <c r="DU4" s="72" t="str">
        <f ca="1">IFERROR(__xludf.DUMMYFUNCTION("""COMPUTED_VALUE"""),"")</f>
        <v/>
      </c>
      <c r="DV4" s="72" t="str">
        <f ca="1">IFERROR(__xludf.DUMMYFUNCTION("""COMPUTED_VALUE"""),"")</f>
        <v/>
      </c>
      <c r="DW4" s="72" t="str">
        <f ca="1">IFERROR(__xludf.DUMMYFUNCTION("""COMPUTED_VALUE"""),"")</f>
        <v/>
      </c>
      <c r="DX4" s="72" t="str">
        <f ca="1">IFERROR(__xludf.DUMMYFUNCTION("""COMPUTED_VALUE"""),"")</f>
        <v/>
      </c>
      <c r="DY4" s="72" t="str">
        <f ca="1">IFERROR(__xludf.DUMMYFUNCTION("""COMPUTED_VALUE"""),"")</f>
        <v/>
      </c>
      <c r="DZ4" s="72" t="str">
        <f ca="1">IFERROR(__xludf.DUMMYFUNCTION("""COMPUTED_VALUE"""),"")</f>
        <v/>
      </c>
      <c r="EA4" s="72" t="str">
        <f ca="1">IFERROR(__xludf.DUMMYFUNCTION("""COMPUTED_VALUE"""),"")</f>
        <v/>
      </c>
      <c r="EB4" s="72" t="str">
        <f ca="1">IFERROR(__xludf.DUMMYFUNCTION("""COMPUTED_VALUE"""),"")</f>
        <v/>
      </c>
      <c r="EC4" s="72" t="str">
        <f ca="1">IFERROR(__xludf.DUMMYFUNCTION("""COMPUTED_VALUE"""),"")</f>
        <v/>
      </c>
      <c r="ED4" s="72" t="str">
        <f ca="1">IFERROR(__xludf.DUMMYFUNCTION("""COMPUTED_VALUE"""),"")</f>
        <v/>
      </c>
      <c r="EE4" s="72" t="str">
        <f ca="1">IFERROR(__xludf.DUMMYFUNCTION("""COMPUTED_VALUE"""),"")</f>
        <v/>
      </c>
      <c r="EF4" s="72" t="str">
        <f ca="1">IFERROR(__xludf.DUMMYFUNCTION("""COMPUTED_VALUE"""),"")</f>
        <v/>
      </c>
      <c r="EG4" s="72" t="str">
        <f ca="1">IFERROR(__xludf.DUMMYFUNCTION("""COMPUTED_VALUE"""),"")</f>
        <v/>
      </c>
      <c r="EH4" s="72" t="str">
        <f ca="1">IFERROR(__xludf.DUMMYFUNCTION("""COMPUTED_VALUE"""),"")</f>
        <v/>
      </c>
      <c r="EI4" s="72" t="str">
        <f ca="1">IFERROR(__xludf.DUMMYFUNCTION("""COMPUTED_VALUE"""),"")</f>
        <v/>
      </c>
      <c r="EJ4" s="72" t="str">
        <f ca="1">IFERROR(__xludf.DUMMYFUNCTION("""COMPUTED_VALUE"""),"")</f>
        <v/>
      </c>
      <c r="EK4" s="72" t="str">
        <f ca="1">IFERROR(__xludf.DUMMYFUNCTION("""COMPUTED_VALUE"""),"")</f>
        <v/>
      </c>
      <c r="EL4" s="72" t="str">
        <f ca="1">IFERROR(__xludf.DUMMYFUNCTION("""COMPUTED_VALUE"""),"")</f>
        <v/>
      </c>
      <c r="EM4" s="72" t="str">
        <f ca="1">IFERROR(__xludf.DUMMYFUNCTION("""COMPUTED_VALUE"""),"")</f>
        <v/>
      </c>
      <c r="EN4" s="72" t="str">
        <f ca="1">IFERROR(__xludf.DUMMYFUNCTION("""COMPUTED_VALUE"""),"")</f>
        <v/>
      </c>
      <c r="EO4" s="72" t="str">
        <f ca="1">IFERROR(__xludf.DUMMYFUNCTION("""COMPUTED_VALUE"""),"")</f>
        <v/>
      </c>
      <c r="EP4" s="72" t="str">
        <f ca="1">IFERROR(__xludf.DUMMYFUNCTION("""COMPUTED_VALUE"""),"")</f>
        <v/>
      </c>
      <c r="EQ4" s="72" t="str">
        <f ca="1">IFERROR(__xludf.DUMMYFUNCTION("""COMPUTED_VALUE"""),"")</f>
        <v/>
      </c>
      <c r="ER4" s="72" t="str">
        <f ca="1">IFERROR(__xludf.DUMMYFUNCTION("""COMPUTED_VALUE"""),"")</f>
        <v/>
      </c>
      <c r="ES4" s="72" t="str">
        <f ca="1">IFERROR(__xludf.DUMMYFUNCTION("""COMPUTED_VALUE"""),"")</f>
        <v/>
      </c>
      <c r="ET4" s="72" t="str">
        <f ca="1">IFERROR(__xludf.DUMMYFUNCTION("""COMPUTED_VALUE"""),"")</f>
        <v/>
      </c>
      <c r="EU4" s="72" t="str">
        <f ca="1">IFERROR(__xludf.DUMMYFUNCTION("""COMPUTED_VALUE"""),"")</f>
        <v/>
      </c>
      <c r="EV4" s="72" t="str">
        <f ca="1">IFERROR(__xludf.DUMMYFUNCTION("""COMPUTED_VALUE"""),"")</f>
        <v/>
      </c>
      <c r="EW4" s="72" t="str">
        <f ca="1">IFERROR(__xludf.DUMMYFUNCTION("""COMPUTED_VALUE"""),"")</f>
        <v/>
      </c>
      <c r="EX4" s="72" t="str">
        <f ca="1">IFERROR(__xludf.DUMMYFUNCTION("""COMPUTED_VALUE"""),"")</f>
        <v/>
      </c>
    </row>
    <row r="5" spans="1:154" ht="15.75" customHeight="1">
      <c r="A5" s="73" t="str">
        <f ca="1">IFERROR(__xludf.DUMMYFUNCTION("TRANSPOSE(IMPORTRANGE(VLOOKUP($E$3,IMPORTRANGE('_Settings'!$B$3,$C$3&amp;""!A4:B1000""),2,FALSE),$G$3&amp;""!A4:A1000""))"),"")</f>
        <v/>
      </c>
      <c r="B5" s="74" t="str">
        <f ca="1">IFERROR(__xludf.DUMMYFUNCTION("""COMPUTED_VALUE"""),"Start Of Day Cash")</f>
        <v>Start Of Day Cash</v>
      </c>
      <c r="C5" s="74" t="str">
        <f ca="1">IFERROR(__xludf.DUMMYFUNCTION("""COMPUTED_VALUE"""),"Start Of Day Accruals")</f>
        <v>Start Of Day Accruals</v>
      </c>
      <c r="D5" s="74" t="str">
        <f ca="1">IFERROR(__xludf.DUMMYFUNCTION("""COMPUTED_VALUE"""),"Day Accruals")</f>
        <v>Day Accruals</v>
      </c>
      <c r="E5" s="74" t="str">
        <f ca="1">IFERROR(__xludf.DUMMYFUNCTION("""COMPUTED_VALUE"""),"Cash Inflow")</f>
        <v>Cash Inflow</v>
      </c>
      <c r="F5" s="75" t="str">
        <f ca="1">IFERROR(__xludf.DUMMYFUNCTION("""COMPUTED_VALUE"""),"Cash Outflow")</f>
        <v>Cash Outflow</v>
      </c>
      <c r="G5" s="74" t="str">
        <f ca="1">IFERROR(__xludf.DUMMYFUNCTION("""COMPUTED_VALUE"""),"Day P&amp;L (Long)")</f>
        <v>Day P&amp;L (Long)</v>
      </c>
      <c r="H5" s="74" t="str">
        <f ca="1">IFERROR(__xludf.DUMMYFUNCTION("""COMPUTED_VALUE"""),"Day P&amp;L (Short)")</f>
        <v>Day P&amp;L (Short)</v>
      </c>
      <c r="I5" s="74" t="str">
        <f ca="1">IFERROR(__xludf.DUMMYFUNCTION("""COMPUTED_VALUE"""),"Day P&amp;L")</f>
        <v>Day P&amp;L</v>
      </c>
      <c r="J5" s="74" t="str">
        <f ca="1">IFERROR(__xludf.DUMMYFUNCTION("""COMPUTED_VALUE"""),"Net Exposure")</f>
        <v>Net Exposure</v>
      </c>
      <c r="K5" s="74" t="str">
        <f ca="1">IFERROR(__xludf.DUMMYFUNCTION("""COMPUTED_VALUE"""),"NAV")</f>
        <v>NAV</v>
      </c>
      <c r="L5" s="74" t="str">
        <f ca="1">IFERROR(__xludf.DUMMYFUNCTION("""COMPUTED_VALUE"""),"Underlying Value (Options)")</f>
        <v>Underlying Value (Options)</v>
      </c>
      <c r="M5" s="74" t="str">
        <f ca="1">IFERROR(__xludf.DUMMYFUNCTION("""COMPUTED_VALUE"""),"Level1ID")</f>
        <v>Level1ID</v>
      </c>
      <c r="N5" s="74" t="str">
        <f ca="1">IFERROR(__xludf.DUMMYFUNCTION("""COMPUTED_VALUE"""),"UnderlyingSymbol")</f>
        <v>UnderlyingSymbol</v>
      </c>
      <c r="O5" s="74" t="str">
        <f ca="1">IFERROR(__xludf.DUMMYFUNCTION("""COMPUTED_VALUE"""),"Symbol")</f>
        <v>Symbol</v>
      </c>
      <c r="P5" s="74" t="str">
        <f ca="1">IFERROR(__xludf.DUMMYFUNCTION("""COMPUTED_VALUE"""),"P&amp;L Contribution")</f>
        <v>P&amp;L Contribution</v>
      </c>
      <c r="Q5" s="74" t="str">
        <f ca="1">IFERROR(__xludf.DUMMYFUNCTION("""COMPUTED_VALUE"""),"Long Market Value")</f>
        <v>Long Market Value</v>
      </c>
      <c r="R5" s="74" t="str">
        <f ca="1">IFERROR(__xludf.DUMMYFUNCTION("""COMPUTED_VALUE"""),"Short Market Value")</f>
        <v>Short Market Value</v>
      </c>
      <c r="S5" s="74" t="str">
        <f ca="1">IFERROR(__xludf.DUMMYFUNCTION("""COMPUTED_VALUE"""),"Net Market Value")</f>
        <v>Net Market Value</v>
      </c>
      <c r="T5" s="76" t="str">
        <f ca="1">IFERROR(__xludf.DUMMYFUNCTION("""COMPUTED_VALUE"""),"Cash Value")</f>
        <v>Cash Value</v>
      </c>
      <c r="U5" s="76" t="str">
        <f ca="1">IFERROR(__xludf.DUMMYFUNCTION("""COMPUTED_VALUE"""),"Closing Market Value")</f>
        <v>Closing Market Value</v>
      </c>
      <c r="V5" s="76" t="str">
        <f ca="1">IFERROR(__xludf.DUMMYFUNCTION("""COMPUTED_VALUE"""),"NetPosition")</f>
        <v>NetPosition</v>
      </c>
      <c r="W5" s="76" t="str">
        <f ca="1">IFERROR(__xludf.DUMMYFUNCTION("""COMPUTED_VALUE"""),"PositionSideMV")</f>
        <v>PositionSideMV</v>
      </c>
      <c r="X5" s="76" t="str">
        <f ca="1">IFERROR(__xludf.DUMMYFUNCTION("""COMPUTED_VALUE"""),"PositionSideExposure")</f>
        <v>PositionSideExposure</v>
      </c>
      <c r="Y5" s="76" t="str">
        <f ca="1">IFERROR(__xludf.DUMMYFUNCTION("""COMPUTED_VALUE"""),"NAVString")</f>
        <v>NAVString</v>
      </c>
      <c r="Z5" s="76" t="str">
        <f ca="1">IFERROR(__xludf.DUMMYFUNCTION("""COMPUTED_VALUE"""),"Net Exposure %")</f>
        <v>Net Exposure %</v>
      </c>
      <c r="AA5" s="76" t="str">
        <f ca="1">IFERROR(__xludf.DUMMYFUNCTION("""COMPUTED_VALUE"""),"Beta Adj. Exposure %")</f>
        <v>Beta Adj. Exposure %</v>
      </c>
      <c r="AB5" s="76" t="str">
        <f ca="1">IFERROR(__xludf.DUMMYFUNCTION("""COMPUTED_VALUE"""),"Cash Value %")</f>
        <v>Cash Value %</v>
      </c>
      <c r="AC5" s="76" t="str">
        <f ca="1">IFERROR(__xludf.DUMMYFUNCTION("""COMPUTED_VALUE"""),"Gross Market Value %")</f>
        <v>Gross Market Value %</v>
      </c>
      <c r="AD5" s="76" t="str">
        <f ca="1">IFERROR(__xludf.DUMMYFUNCTION("""COMPUTED_VALUE"""),"Long Market Value %")</f>
        <v>Long Market Value %</v>
      </c>
      <c r="AE5" s="76" t="str">
        <f ca="1">IFERROR(__xludf.DUMMYFUNCTION("""COMPUTED_VALUE"""),"Net Exposure % (Gross Exposure)")</f>
        <v>Net Exposure % (Gross Exposure)</v>
      </c>
      <c r="AF5" s="76" t="str">
        <f ca="1">IFERROR(__xludf.DUMMYFUNCTION("""COMPUTED_VALUE"""),"Short Market Value %")</f>
        <v>Short Market Value %</v>
      </c>
      <c r="AG5" s="76" t="str">
        <f ca="1">IFERROR(__xludf.DUMMYFUNCTION("""COMPUTED_VALUE"""),"Cost Basis P&amp;L")</f>
        <v>Cost Basis P&amp;L</v>
      </c>
      <c r="AH5" s="76" t="str">
        <f ca="1">IFERROR(__xludf.DUMMYFUNCTION("""COMPUTED_VALUE"""),"Start of Day NAV")</f>
        <v>Start of Day NAV</v>
      </c>
      <c r="AI5" s="76" t="str">
        <f ca="1">IFERROR(__xludf.DUMMYFUNCTION("""COMPUTED_VALUE"""),"Day Return")</f>
        <v>Day Return</v>
      </c>
      <c r="AJ5" s="76" t="str">
        <f ca="1">IFERROR(__xludf.DUMMYFUNCTION("""COMPUTED_VALUE"""),"Beta Adj. Exposure")</f>
        <v>Beta Adj. Exposure</v>
      </c>
      <c r="AK5" s="76" t="str">
        <f ca="1">IFERROR(__xludf.DUMMYFUNCTION("""COMPUTED_VALUE"""),"Earned Dividend Base")</f>
        <v>Earned Dividend Base</v>
      </c>
      <c r="AL5" s="76" t="str">
        <f ca="1">IFERROR(__xludf.DUMMYFUNCTION("""COMPUTED_VALUE"""),"YTD Return")</f>
        <v>YTD Return</v>
      </c>
      <c r="AM5" s="76" t="str">
        <f ca="1">IFERROR(__xludf.DUMMYFUNCTION("""COMPUTED_VALUE"""),"QTD Return")</f>
        <v>QTD Return</v>
      </c>
      <c r="AN5" s="76" t="str">
        <f ca="1">IFERROR(__xludf.DUMMYFUNCTION("""COMPUTED_VALUE"""),"MTD Return")</f>
        <v>MTD Return</v>
      </c>
      <c r="AO5" s="76" t="str">
        <f ca="1">IFERROR(__xludf.DUMMYFUNCTION("""COMPUTED_VALUE"""),"Gross Market Value")</f>
        <v>Gross Market Value</v>
      </c>
      <c r="AP5" s="76" t="str">
        <f ca="1">IFERROR(__xludf.DUMMYFUNCTION("""COMPUTED_VALUE"""),"Net Market Value %")</f>
        <v>Net Market Value %</v>
      </c>
      <c r="AQ5" s="76" t="str">
        <f ca="1">IFERROR(__xludf.DUMMYFUNCTION("""COMPUTED_VALUE"""),"Net Market Value % (Gross MV)")</f>
        <v>Net Market Value % (Gross MV)</v>
      </c>
      <c r="AR5" s="76" t="str">
        <f ca="1">IFERROR(__xludf.DUMMYFUNCTION("""COMPUTED_VALUE"""),"Day Return % (Gross MV)")</f>
        <v>Day Return % (Gross MV)</v>
      </c>
      <c r="AS5" s="76" t="str">
        <f ca="1">IFERROR(__xludf.DUMMYFUNCTION("""COMPUTED_VALUE"""),"Gross Exposure")</f>
        <v>Gross Exposure</v>
      </c>
      <c r="AT5" s="76" t="str">
        <f ca="1">IFERROR(__xludf.DUMMYFUNCTION("""COMPUTED_VALUE"""),"Gross Exposure %")</f>
        <v>Gross Exposure %</v>
      </c>
      <c r="AU5" s="76" t="str">
        <f ca="1">IFERROR(__xludf.DUMMYFUNCTION("""COMPUTED_VALUE"""),"Long Debit Limit")</f>
        <v>Long Debit Limit</v>
      </c>
      <c r="AV5" s="76" t="str">
        <f ca="1">IFERROR(__xludf.DUMMYFUNCTION("""COMPUTED_VALUE"""),"Short Credit Limit")</f>
        <v>Short Credit Limit</v>
      </c>
      <c r="AW5" s="76" t="str">
        <f ca="1">IFERROR(__xludf.DUMMYFUNCTION("""COMPUTED_VALUE"""),"Long Debit Balance")</f>
        <v>Long Debit Balance</v>
      </c>
      <c r="AX5" s="76" t="str">
        <f ca="1">IFERROR(__xludf.DUMMYFUNCTION("""COMPUTED_VALUE"""),"Short Credit Balance")</f>
        <v>Short Credit Balance</v>
      </c>
      <c r="AY5" s="76" t="str">
        <f ca="1">IFERROR(__xludf.DUMMYFUNCTION("""COMPUTED_VALUE"""),"Long Exposure")</f>
        <v>Long Exposure</v>
      </c>
      <c r="AZ5" s="76" t="str">
        <f ca="1">IFERROR(__xludf.DUMMYFUNCTION("""COMPUTED_VALUE"""),"Long Exposure %")</f>
        <v>Long Exposure %</v>
      </c>
      <c r="BA5" s="76" t="str">
        <f ca="1">IFERROR(__xludf.DUMMYFUNCTION("""COMPUTED_VALUE"""),"Short Exposure")</f>
        <v>Short Exposure</v>
      </c>
      <c r="BB5" s="76" t="str">
        <f ca="1">IFERROR(__xludf.DUMMYFUNCTION("""COMPUTED_VALUE"""),"Short Exposure %")</f>
        <v>Short Exposure %</v>
      </c>
      <c r="BC5" s="76" t="str">
        <f ca="1">IFERROR(__xludf.DUMMYFUNCTION("""COMPUTED_VALUE"""),"BetaAdjustedGrossExposure")</f>
        <v>BetaAdjustedGrossExposure</v>
      </c>
      <c r="BD5" s="76" t="str">
        <f ca="1">IFERROR(__xludf.DUMMYFUNCTION("""COMPUTED_VALUE"""),"BetaAdjustedLongExposure")</f>
        <v>BetaAdjustedLongExposure</v>
      </c>
      <c r="BE5" s="76" t="str">
        <f ca="1">IFERROR(__xludf.DUMMYFUNCTION("""COMPUTED_VALUE"""),"BetaAdjustedShortExposure")</f>
        <v>BetaAdjustedShortExposure</v>
      </c>
      <c r="BF5" s="76" t="str">
        <f ca="1">IFERROR(__xludf.DUMMYFUNCTION("""COMPUTED_VALUE"""),"Beta")</f>
        <v>Beta</v>
      </c>
      <c r="BG5" s="76" t="str">
        <f ca="1">IFERROR(__xludf.DUMMYFUNCTION("""COMPUTED_VALUE"""),"Beta Adj. Gross Exposure")</f>
        <v>Beta Adj. Gross Exposure</v>
      </c>
      <c r="BH5" s="76" t="str">
        <f ca="1">IFERROR(__xludf.DUMMYFUNCTION("""COMPUTED_VALUE"""),"Beta Adj. Gross Exposure %")</f>
        <v>Beta Adj. Gross Exposure %</v>
      </c>
      <c r="BI5" s="76" t="str">
        <f ca="1">IFERROR(__xludf.DUMMYFUNCTION("""COMPUTED_VALUE"""),"Beta Adj. Long Exposure")</f>
        <v>Beta Adj. Long Exposure</v>
      </c>
      <c r="BJ5" s="76" t="str">
        <f ca="1">IFERROR(__xludf.DUMMYFUNCTION("""COMPUTED_VALUE"""),"Beta Adj. Long Exposure %")</f>
        <v>Beta Adj. Long Exposure %</v>
      </c>
      <c r="BK5" s="76" t="str">
        <f ca="1">IFERROR(__xludf.DUMMYFUNCTION("""COMPUTED_VALUE"""),"Beta Adj. Short Exposure")</f>
        <v>Beta Adj. Short Exposure</v>
      </c>
      <c r="BL5" s="76" t="str">
        <f ca="1">IFERROR(__xludf.DUMMYFUNCTION("""COMPUTED_VALUE"""),"Beta Adj. Short Exposure %")</f>
        <v>Beta Adj. Short Exposure %</v>
      </c>
      <c r="BM5" s="76" t="str">
        <f ca="1">IFERROR(__xludf.DUMMYFUNCTION("""COMPUTED_VALUE"""),"MTD P&amp;L")</f>
        <v>MTD P&amp;L</v>
      </c>
      <c r="BN5" s="76" t="str">
        <f ca="1">IFERROR(__xludf.DUMMYFUNCTION("""COMPUTED_VALUE"""),"QTD P&amp;L")</f>
        <v>QTD P&amp;L</v>
      </c>
      <c r="BO5" s="76" t="str">
        <f ca="1">IFERROR(__xludf.DUMMYFUNCTION("""COMPUTED_VALUE"""),"YTD P&amp;L")</f>
        <v>YTD P&amp;L</v>
      </c>
      <c r="BP5" s="76" t="str">
        <f ca="1">IFERROR(__xludf.DUMMYFUNCTION("""COMPUTED_VALUE"""),"MasterfundID")</f>
        <v>MasterfundID</v>
      </c>
      <c r="BQ5" s="76" t="str">
        <f ca="1">IFERROR(__xludf.DUMMYFUNCTION("""COMPUTED_VALUE"""),"NetExposureLocal")</f>
        <v>NetExposureLocal</v>
      </c>
      <c r="BR5" s="76" t="str">
        <f ca="1">IFERROR(__xludf.DUMMYFUNCTION("""COMPUTED_VALUE"""),"GrossExposureLocal")</f>
        <v>GrossExposureLocal</v>
      </c>
      <c r="BS5" s="76" t="str">
        <f ca="1">IFERROR(__xludf.DUMMYFUNCTION("""COMPUTED_VALUE"""),"BetaAdjustedGrossExposureLocal")</f>
        <v>BetaAdjustedGrossExposureLocal</v>
      </c>
      <c r="BT5" s="76" t="str">
        <f ca="1">IFERROR(__xludf.DUMMYFUNCTION("""COMPUTED_VALUE"""),"AssetCategory")</f>
        <v>AssetCategory</v>
      </c>
      <c r="BU5" s="76" t="str">
        <f ca="1">IFERROR(__xludf.DUMMYFUNCTION("""COMPUTED_VALUE"""),"Day P&amp;L (FX)")</f>
        <v>Day P&amp;L (FX)</v>
      </c>
      <c r="BV5" s="76" t="str">
        <f ca="1">IFERROR(__xludf.DUMMYFUNCTION("""COMPUTED_VALUE"""),"Day P&amp;L (Short) %")</f>
        <v>Day P&amp;L (Short) %</v>
      </c>
      <c r="BW5" s="76" t="str">
        <f ca="1">IFERROR(__xludf.DUMMYFUNCTION("""COMPUTED_VALUE"""),"Day P&amp;L (Long) %")</f>
        <v>Day P&amp;L (Long) %</v>
      </c>
      <c r="BX5" s="76" t="str">
        <f ca="1">IFERROR(__xludf.DUMMYFUNCTION("""COMPUTED_VALUE"""),"Day P&amp;L (FX) %")</f>
        <v>Day P&amp;L (FX) %</v>
      </c>
      <c r="BY5" s="76" t="str">
        <f ca="1">IFERROR(__xludf.DUMMYFUNCTION("""COMPUTED_VALUE"""),"Long/Short Ratio")</f>
        <v>Long/Short Ratio</v>
      </c>
      <c r="BZ5" s="76" t="str">
        <f ca="1">IFERROR(__xludf.DUMMYFUNCTION("""COMPUTED_VALUE"""),"LeverageFactor")</f>
        <v>LeverageFactor</v>
      </c>
      <c r="CA5" s="76" t="str">
        <f ca="1">IFERROR(__xludf.DUMMYFUNCTION("""COMPUTED_VALUE"""),"AllocatedSymbolWiseQuantity")</f>
        <v>AllocatedSymbolWiseQuantity</v>
      </c>
      <c r="CB5" s="76" t="str">
        <f ca="1">IFERROR(__xludf.DUMMYFUNCTION("""COMPUTED_VALUE"""),"CurrencyID")</f>
        <v>CurrencyID</v>
      </c>
      <c r="CC5" s="76" t="str">
        <f ca="1">IFERROR(__xludf.DUMMYFUNCTION("""COMPUTED_VALUE"""),"")</f>
        <v/>
      </c>
      <c r="CD5" s="76" t="str">
        <f ca="1">IFERROR(__xludf.DUMMYFUNCTION("""COMPUTED_VALUE"""),"")</f>
        <v/>
      </c>
      <c r="CE5" s="76" t="str">
        <f ca="1">IFERROR(__xludf.DUMMYFUNCTION("""COMPUTED_VALUE"""),"")</f>
        <v/>
      </c>
      <c r="CF5" s="76" t="str">
        <f ca="1">IFERROR(__xludf.DUMMYFUNCTION("""COMPUTED_VALUE"""),"")</f>
        <v/>
      </c>
      <c r="CG5" s="76" t="str">
        <f ca="1">IFERROR(__xludf.DUMMYFUNCTION("""COMPUTED_VALUE"""),"")</f>
        <v/>
      </c>
      <c r="CH5" s="76" t="str">
        <f ca="1">IFERROR(__xludf.DUMMYFUNCTION("""COMPUTED_VALUE"""),"")</f>
        <v/>
      </c>
      <c r="CI5" s="76" t="str">
        <f ca="1">IFERROR(__xludf.DUMMYFUNCTION("""COMPUTED_VALUE"""),"")</f>
        <v/>
      </c>
      <c r="CJ5" s="76" t="str">
        <f ca="1">IFERROR(__xludf.DUMMYFUNCTION("""COMPUTED_VALUE"""),"")</f>
        <v/>
      </c>
      <c r="CK5" s="76" t="str">
        <f ca="1">IFERROR(__xludf.DUMMYFUNCTION("""COMPUTED_VALUE"""),"")</f>
        <v/>
      </c>
      <c r="CL5" s="76" t="str">
        <f ca="1">IFERROR(__xludf.DUMMYFUNCTION("""COMPUTED_VALUE"""),"")</f>
        <v/>
      </c>
      <c r="CM5" s="76" t="str">
        <f ca="1">IFERROR(__xludf.DUMMYFUNCTION("""COMPUTED_VALUE"""),"")</f>
        <v/>
      </c>
      <c r="CN5" s="76" t="str">
        <f ca="1">IFERROR(__xludf.DUMMYFUNCTION("""COMPUTED_VALUE"""),"")</f>
        <v/>
      </c>
      <c r="CO5" s="76" t="str">
        <f ca="1">IFERROR(__xludf.DUMMYFUNCTION("""COMPUTED_VALUE"""),"")</f>
        <v/>
      </c>
      <c r="CP5" s="76" t="str">
        <f ca="1">IFERROR(__xludf.DUMMYFUNCTION("""COMPUTED_VALUE"""),"")</f>
        <v/>
      </c>
      <c r="CQ5" s="76" t="str">
        <f ca="1">IFERROR(__xludf.DUMMYFUNCTION("""COMPUTED_VALUE"""),"")</f>
        <v/>
      </c>
      <c r="CR5" s="76" t="str">
        <f ca="1">IFERROR(__xludf.DUMMYFUNCTION("""COMPUTED_VALUE"""),"")</f>
        <v/>
      </c>
      <c r="CS5" s="76" t="str">
        <f ca="1">IFERROR(__xludf.DUMMYFUNCTION("""COMPUTED_VALUE"""),"")</f>
        <v/>
      </c>
      <c r="CT5" s="76" t="str">
        <f ca="1">IFERROR(__xludf.DUMMYFUNCTION("""COMPUTED_VALUE"""),"")</f>
        <v/>
      </c>
      <c r="CU5" s="76" t="str">
        <f ca="1">IFERROR(__xludf.DUMMYFUNCTION("""COMPUTED_VALUE"""),"")</f>
        <v/>
      </c>
      <c r="CV5" s="76" t="str">
        <f ca="1">IFERROR(__xludf.DUMMYFUNCTION("""COMPUTED_VALUE"""),"")</f>
        <v/>
      </c>
      <c r="CW5" s="76" t="str">
        <f ca="1">IFERROR(__xludf.DUMMYFUNCTION("""COMPUTED_VALUE"""),"")</f>
        <v/>
      </c>
      <c r="CX5" s="76" t="str">
        <f ca="1">IFERROR(__xludf.DUMMYFUNCTION("""COMPUTED_VALUE"""),"")</f>
        <v/>
      </c>
      <c r="CY5" s="76" t="str">
        <f ca="1">IFERROR(__xludf.DUMMYFUNCTION("""COMPUTED_VALUE"""),"")</f>
        <v/>
      </c>
      <c r="CZ5" s="76" t="str">
        <f ca="1">IFERROR(__xludf.DUMMYFUNCTION("""COMPUTED_VALUE"""),"")</f>
        <v/>
      </c>
      <c r="DA5" s="76" t="str">
        <f ca="1">IFERROR(__xludf.DUMMYFUNCTION("""COMPUTED_VALUE"""),"")</f>
        <v/>
      </c>
      <c r="DB5" s="76" t="str">
        <f ca="1">IFERROR(__xludf.DUMMYFUNCTION("""COMPUTED_VALUE"""),"")</f>
        <v/>
      </c>
      <c r="DC5" s="76" t="str">
        <f ca="1">IFERROR(__xludf.DUMMYFUNCTION("""COMPUTED_VALUE"""),"")</f>
        <v/>
      </c>
      <c r="DD5" s="76" t="str">
        <f ca="1">IFERROR(__xludf.DUMMYFUNCTION("""COMPUTED_VALUE"""),"")</f>
        <v/>
      </c>
      <c r="DE5" s="76" t="str">
        <f ca="1">IFERROR(__xludf.DUMMYFUNCTION("""COMPUTED_VALUE"""),"")</f>
        <v/>
      </c>
      <c r="DF5" s="76" t="str">
        <f ca="1">IFERROR(__xludf.DUMMYFUNCTION("""COMPUTED_VALUE"""),"")</f>
        <v/>
      </c>
      <c r="DG5" s="76" t="str">
        <f ca="1">IFERROR(__xludf.DUMMYFUNCTION("""COMPUTED_VALUE"""),"")</f>
        <v/>
      </c>
      <c r="DH5" s="76" t="str">
        <f ca="1">IFERROR(__xludf.DUMMYFUNCTION("""COMPUTED_VALUE"""),"")</f>
        <v/>
      </c>
      <c r="DI5" s="76" t="str">
        <f ca="1">IFERROR(__xludf.DUMMYFUNCTION("""COMPUTED_VALUE"""),"")</f>
        <v/>
      </c>
      <c r="DJ5" s="76" t="str">
        <f ca="1">IFERROR(__xludf.DUMMYFUNCTION("""COMPUTED_VALUE"""),"")</f>
        <v/>
      </c>
      <c r="DK5" s="76" t="str">
        <f ca="1">IFERROR(__xludf.DUMMYFUNCTION("""COMPUTED_VALUE"""),"")</f>
        <v/>
      </c>
      <c r="DL5" s="76" t="str">
        <f ca="1">IFERROR(__xludf.DUMMYFUNCTION("""COMPUTED_VALUE"""),"")</f>
        <v/>
      </c>
      <c r="DM5" s="76" t="str">
        <f ca="1">IFERROR(__xludf.DUMMYFUNCTION("""COMPUTED_VALUE"""),"")</f>
        <v/>
      </c>
      <c r="DN5" s="76" t="str">
        <f ca="1">IFERROR(__xludf.DUMMYFUNCTION("""COMPUTED_VALUE"""),"")</f>
        <v/>
      </c>
      <c r="DO5" s="76" t="str">
        <f ca="1">IFERROR(__xludf.DUMMYFUNCTION("""COMPUTED_VALUE"""),"")</f>
        <v/>
      </c>
      <c r="DP5" s="76" t="str">
        <f ca="1">IFERROR(__xludf.DUMMYFUNCTION("""COMPUTED_VALUE"""),"")</f>
        <v/>
      </c>
      <c r="DQ5" s="76" t="str">
        <f ca="1">IFERROR(__xludf.DUMMYFUNCTION("""COMPUTED_VALUE"""),"")</f>
        <v/>
      </c>
      <c r="DR5" s="76" t="str">
        <f ca="1">IFERROR(__xludf.DUMMYFUNCTION("""COMPUTED_VALUE"""),"")</f>
        <v/>
      </c>
      <c r="DS5" s="76" t="str">
        <f ca="1">IFERROR(__xludf.DUMMYFUNCTION("""COMPUTED_VALUE"""),"")</f>
        <v/>
      </c>
      <c r="DT5" s="76" t="str">
        <f ca="1">IFERROR(__xludf.DUMMYFUNCTION("""COMPUTED_VALUE"""),"")</f>
        <v/>
      </c>
      <c r="DU5" s="76" t="str">
        <f ca="1">IFERROR(__xludf.DUMMYFUNCTION("""COMPUTED_VALUE"""),"")</f>
        <v/>
      </c>
      <c r="DV5" s="76" t="str">
        <f ca="1">IFERROR(__xludf.DUMMYFUNCTION("""COMPUTED_VALUE"""),"")</f>
        <v/>
      </c>
      <c r="DW5" s="76" t="str">
        <f ca="1">IFERROR(__xludf.DUMMYFUNCTION("""COMPUTED_VALUE"""),"")</f>
        <v/>
      </c>
      <c r="DX5" s="76" t="str">
        <f ca="1">IFERROR(__xludf.DUMMYFUNCTION("""COMPUTED_VALUE"""),"")</f>
        <v/>
      </c>
      <c r="DY5" s="76" t="str">
        <f ca="1">IFERROR(__xludf.DUMMYFUNCTION("""COMPUTED_VALUE"""),"")</f>
        <v/>
      </c>
      <c r="DZ5" s="76" t="str">
        <f ca="1">IFERROR(__xludf.DUMMYFUNCTION("""COMPUTED_VALUE"""),"")</f>
        <v/>
      </c>
      <c r="EA5" s="76" t="str">
        <f ca="1">IFERROR(__xludf.DUMMYFUNCTION("""COMPUTED_VALUE"""),"")</f>
        <v/>
      </c>
      <c r="EB5" s="76" t="str">
        <f ca="1">IFERROR(__xludf.DUMMYFUNCTION("""COMPUTED_VALUE"""),"")</f>
        <v/>
      </c>
      <c r="EC5" s="76" t="str">
        <f ca="1">IFERROR(__xludf.DUMMYFUNCTION("""COMPUTED_VALUE"""),"")</f>
        <v/>
      </c>
      <c r="ED5" s="76" t="str">
        <f ca="1">IFERROR(__xludf.DUMMYFUNCTION("""COMPUTED_VALUE"""),"")</f>
        <v/>
      </c>
      <c r="EE5" s="76" t="str">
        <f ca="1">IFERROR(__xludf.DUMMYFUNCTION("""COMPUTED_VALUE"""),"")</f>
        <v/>
      </c>
      <c r="EF5" s="76" t="str">
        <f ca="1">IFERROR(__xludf.DUMMYFUNCTION("""COMPUTED_VALUE"""),"")</f>
        <v/>
      </c>
      <c r="EG5" s="76" t="str">
        <f ca="1">IFERROR(__xludf.DUMMYFUNCTION("""COMPUTED_VALUE"""),"")</f>
        <v/>
      </c>
      <c r="EH5" s="76" t="str">
        <f ca="1">IFERROR(__xludf.DUMMYFUNCTION("""COMPUTED_VALUE"""),"")</f>
        <v/>
      </c>
      <c r="EI5" s="76" t="str">
        <f ca="1">IFERROR(__xludf.DUMMYFUNCTION("""COMPUTED_VALUE"""),"")</f>
        <v/>
      </c>
      <c r="EJ5" s="76" t="str">
        <f ca="1">IFERROR(__xludf.DUMMYFUNCTION("""COMPUTED_VALUE"""),"")</f>
        <v/>
      </c>
      <c r="EK5" s="76" t="str">
        <f ca="1">IFERROR(__xludf.DUMMYFUNCTION("""COMPUTED_VALUE"""),"")</f>
        <v/>
      </c>
      <c r="EL5" s="76" t="str">
        <f ca="1">IFERROR(__xludf.DUMMYFUNCTION("""COMPUTED_VALUE"""),"")</f>
        <v/>
      </c>
      <c r="EM5" s="76" t="str">
        <f ca="1">IFERROR(__xludf.DUMMYFUNCTION("""COMPUTED_VALUE"""),"")</f>
        <v/>
      </c>
      <c r="EN5" s="76" t="str">
        <f ca="1">IFERROR(__xludf.DUMMYFUNCTION("""COMPUTED_VALUE"""),"")</f>
        <v/>
      </c>
      <c r="EO5" s="76" t="str">
        <f ca="1">IFERROR(__xludf.DUMMYFUNCTION("""COMPUTED_VALUE"""),"")</f>
        <v/>
      </c>
      <c r="EP5" s="76" t="str">
        <f ca="1">IFERROR(__xludf.DUMMYFUNCTION("""COMPUTED_VALUE"""),"")</f>
        <v/>
      </c>
      <c r="EQ5" s="76" t="str">
        <f ca="1">IFERROR(__xludf.DUMMYFUNCTION("""COMPUTED_VALUE"""),"")</f>
        <v/>
      </c>
      <c r="ER5" s="76" t="str">
        <f ca="1">IFERROR(__xludf.DUMMYFUNCTION("""COMPUTED_VALUE"""),"")</f>
        <v/>
      </c>
      <c r="ES5" s="76" t="str">
        <f ca="1">IFERROR(__xludf.DUMMYFUNCTION("""COMPUTED_VALUE"""),"")</f>
        <v/>
      </c>
      <c r="ET5" s="76" t="str">
        <f ca="1">IFERROR(__xludf.DUMMYFUNCTION("""COMPUTED_VALUE"""),"")</f>
        <v/>
      </c>
      <c r="EU5" s="76" t="str">
        <f ca="1">IFERROR(__xludf.DUMMYFUNCTION("""COMPUTED_VALUE"""),"")</f>
        <v/>
      </c>
      <c r="EV5" s="76" t="str">
        <f ca="1">IFERROR(__xludf.DUMMYFUNCTION("""COMPUTED_VALUE"""),"")</f>
        <v/>
      </c>
      <c r="EW5" s="76" t="str">
        <f ca="1">IFERROR(__xludf.DUMMYFUNCTION("""COMPUTED_VALUE"""),"")</f>
        <v/>
      </c>
      <c r="EX5" s="76" t="str">
        <f ca="1">IFERROR(__xludf.DUMMYFUNCTION("""COMPUTED_VALUE"""),"")</f>
        <v/>
      </c>
    </row>
    <row r="6" spans="1:154" ht="15.75" customHeight="1">
      <c r="A6" s="83"/>
      <c r="B6" s="28">
        <v>226</v>
      </c>
      <c r="C6" s="84"/>
      <c r="D6" s="84"/>
      <c r="E6" s="28">
        <v>1929</v>
      </c>
      <c r="F6" s="28">
        <v>9600</v>
      </c>
      <c r="G6" s="84"/>
      <c r="H6" s="84"/>
      <c r="I6" s="28">
        <v>516</v>
      </c>
      <c r="J6" s="85">
        <v>7862</v>
      </c>
      <c r="K6" s="85">
        <v>417</v>
      </c>
      <c r="L6" s="28"/>
      <c r="M6" s="28"/>
      <c r="N6" s="84"/>
      <c r="O6" s="84"/>
      <c r="P6" s="84"/>
      <c r="Q6" s="85">
        <v>29100</v>
      </c>
      <c r="R6" s="85"/>
      <c r="S6" s="85">
        <v>7862</v>
      </c>
      <c r="T6" s="83"/>
      <c r="U6" s="86">
        <v>-324</v>
      </c>
      <c r="V6" s="86"/>
      <c r="W6" s="83"/>
      <c r="X6" s="83"/>
      <c r="Y6" s="83"/>
      <c r="Z6" s="83"/>
      <c r="AA6" s="86">
        <v>1884.49</v>
      </c>
      <c r="AB6" s="87">
        <v>-1784.49</v>
      </c>
      <c r="AC6" s="87">
        <v>12064.98</v>
      </c>
      <c r="AD6" s="86"/>
      <c r="AE6" s="87">
        <v>15.62</v>
      </c>
      <c r="AF6" s="86">
        <v>-5090.24</v>
      </c>
      <c r="AG6" s="86">
        <v>-352</v>
      </c>
      <c r="AH6" s="83"/>
      <c r="AI6" s="47"/>
      <c r="AJ6" s="83"/>
      <c r="AK6" s="83"/>
      <c r="AL6" s="83"/>
      <c r="AM6" s="83"/>
      <c r="AN6" s="83"/>
      <c r="AO6" s="83"/>
      <c r="AP6" s="83"/>
      <c r="AQ6" s="83"/>
      <c r="AR6" s="86">
        <v>1.02</v>
      </c>
      <c r="AS6" s="86">
        <v>50338</v>
      </c>
      <c r="AT6" s="86">
        <v>12064.98</v>
      </c>
      <c r="AU6" s="86"/>
      <c r="AV6" s="88"/>
      <c r="AW6" s="47"/>
      <c r="AX6" s="83"/>
      <c r="AY6" s="86">
        <v>29100</v>
      </c>
      <c r="AZ6" s="83"/>
      <c r="BA6" s="86">
        <v>-21238</v>
      </c>
      <c r="BB6" s="47"/>
      <c r="BC6" s="86"/>
      <c r="BD6" s="47"/>
      <c r="BE6" s="86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</row>
    <row r="7" spans="1:154" ht="15.75" customHeight="1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</row>
    <row r="8" spans="1:154" ht="15.75" customHeigh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</row>
    <row r="9" spans="1:154" ht="15.7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</row>
    <row r="10" spans="1:154" ht="15.75" customHeigh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</row>
    <row r="11" spans="1:154" ht="15.7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</row>
    <row r="12" spans="1:154" ht="15.7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</row>
    <row r="13" spans="1:154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</row>
    <row r="14" spans="1:154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</row>
    <row r="15" spans="1:154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</row>
    <row r="16" spans="1:154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</row>
    <row r="17" spans="1:154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</row>
    <row r="18" spans="1:154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</row>
    <row r="19" spans="1:154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</row>
    <row r="20" spans="1:154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</row>
    <row r="21" spans="1:154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</row>
    <row r="22" spans="1:154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</row>
    <row r="23" spans="1:154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</row>
    <row r="24" spans="1:15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</row>
    <row r="25" spans="1:154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</row>
    <row r="26" spans="1:154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</row>
    <row r="27" spans="1:154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</row>
    <row r="28" spans="1:154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</row>
    <row r="29" spans="1:154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</row>
    <row r="30" spans="1:154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</row>
    <row r="31" spans="1:154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</row>
    <row r="32" spans="1:154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</row>
    <row r="33" spans="1:154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</row>
    <row r="34" spans="1:154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</row>
    <row r="35" spans="1:154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</row>
    <row r="36" spans="1:154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</row>
    <row r="37" spans="1:154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</row>
    <row r="38" spans="1:154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</row>
    <row r="39" spans="1:154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</row>
    <row r="40" spans="1:154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</row>
    <row r="41" spans="1:154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</row>
    <row r="42" spans="1:154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</row>
    <row r="43" spans="1:154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</row>
    <row r="44" spans="1:15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</row>
    <row r="45" spans="1:154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</row>
    <row r="46" spans="1:154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</row>
    <row r="47" spans="1:154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</row>
    <row r="48" spans="1:154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</row>
    <row r="49" spans="1:154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</row>
    <row r="50" spans="1:154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</row>
    <row r="51" spans="1:154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</row>
    <row r="52" spans="1:154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</row>
    <row r="53" spans="1:154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</row>
    <row r="54" spans="1:1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</row>
    <row r="55" spans="1:154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</row>
    <row r="56" spans="1:154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</row>
    <row r="57" spans="1:154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</row>
    <row r="58" spans="1:154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</row>
    <row r="59" spans="1:154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</row>
    <row r="60" spans="1:154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</row>
    <row r="61" spans="1:154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</row>
    <row r="62" spans="1:154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</row>
    <row r="63" spans="1:154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</row>
    <row r="64" spans="1:15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</row>
    <row r="65" spans="1:154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</row>
    <row r="66" spans="1:154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</row>
    <row r="67" spans="1:154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</row>
    <row r="68" spans="1:154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</row>
    <row r="69" spans="1:154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</row>
    <row r="70" spans="1:154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</row>
    <row r="71" spans="1:154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</row>
    <row r="72" spans="1:154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</row>
    <row r="73" spans="1:154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</row>
    <row r="74" spans="1:15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</row>
    <row r="75" spans="1:154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</row>
    <row r="76" spans="1:154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</row>
    <row r="77" spans="1:154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</row>
    <row r="78" spans="1:154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</row>
    <row r="79" spans="1:154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</row>
    <row r="80" spans="1:154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</row>
    <row r="81" spans="1:154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</row>
    <row r="82" spans="1:154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</row>
    <row r="83" spans="1:154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</row>
    <row r="84" spans="1:15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</row>
    <row r="85" spans="1:154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</row>
    <row r="86" spans="1:154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</row>
    <row r="87" spans="1:154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</row>
    <row r="88" spans="1:154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</row>
    <row r="89" spans="1:154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</row>
    <row r="90" spans="1:154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</row>
    <row r="91" spans="1:154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</row>
    <row r="92" spans="1:154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</row>
    <row r="93" spans="1:154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</row>
    <row r="94" spans="1:15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</row>
    <row r="95" spans="1:154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</row>
    <row r="96" spans="1:154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</row>
    <row r="97" spans="1:154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</row>
    <row r="98" spans="1:154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</row>
    <row r="99" spans="1:154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</row>
    <row r="100" spans="1:154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CreateDoneAwayOrder1</vt:lpstr>
      <vt:lpstr>CheckPortfolioManagement</vt:lpstr>
      <vt:lpstr>CheckDashboardPM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2021-08-04T09:30:03Z</dcterms:modified>
</cp:coreProperties>
</file>