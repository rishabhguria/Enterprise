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tGeneralPreferences" sheetId="5" r:id="rId7"/>
    <sheet state="visible" name="RunProrata" sheetId="6" r:id="rId8"/>
    <sheet state="visible" name="CreateDoneAwayOrder1" sheetId="7" r:id="rId9"/>
    <sheet state="visible" name="CreateTransaction" sheetId="8" r:id="rId10"/>
    <sheet state="visible" name="SelectUnallocatedGroup" sheetId="9" r:id="rId11"/>
    <sheet state="visible" name="EnterAllocatePreference" sheetId="10" r:id="rId12"/>
    <sheet state="visible" name="CheckAllocatedGroups" sheetId="11" r:id="rId13"/>
  </sheets>
  <definedNames/>
  <calcPr/>
</workbook>
</file>

<file path=xl/sharedStrings.xml><?xml version="1.0" encoding="utf-8"?>
<sst xmlns="http://schemas.openxmlformats.org/spreadsheetml/2006/main" count="146" uniqueCount="43">
  <si>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</si>
  <si>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</si>
  <si>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</si>
  <si>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</si>
  <si>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</si>
  <si>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</si>
  <si>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</si>
  <si>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</si>
  <si>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</si>
  <si>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</si>
  <si>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</si>
  <si>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</si>
  <si>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</si>
  <si>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</si>
  <si>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</si>
  <si>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</si>
  <si>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</si>
  <si>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</si>
  <si>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Allocation1,Allocation2</t>
  </si>
  <si>
    <t>40,60</t>
  </si>
  <si>
    <t>Allocation</t>
  </si>
  <si>
    <t>SetGeneralPreferences</t>
  </si>
  <si>
    <t>Nirvana</t>
  </si>
  <si>
    <t>RunProrata</t>
  </si>
  <si>
    <t>Symbol</t>
  </si>
  <si>
    <t>Unallocated</t>
  </si>
  <si>
    <t>MSFT</t>
  </si>
  <si>
    <t>Positions_Symbol</t>
  </si>
  <si>
    <t>CreateTransaction</t>
  </si>
  <si>
    <t>MS</t>
  </si>
  <si>
    <t>SelectUnallocatedGroup</t>
  </si>
  <si>
    <t>EnterAllocatePreference</t>
  </si>
  <si>
    <t>Fixed</t>
  </si>
  <si>
    <t>CheckAllocatedGroups</t>
  </si>
  <si>
    <t>Multiple</t>
  </si>
  <si>
    <t>Equity</t>
  </si>
  <si>
    <t>IBM US EQUITY</t>
  </si>
  <si>
    <t>USD</t>
  </si>
  <si>
    <t>NYSE</t>
  </si>
  <si>
    <t>M</t>
  </si>
  <si>
    <t>MSFT US EQUITY</t>
  </si>
  <si>
    <t>MICROSOFT INC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</si>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</sst>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100.0</v>
      </c>
      <c r="E6" s="8"/>
      <c r="F6" s="8"/>
      <c r="G6" s="8"/>
      <c r="H6" s="8"/>
      <c r="I6" s="8"/>
      <c r="J6" s="13">
        <v>12.0</v>
      </c>
      <c r="K6" s="8"/>
      <c r="L6" s="8"/>
      <c r="M6" s="8"/>
      <c r="N6" s="31">
        <f>Today()-1</f>
        <v>45854</v>
      </c>
      <c r="O6" s="8"/>
      <c r="AK6" s="9" t="s">
        <v>18</v>
      </c>
      <c r="AL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 t="s">
        <v>22</v>
      </c>
      <c r="Y6" s="32"/>
      <c r="Z6" s="33" t="b">
        <v>1</v>
      </c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IFERROR(__xludf.DUMMYFUNCTION("""COMPUTED_VALUE"""),"Date")</f>
        <v>Date</v>
      </c>
      <c r="C5" s="28" t="str">
        <f>IFERROR(__xludf.DUMMYFUNCTION("""COMPUTED_VALUE"""),"SchemeName")</f>
        <v>SchemeName</v>
      </c>
      <c r="D5" s="28" t="str">
        <f>IFERROR(__xludf.DUMMYFUNCTION("""COMPUTED_VALUE"""),"SchemeBasis")</f>
        <v>SchemeBasis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>
        <f>today()-1</f>
        <v>45854</v>
      </c>
      <c r="C6" s="32" t="s">
        <v>22</v>
      </c>
      <c r="D6" s="13" t="s">
        <v>24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RunProrata!$4:$4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200.0</v>
      </c>
      <c r="E6" s="8"/>
      <c r="F6" s="13" t="s">
        <v>22</v>
      </c>
      <c r="G6" s="8"/>
      <c r="H6" s="8"/>
      <c r="I6" s="8"/>
      <c r="J6" s="13">
        <v>12.0</v>
      </c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17</v>
      </c>
      <c r="D7" s="13">
        <v>200.0</v>
      </c>
      <c r="E7" s="8"/>
      <c r="F7" s="13" t="s">
        <v>25</v>
      </c>
      <c r="G7" s="8"/>
      <c r="H7" s="8"/>
      <c r="I7" s="8"/>
      <c r="J7" s="13">
        <v>12.0</v>
      </c>
      <c r="K7" s="8"/>
      <c r="L7" s="8"/>
      <c r="M7" s="8"/>
      <c r="N7" s="8"/>
      <c r="O7" s="8"/>
    </row>
    <row r="8" ht="15.75" customHeight="1">
      <c r="A8" s="8"/>
      <c r="B8" s="13" t="s">
        <v>26</v>
      </c>
      <c r="C8" s="13" t="s">
        <v>17</v>
      </c>
      <c r="D8" s="13">
        <v>200.0</v>
      </c>
      <c r="E8" s="8"/>
      <c r="F8" s="13" t="s">
        <v>27</v>
      </c>
      <c r="G8" s="8"/>
      <c r="H8" s="8"/>
      <c r="I8" s="8"/>
      <c r="J8" s="13">
        <v>12.0</v>
      </c>
      <c r="K8" s="8"/>
      <c r="L8" s="8"/>
      <c r="M8" s="8"/>
      <c r="N8" s="8"/>
      <c r="O8" s="8"/>
    </row>
    <row r="9" ht="15.75" customHeight="1">
      <c r="A9" s="8"/>
      <c r="B9" s="13"/>
      <c r="C9" s="13"/>
      <c r="D9" s="13"/>
      <c r="E9" s="8"/>
      <c r="F9" s="13"/>
      <c r="G9" s="8"/>
      <c r="H9" s="8"/>
      <c r="I9" s="8"/>
      <c r="J9" s="13"/>
      <c r="K9" s="8"/>
      <c r="L9" s="8"/>
      <c r="M9" s="8"/>
      <c r="N9" s="8"/>
      <c r="O9" s="8"/>
    </row>
    <row r="10" ht="15.75" customHeight="1">
      <c r="A10" s="8"/>
      <c r="B10" s="13"/>
      <c r="C10" s="13"/>
      <c r="D10" s="13"/>
      <c r="E10" s="8"/>
      <c r="F10" s="13"/>
      <c r="G10" s="8"/>
      <c r="H10" s="8"/>
      <c r="I10" s="8"/>
      <c r="J10" s="13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IFERROR(__xludf.DUMMYFUNCTION("IF(C3="""","""",Transpose(IMPORTRANGE('_Settings'!$B$3,C3&amp;""!A4:A1000"")))"),"CreateTransaction")</f>
        <v>CreateTransaction</v>
      </c>
      <c r="C4" s="25" t="str">
        <f>IFERROR(__xludf.DUMMYFUNCTION("""COMPUTED_VALUE"""),"AddNewTransaction")</f>
        <v>AddNewTransaction</v>
      </c>
      <c r="D4" s="25" t="str">
        <f>IFERROR(__xludf.DUMMYFUNCTION("""COMPUTED_VALUE"""),"SaveTransaction")</f>
        <v>SaveTransaction</v>
      </c>
      <c r="E4" s="25" t="str">
        <f>IFERROR(__xludf.DUMMYFUNCTION("""COMPUTED_VALUE"""),"VerifyCTNavLockPopup")</f>
        <v>VerifyCTNavLockPopup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IFERROR(__xludf.DUMMYFUNCTION("""COMPUTED_VALUE"""),"Account")</f>
        <v>Account</v>
      </c>
      <c r="D5" s="28" t="str">
        <f>IFERROR(__xludf.DUMMYFUNCTION("""COMPUTED_VALUE"""),"Side")</f>
        <v>Side</v>
      </c>
      <c r="E5" s="28" t="str">
        <f>IFERROR(__xludf.DUMMYFUNCTION("""COMPUTED_VALUE"""),"Quantity")</f>
        <v>Quantity</v>
      </c>
      <c r="F5" s="29" t="str">
        <f>IFERROR(__xludf.DUMMYFUNCTION("""COMPUTED_VALUE"""),"Executed Quantity")</f>
        <v>Executed Quantity</v>
      </c>
      <c r="G5" s="28" t="str">
        <f>IFERROR(__xludf.DUMMYFUNCTION("""COMPUTED_VALUE"""),"Average Price")</f>
        <v>Average Price</v>
      </c>
      <c r="H5" s="28" t="str">
        <f>IFERROR(__xludf.DUMMYFUNCTION("""COMPUTED_VALUE"""),"Commission")</f>
        <v>Commission</v>
      </c>
      <c r="I5" s="28" t="str">
        <f>IFERROR(__xludf.DUMMYFUNCTION("""COMPUTED_VALUE"""),"Trade Date")</f>
        <v>Trade Date</v>
      </c>
      <c r="J5" s="28" t="str">
        <f>IFERROR(__xludf.DUMMYFUNCTION("""COMPUTED_VALUE"""),"Broker")</f>
        <v>Broker</v>
      </c>
      <c r="K5" s="28" t="str">
        <f>IFERROR(__xludf.DUMMYFUNCTION("""COMPUTED_VALUE"""),"OriginalPurchaseDate")</f>
        <v>OriginalPurchaseDate</v>
      </c>
      <c r="L5" s="28" t="str">
        <f>IFERROR(__xludf.DUMMYFUNCTION("""COMPUTED_VALUE"""),"Pay/Receive")</f>
        <v>Pay/Receive</v>
      </c>
      <c r="M5" s="28" t="str">
        <f>IFERROR(__xludf.DUMMYFUNCTION("""COMPUTED_VALUE"""),"SaveTransaction")</f>
        <v>SaveTransaction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22</v>
      </c>
      <c r="D6" s="13" t="s">
        <v>17</v>
      </c>
      <c r="E6" s="13">
        <v>200.0</v>
      </c>
      <c r="F6" s="8"/>
      <c r="G6" s="13">
        <v>12.0</v>
      </c>
      <c r="H6" s="8"/>
      <c r="I6" s="8"/>
      <c r="J6" s="13" t="s">
        <v>29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CreateTransaction!$4:$4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200.0</v>
      </c>
      <c r="E6" s="13">
        <v>200.0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32</v>
      </c>
      <c r="C6" s="13" t="s">
        <v>22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 t="str">
        <f>IFERROR(__xludf.DUMMYFUNCTION("""COMPUTED_VALUE"""),"Borrower Id")</f>
        <v>Borrower Id</v>
      </c>
      <c r="CW5" s="30" t="str">
        <f>IFERROR(__xludf.DUMMYFUNCTION("""COMPUTED_VALUE"""),"Borrow Rate(%)")</f>
        <v>Borrow Rate(%)</v>
      </c>
      <c r="CX5" s="30" t="str">
        <f>IFERROR(__xludf.DUMMYFUNCTION("""COMPUTED_VALUE"""),"Master Fund")</f>
        <v>Master Fund</v>
      </c>
      <c r="CY5" s="30" t="str">
        <f>IFERROR(__xludf.DUMMYFUNCTION("""COMPUTED_VALUE"""),"MandatoryColumn")</f>
        <v>MandatoryColumn</v>
      </c>
      <c r="CZ5" s="30" t="str">
        <f>IFERROR(__xludf.DUMMYFUNCTION("""COMPUTED_VALUE"""),"Testing Type")</f>
        <v>Testing Type</v>
      </c>
      <c r="DA5" s="30" t="str">
        <f>IFERROR(__xludf.DUMMYFUNCTION("""COMPUTED_VALUE"""),"Testing Column")</f>
        <v>Testing Column</v>
      </c>
      <c r="DB5" s="30" t="str">
        <f>IFERROR(__xludf.DUMMYFUNCTION("""COMPUTED_VALUE"""),"Testing Col Value")</f>
        <v>Testing Col Value</v>
      </c>
      <c r="DC5" s="30" t="str">
        <f>IFERROR(__xludf.DUMMYFUNCTION("""COMPUTED_VALUE"""),"DuplicateRow")</f>
        <v>DuplicateRow</v>
      </c>
      <c r="DD5" s="30" t="str">
        <f>IFERROR(__xludf.DUMMYFUNCTION("""COMPUTED_VALUE"""),"DuplicateCountOnUI")</f>
        <v>DuplicateCountOnUI</v>
      </c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34</v>
      </c>
      <c r="C6" s="8"/>
      <c r="D6" s="8"/>
      <c r="E6" s="13">
        <v>200.0</v>
      </c>
      <c r="F6" s="13" t="s">
        <v>22</v>
      </c>
      <c r="G6" s="13" t="s">
        <v>35</v>
      </c>
      <c r="H6" s="8"/>
      <c r="I6" s="8"/>
      <c r="J6" s="13">
        <v>15.0</v>
      </c>
      <c r="K6" s="13">
        <v>12.0</v>
      </c>
      <c r="L6" s="13">
        <v>12.0</v>
      </c>
      <c r="M6" s="13" t="s">
        <v>36</v>
      </c>
      <c r="N6" s="8"/>
      <c r="O6" s="13" t="s">
        <v>29</v>
      </c>
      <c r="V6" s="9" t="s">
        <v>16</v>
      </c>
      <c r="Z6" s="9" t="s">
        <v>37</v>
      </c>
      <c r="AD6" s="9" t="s">
        <v>38</v>
      </c>
      <c r="AE6" s="9">
        <v>200.0</v>
      </c>
      <c r="AH6" s="9" t="s">
        <v>39</v>
      </c>
      <c r="AI6" s="9">
        <v>1.0</v>
      </c>
      <c r="BJ6" s="9">
        <v>200.0</v>
      </c>
      <c r="BO6" s="9" t="s">
        <v>17</v>
      </c>
      <c r="BT6" s="9" t="s">
        <v>16</v>
      </c>
    </row>
    <row r="7" ht="15.75" customHeight="1">
      <c r="A7" s="8"/>
      <c r="B7" s="13" t="s">
        <v>34</v>
      </c>
      <c r="C7" s="8"/>
      <c r="D7" s="8"/>
      <c r="E7" s="13">
        <v>200.0</v>
      </c>
      <c r="F7" s="13" t="s">
        <v>22</v>
      </c>
      <c r="G7" s="13" t="s">
        <v>35</v>
      </c>
      <c r="H7" s="8"/>
      <c r="I7" s="8"/>
      <c r="J7" s="13">
        <v>15.0</v>
      </c>
      <c r="K7" s="13">
        <v>12.0</v>
      </c>
      <c r="L7" s="13">
        <v>12.0</v>
      </c>
      <c r="M7" s="13" t="s">
        <v>36</v>
      </c>
      <c r="N7" s="8"/>
      <c r="O7" s="13" t="s">
        <v>29</v>
      </c>
      <c r="V7" s="9" t="s">
        <v>16</v>
      </c>
      <c r="Z7" s="9" t="s">
        <v>37</v>
      </c>
      <c r="AD7" s="9" t="s">
        <v>38</v>
      </c>
      <c r="AE7" s="9">
        <v>200.0</v>
      </c>
      <c r="AH7" s="9" t="s">
        <v>39</v>
      </c>
      <c r="AI7" s="9">
        <v>1.0</v>
      </c>
      <c r="BJ7" s="9">
        <v>200.0</v>
      </c>
      <c r="BO7" s="9" t="s">
        <v>17</v>
      </c>
      <c r="BT7" s="9" t="s">
        <v>16</v>
      </c>
    </row>
    <row r="8" ht="15.75" customHeight="1">
      <c r="A8" s="8"/>
      <c r="B8" s="13" t="s">
        <v>34</v>
      </c>
      <c r="C8" s="8"/>
      <c r="D8" s="8"/>
      <c r="E8" s="13">
        <v>200.0</v>
      </c>
      <c r="F8" s="13" t="s">
        <v>22</v>
      </c>
      <c r="G8" s="13" t="s">
        <v>35</v>
      </c>
      <c r="H8" s="8"/>
      <c r="I8" s="8"/>
      <c r="J8" s="13">
        <v>15.0</v>
      </c>
      <c r="K8" s="13">
        <v>12.0</v>
      </c>
      <c r="L8" s="13">
        <v>12.0</v>
      </c>
      <c r="M8" s="13" t="s">
        <v>36</v>
      </c>
      <c r="N8" s="8"/>
      <c r="O8" s="13" t="s">
        <v>29</v>
      </c>
      <c r="V8" s="9" t="s">
        <v>16</v>
      </c>
      <c r="Z8" s="9" t="s">
        <v>37</v>
      </c>
      <c r="AD8" s="9" t="s">
        <v>38</v>
      </c>
      <c r="AE8" s="9">
        <v>200.0</v>
      </c>
      <c r="AH8" s="9" t="s">
        <v>39</v>
      </c>
      <c r="AI8" s="9">
        <v>1.0</v>
      </c>
      <c r="BJ8" s="9">
        <v>200.0</v>
      </c>
      <c r="BO8" s="9" t="s">
        <v>17</v>
      </c>
      <c r="BT8" s="9" t="s">
        <v>16</v>
      </c>
    </row>
    <row r="9" ht="15.75" customHeight="1">
      <c r="A9" s="8"/>
      <c r="B9" s="13" t="s">
        <v>34</v>
      </c>
      <c r="C9" s="8"/>
      <c r="D9" s="8"/>
      <c r="E9" s="13">
        <v>200.0</v>
      </c>
      <c r="F9" s="13" t="s">
        <v>22</v>
      </c>
      <c r="G9" s="13" t="s">
        <v>35</v>
      </c>
      <c r="H9" s="8"/>
      <c r="I9" s="8"/>
      <c r="J9" s="13">
        <v>15.0</v>
      </c>
      <c r="K9" s="13">
        <v>12.0</v>
      </c>
      <c r="L9" s="13">
        <v>12.0</v>
      </c>
      <c r="M9" s="13" t="s">
        <v>36</v>
      </c>
      <c r="N9" s="8"/>
      <c r="O9" s="13" t="s">
        <v>29</v>
      </c>
      <c r="V9" s="9" t="s">
        <v>16</v>
      </c>
      <c r="Z9" s="9" t="s">
        <v>37</v>
      </c>
      <c r="AD9" s="9" t="s">
        <v>38</v>
      </c>
      <c r="AE9" s="9">
        <v>200.0</v>
      </c>
      <c r="AH9" s="9" t="s">
        <v>39</v>
      </c>
      <c r="AI9" s="9">
        <v>1.0</v>
      </c>
      <c r="BJ9" s="9">
        <v>200.0</v>
      </c>
      <c r="BO9" s="9" t="s">
        <v>17</v>
      </c>
      <c r="BT9" s="9" t="s">
        <v>16</v>
      </c>
    </row>
    <row r="10" ht="15.75" customHeight="1">
      <c r="A10" s="8"/>
      <c r="B10" s="13" t="s">
        <v>34</v>
      </c>
      <c r="C10" s="8"/>
      <c r="D10" s="8"/>
      <c r="E10" s="13">
        <v>200.0</v>
      </c>
      <c r="F10" s="34" t="s">
        <v>27</v>
      </c>
      <c r="G10" s="13" t="s">
        <v>35</v>
      </c>
      <c r="H10" s="8"/>
      <c r="I10" s="8"/>
      <c r="J10" s="35">
        <v>1.0</v>
      </c>
      <c r="K10" s="35">
        <v>12.0</v>
      </c>
      <c r="L10" s="35">
        <v>12.0</v>
      </c>
      <c r="M10" s="34" t="s">
        <v>40</v>
      </c>
      <c r="N10" s="8"/>
      <c r="O10" s="13" t="s">
        <v>29</v>
      </c>
      <c r="V10" s="34" t="s">
        <v>41</v>
      </c>
      <c r="Z10" s="9" t="s">
        <v>37</v>
      </c>
      <c r="AD10" s="34" t="s">
        <v>42</v>
      </c>
      <c r="AE10" s="9">
        <v>200.0</v>
      </c>
      <c r="AH10" s="9" t="s">
        <v>39</v>
      </c>
      <c r="AI10" s="9">
        <v>1.0</v>
      </c>
      <c r="BJ10" s="9">
        <v>200.0</v>
      </c>
      <c r="BO10" s="9" t="s">
        <v>17</v>
      </c>
      <c r="BT10" s="9" t="s">
        <v>26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