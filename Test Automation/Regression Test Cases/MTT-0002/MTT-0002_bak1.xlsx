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VerifyWorkingSubs" sheetId="8" r:id="rId10"/>
    <sheet state="visible" name="CheckAllocatedGroups" sheetId="9" r:id="rId11"/>
    <sheet state="visible" name="CheckPortfolioManagement" sheetId="10" r:id="rId12"/>
    <sheet state="visible" name="GetDataAllocation" sheetId="11" r:id="rId13"/>
  </sheets>
  <definedNames/>
  <calcPr/>
</workbook>
</file>

<file path=xl/sharedStrings.xml><?xml version="1.0" encoding="utf-8"?>
<sst xmlns="http://schemas.openxmlformats.org/spreadsheetml/2006/main" count="145" uniqueCount="43">
  <si>
    <t>Settings</t>
  </si>
  <si>
    <t>Modules Info</t>
  </si>
  <si>
    <t>Modules</t>
  </si>
  <si>
    <t>Master Data Info</t>
  </si>
  <si>
    <t>Module</t>
  </si>
  <si>
    <t>Step</t>
  </si>
  <si>
    <t>Master Data Sheet</t>
  </si>
  <si>
    <t>Module Step Setting File</t>
  </si>
  <si>
    <t>1eFq-0rBBBruaRgYp8Plf3EAV1IQUFSYg9ee_wKGGGko</t>
  </si>
  <si>
    <t>Master Data Settings File</t>
  </si>
  <si>
    <t>1Nt_rf5DtgjbN9Ag4AMMlUkZYROxKZLH5m54YOl7tRT0</t>
  </si>
  <si>
    <t>Data</t>
  </si>
  <si>
    <t>TradingTicket</t>
  </si>
  <si>
    <t>CreateStageOrder</t>
  </si>
  <si>
    <t>Data Format</t>
  </si>
  <si>
    <t>Input Format</t>
  </si>
  <si>
    <t xml:space="preserve"> CIE</t>
  </si>
  <si>
    <t>Buy</t>
  </si>
  <si>
    <t>FIT</t>
  </si>
  <si>
    <t>Sell short</t>
  </si>
  <si>
    <t>CLUB</t>
  </si>
  <si>
    <t>Sell</t>
  </si>
  <si>
    <t xml:space="preserve"> PUBM</t>
  </si>
  <si>
    <t>Buy to Close</t>
  </si>
  <si>
    <t>Blotter</t>
  </si>
  <si>
    <t>MultiTradingTicketFromBlotter</t>
  </si>
  <si>
    <t>New</t>
  </si>
  <si>
    <t>MultiTradingTicket</t>
  </si>
  <si>
    <t>BulkChangeTradeDoneAway</t>
  </si>
  <si>
    <t>$#$</t>
  </si>
  <si>
    <t>abc</t>
  </si>
  <si>
    <t>Notional BPS</t>
  </si>
  <si>
    <t>Flat Amount</t>
  </si>
  <si>
    <t>VerifyOrder</t>
  </si>
  <si>
    <t>Filled</t>
  </si>
  <si>
    <t>VerifyWorkingSubs</t>
  </si>
  <si>
    <t>Allocation</t>
  </si>
  <si>
    <t>CheckAllocatedGroups</t>
  </si>
  <si>
    <t>Allocation1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</si>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</sst>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2</v>
      </c>
      <c r="B3" s="13"/>
      <c r="C3" s="14"/>
      <c r="D3" s="14"/>
      <c r="E3" s="14"/>
      <c r="F3" s="14"/>
    </row>
    <row r="4" ht="15.75" customHeight="1">
      <c r="A4" s="12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12"/>
      <c r="B2" s="12"/>
      <c r="C2" s="12"/>
    </row>
    <row r="3" ht="15.75" customHeight="1">
      <c r="A3" s="6" t="s">
        <v>7</v>
      </c>
      <c r="B3" s="15" t="s">
        <v>8</v>
      </c>
      <c r="C3" s="12"/>
    </row>
    <row r="4" ht="15.75" customHeight="1">
      <c r="A4" s="8" t="s">
        <v>9</v>
      </c>
      <c r="B4" s="15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7" t="s">
        <v>3</v>
      </c>
      <c r="B1" s="2"/>
      <c r="C1" s="2"/>
      <c r="D1" s="2"/>
      <c r="E1" s="2"/>
      <c r="F1" s="3"/>
    </row>
    <row r="2">
      <c r="A2" s="5"/>
      <c r="B2" s="5"/>
      <c r="C2" s="5"/>
      <c r="D2" s="5"/>
      <c r="E2" s="5"/>
      <c r="F2" s="5"/>
    </row>
    <row r="3">
      <c r="A3" s="8" t="s">
        <v>4</v>
      </c>
      <c r="B3" s="9" t="s">
        <v>5</v>
      </c>
      <c r="C3" s="9" t="s">
        <v>6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500.0</v>
      </c>
      <c r="E6" s="33">
        <v>500.0</v>
      </c>
      <c r="F6" s="34"/>
      <c r="G6" s="34"/>
      <c r="H6" s="34"/>
      <c r="I6" s="34"/>
      <c r="J6" s="33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0" t="s">
        <v>18</v>
      </c>
      <c r="C7" s="31" t="s">
        <v>19</v>
      </c>
      <c r="D7" s="33">
        <v>400.0</v>
      </c>
      <c r="E7" s="33">
        <v>400.0</v>
      </c>
      <c r="F7" s="34"/>
      <c r="G7" s="34"/>
      <c r="H7" s="34"/>
      <c r="I7" s="34"/>
      <c r="J7" s="33">
        <v>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0" t="s">
        <v>20</v>
      </c>
      <c r="C8" s="31" t="s">
        <v>21</v>
      </c>
      <c r="D8" s="33">
        <v>300.0</v>
      </c>
      <c r="E8" s="33">
        <v>300.0</v>
      </c>
      <c r="F8" s="34"/>
      <c r="G8" s="34"/>
      <c r="H8" s="34"/>
      <c r="I8" s="34"/>
      <c r="J8" s="33">
        <v>6.0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0" t="s">
        <v>22</v>
      </c>
      <c r="C9" s="31" t="s">
        <v>23</v>
      </c>
      <c r="D9" s="33">
        <v>600.0</v>
      </c>
      <c r="E9" s="33">
        <v>600.0</v>
      </c>
      <c r="F9" s="34"/>
      <c r="G9" s="34"/>
      <c r="H9" s="34"/>
      <c r="I9" s="34"/>
      <c r="J9" s="33">
        <v>7.0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24</v>
      </c>
      <c r="D3" s="6" t="s">
        <v>5</v>
      </c>
      <c r="E3" s="21" t="s">
        <v>25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2"/>
      <c r="D6" s="15"/>
      <c r="E6" s="36"/>
      <c r="F6" s="12"/>
      <c r="G6" s="12"/>
      <c r="H6" s="12"/>
      <c r="I6" s="12"/>
      <c r="J6" s="12"/>
      <c r="K6" s="12"/>
      <c r="L6" s="12"/>
      <c r="M6" s="12"/>
      <c r="N6" s="12"/>
      <c r="O6" s="12"/>
      <c r="AI6" s="30" t="s">
        <v>16</v>
      </c>
      <c r="AJ6" s="31" t="s">
        <v>17</v>
      </c>
      <c r="AK6" s="37" t="s">
        <v>26</v>
      </c>
      <c r="AL6" s="33">
        <v>500.0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AI7" s="30" t="s">
        <v>18</v>
      </c>
      <c r="AJ7" s="31" t="s">
        <v>19</v>
      </c>
      <c r="AK7" s="37" t="s">
        <v>26</v>
      </c>
      <c r="AL7" s="33">
        <v>400.0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AI8" s="30" t="s">
        <v>20</v>
      </c>
      <c r="AJ8" s="31" t="s">
        <v>21</v>
      </c>
      <c r="AK8" s="37" t="s">
        <v>26</v>
      </c>
      <c r="AL8" s="33">
        <v>300.0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AI9" s="30" t="s">
        <v>22</v>
      </c>
      <c r="AJ9" s="31" t="s">
        <v>23</v>
      </c>
      <c r="AK9" s="37" t="s">
        <v>26</v>
      </c>
      <c r="AL9" s="33">
        <v>600.0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27</v>
      </c>
      <c r="D3" s="6" t="s">
        <v>5</v>
      </c>
      <c r="E3" s="21" t="s">
        <v>28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s">
        <v>29</v>
      </c>
      <c r="C6" s="31" t="s">
        <v>29</v>
      </c>
      <c r="D6" s="39" t="s">
        <v>29</v>
      </c>
      <c r="E6" s="33"/>
      <c r="F6" s="30"/>
      <c r="G6" s="34"/>
      <c r="H6" s="31"/>
      <c r="I6" s="31"/>
      <c r="J6" s="33"/>
      <c r="K6" s="31" t="s">
        <v>29</v>
      </c>
      <c r="L6" s="31" t="s">
        <v>29</v>
      </c>
      <c r="M6" s="31" t="s">
        <v>29</v>
      </c>
      <c r="N6" s="40"/>
      <c r="O6" s="33">
        <v>1.0</v>
      </c>
      <c r="P6" s="34" t="s">
        <v>30</v>
      </c>
      <c r="Q6" s="34"/>
      <c r="R6" s="34" t="s">
        <v>31</v>
      </c>
      <c r="S6" s="41">
        <v>5.0</v>
      </c>
      <c r="T6" s="34" t="s">
        <v>32</v>
      </c>
      <c r="U6" s="41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1"/>
      <c r="AH6" s="41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24</v>
      </c>
      <c r="D3" s="6" t="s">
        <v>5</v>
      </c>
      <c r="E3" s="21" t="s">
        <v>33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2"/>
      <c r="D6" s="15"/>
      <c r="E6" s="36"/>
      <c r="F6" s="12"/>
      <c r="G6" s="12"/>
      <c r="H6" s="12"/>
      <c r="I6" s="12"/>
      <c r="J6" s="12"/>
      <c r="K6" s="12"/>
      <c r="L6" s="12"/>
      <c r="M6" s="12"/>
      <c r="N6" s="12"/>
      <c r="O6" s="12"/>
      <c r="AI6" s="30" t="s">
        <v>16</v>
      </c>
      <c r="AJ6" s="31" t="s">
        <v>17</v>
      </c>
      <c r="AK6" s="35" t="s">
        <v>34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AI7" s="30" t="s">
        <v>18</v>
      </c>
      <c r="AJ7" s="31" t="s">
        <v>19</v>
      </c>
      <c r="AK7" s="35" t="s">
        <v>34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AI8" s="30" t="s">
        <v>20</v>
      </c>
      <c r="AJ8" s="31" t="s">
        <v>21</v>
      </c>
      <c r="AK8" s="35" t="s">
        <v>34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AI9" s="30" t="s">
        <v>22</v>
      </c>
      <c r="AJ9" s="31" t="s">
        <v>23</v>
      </c>
      <c r="AK9" s="35" t="s">
        <v>34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24</v>
      </c>
      <c r="D3" s="6" t="s">
        <v>5</v>
      </c>
      <c r="E3" s="21" t="s">
        <v>35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IFERROR(__xludf.DUMMYFUNCTION("""COMPUTED_VALUE"""),"Unexecuted Qty")</f>
        <v>Unexecuted Qty</v>
      </c>
      <c r="G5" s="26" t="str">
        <f>IFERROR(__xludf.DUMMYFUNCTION("""COMPUTED_VALUE"""),"Status")</f>
        <v>Status</v>
      </c>
      <c r="H5" s="26" t="str">
        <f>IFERROR(__xludf.DUMMYFUNCTION("""COMPUTED_VALUE"""),"Last Shares")</f>
        <v>Last Shares</v>
      </c>
      <c r="I5" s="26" t="str">
        <f>IFERROR(__xludf.DUMMYFUNCTION("""COMPUTED_VALUE"""),"Last Fill Price (Local)")</f>
        <v>Last Fill Price (Local)</v>
      </c>
      <c r="J5" s="26" t="str">
        <f>IFERROR(__xludf.DUMMYFUNCTION("""COMPUTED_VALUE"""),"Avg Fill Price (Local)")</f>
        <v>Avg Fill Price (Local)</v>
      </c>
      <c r="K5" s="26" t="str">
        <f>IFERROR(__xludf.DUMMYFUNCTION("""COMPUTED_VALUE"""),"Broker")</f>
        <v>Broker</v>
      </c>
      <c r="L5" s="26" t="str">
        <f>IFERROR(__xludf.DUMMYFUNCTION("""COMPUTED_VALUE"""),"Account")</f>
        <v>Account</v>
      </c>
      <c r="M5" s="26" t="str">
        <f>IFERROR(__xludf.DUMMYFUNCTION("""COMPUTED_VALUE"""),"Order Type")</f>
        <v>Order Type</v>
      </c>
      <c r="N5" s="26" t="str">
        <f>IFERROR(__xludf.DUMMYFUNCTION("""COMPUTED_VALUE"""),"OrderStatus")</f>
        <v>OrderStatus</v>
      </c>
      <c r="O5" s="26" t="str">
        <f>IFERROR(__xludf.DUMMYFUNCTION("""COMPUTED_VALUE"""),"Avg Fill Price (Base)")</f>
        <v>Avg Fill Price (Base)</v>
      </c>
      <c r="P5" s="26" t="str">
        <f>IFERROR(__xludf.DUMMYFUNCTION("""COMPUTED_VALUE"""),"Limit Price")</f>
        <v>Limit Price</v>
      </c>
      <c r="Q5" s="26" t="str">
        <f>IFERROR(__xludf.DUMMYFUNCTION("""COMPUTED_VALUE"""),"Stop Price")</f>
        <v>Stop Price</v>
      </c>
      <c r="R5" s="26" t="str">
        <f>IFERROR(__xludf.DUMMYFUNCTION("""COMPUTED_VALUE"""),"User")</f>
        <v>User</v>
      </c>
      <c r="S5" s="26" t="str">
        <f>IFERROR(__xludf.DUMMYFUNCTION("""COMPUTED_VALUE"""),"Bloomberg Symbol")</f>
        <v>Bloomberg Symbol</v>
      </c>
      <c r="T5" s="28" t="str">
        <f>IFERROR(__xludf.DUMMYFUNCTION("""COMPUTED_VALUE"""),"Algo")</f>
        <v>Algo</v>
      </c>
      <c r="U5" s="28" t="str">
        <f>IFERROR(__xludf.DUMMYFUNCTION("""COMPUTED_VALUE"""),"Allocation Scheme Name")</f>
        <v>Allocation Scheme Name</v>
      </c>
      <c r="V5" s="28" t="str">
        <f>IFERROR(__xludf.DUMMYFUNCTION("""COMPUTED_VALUE"""),"Allocation Status")</f>
        <v>Allocation Status</v>
      </c>
      <c r="W5" s="28" t="str">
        <f>IFERROR(__xludf.DUMMYFUNCTION("""COMPUTED_VALUE"""),"Asset Class")</f>
        <v>Asset Class</v>
      </c>
      <c r="X5" s="28" t="str">
        <f>IFERROR(__xludf.DUMMYFUNCTION("""COMPUTED_VALUE"""),"FX Conversion Operator")</f>
        <v>FX Conversion Operator</v>
      </c>
      <c r="Y5" s="28" t="str">
        <f>IFERROR(__xludf.DUMMYFUNCTION("""COMPUTED_VALUE"""),"FX Rate")</f>
        <v>FX Rate</v>
      </c>
      <c r="Z5" s="28" t="str">
        <f>IFERROR(__xludf.DUMMYFUNCTION("""COMPUTED_VALUE"""),"Imported File Name")</f>
        <v>Imported File Name</v>
      </c>
      <c r="AA5" s="28" t="str">
        <f>IFERROR(__xludf.DUMMYFUNCTION("""COMPUTED_VALUE"""),"Internal Comments")</f>
        <v>Internal Comments</v>
      </c>
      <c r="AB5" s="28" t="str">
        <f>IFERROR(__xludf.DUMMYFUNCTION("""COMPUTED_VALUE"""),"Peg")</f>
        <v>Peg</v>
      </c>
      <c r="AC5" s="28" t="str">
        <f>IFERROR(__xludf.DUMMYFUNCTION("""COMPUTED_VALUE"""),"Principal Amount (Base)")</f>
        <v>Principal Amount (Base)</v>
      </c>
      <c r="AD5" s="28" t="str">
        <f>IFERROR(__xludf.DUMMYFUNCTION("""COMPUTED_VALUE"""),"Principal Amount (Local)")</f>
        <v>Principal Amount (Local)</v>
      </c>
      <c r="AE5" s="28" t="str">
        <f>IFERROR(__xludf.DUMMYFUNCTION("""COMPUTED_VALUE"""),"Process Date")</f>
        <v>Process Date</v>
      </c>
      <c r="AF5" s="28" t="str">
        <f>IFERROR(__xludf.DUMMYFUNCTION("""COMPUTED_VALUE"""),"Put/Call")</f>
        <v>Put/Call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IFERROR(__xludf.DUMMYFUNCTION("""COMPUTED_VALUE"""),"Source")</f>
        <v>Source</v>
      </c>
      <c r="AI5" s="28" t="str">
        <f>IFERROR(__xludf.DUMMYFUNCTION("""COMPUTED_VALUE"""),"Status (With Rollover)")</f>
        <v>Status (With Rollover)</v>
      </c>
      <c r="AJ5" s="28" t="str">
        <f>IFERROR(__xludf.DUMMYFUNCTION("""COMPUTED_VALUE"""),"Strategy")</f>
        <v>Strategy</v>
      </c>
      <c r="AK5" s="28" t="str">
        <f>IFERROR(__xludf.DUMMYFUNCTION("""COMPUTED_VALUE"""),"Strike Price")</f>
        <v>Strike Price</v>
      </c>
      <c r="AL5" s="28" t="str">
        <f>IFERROR(__xludf.DUMMYFUNCTION("""COMPUTED_VALUE"""),"Trade Attribute 1")</f>
        <v>Trade Attribute 1</v>
      </c>
      <c r="AM5" s="28" t="str">
        <f>IFERROR(__xludf.DUMMYFUNCTION("""COMPUTED_VALUE"""),"Trade Attribute 2")</f>
        <v>Trade Attribute 2</v>
      </c>
      <c r="AN5" s="28" t="str">
        <f>IFERROR(__xludf.DUMMYFUNCTION("""COMPUTED_VALUE"""),"Trade Attribute 3")</f>
        <v>Trade Attribute 3</v>
      </c>
      <c r="AO5" s="28" t="str">
        <f>IFERROR(__xludf.DUMMYFUNCTION("""COMPUTED_VALUE"""),"Trade Attribute 4")</f>
        <v>Trade Attribute 4</v>
      </c>
      <c r="AP5" s="28" t="str">
        <f>IFERROR(__xludf.DUMMYFUNCTION("""COMPUTED_VALUE"""),"Trade Attribute 5")</f>
        <v>Trade Attribute 5</v>
      </c>
      <c r="AQ5" s="28" t="str">
        <f>IFERROR(__xludf.DUMMYFUNCTION("""COMPUTED_VALUE"""),"Trade Attribute 6")</f>
        <v>Trade Attribute 6</v>
      </c>
      <c r="AR5" s="28" t="str">
        <f>IFERROR(__xludf.DUMMYFUNCTION("""COMPUTED_VALUE"""),"Trader")</f>
        <v>Trader</v>
      </c>
      <c r="AS5" s="28" t="str">
        <f>IFERROR(__xludf.DUMMYFUNCTION("""COMPUTED_VALUE"""),"Transaction Time")</f>
        <v>Transaction Time</v>
      </c>
      <c r="AT5" s="28" t="str">
        <f>IFERROR(__xludf.DUMMYFUNCTION("""COMPUTED_VALUE"""),"Underlying Country")</f>
        <v>Underlying Country</v>
      </c>
      <c r="AU5" s="28" t="str">
        <f>IFERROR(__xludf.DUMMYFUNCTION("""COMPUTED_VALUE"""),"Underlying Symbol")</f>
        <v>Underlying Symbol</v>
      </c>
      <c r="AV5" s="28" t="str">
        <f>IFERROR(__xludf.DUMMYFUNCTION("""COMPUTED_VALUE"""),"Venue")</f>
        <v>Venue</v>
      </c>
      <c r="AW5" s="28" t="str">
        <f>IFERROR(__xludf.DUMMYFUNCTION("""COMPUTED_VALUE"""),"Working Qty")</f>
        <v>Working Qty</v>
      </c>
      <c r="AX5" s="28" t="str">
        <f>IFERROR(__xludf.DUMMYFUNCTION("""COMPUTED_VALUE"""),"Client")</f>
        <v>Client</v>
      </c>
      <c r="AY5" s="28" t="str">
        <f>IFERROR(__xludf.DUMMYFUNCTION("""COMPUTED_VALUE"""),"OrderID")</f>
        <v>OrderID</v>
      </c>
      <c r="AZ5" s="28" t="str">
        <f>IFERROR(__xludf.DUMMYFUNCTION("""COMPUTED_VALUE"""),"ParentClOrderID")</f>
        <v>ParentClOrderID</v>
      </c>
      <c r="BA5" s="28" t="str">
        <f>IFERROR(__xludf.DUMMYFUNCTION("""COMPUTED_VALUE"""),"Master Fund")</f>
        <v>Master Fund</v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0" t="s">
        <v>16</v>
      </c>
      <c r="C6" s="31" t="s">
        <v>17</v>
      </c>
      <c r="D6" s="33">
        <v>500.0</v>
      </c>
      <c r="E6" s="33">
        <v>500.0</v>
      </c>
      <c r="F6" s="12"/>
      <c r="G6" s="15" t="s">
        <v>34</v>
      </c>
      <c r="I6" s="12"/>
      <c r="J6" s="12"/>
      <c r="K6" s="12"/>
      <c r="L6" s="12"/>
      <c r="M6" s="15"/>
      <c r="N6" s="12"/>
      <c r="O6" s="12"/>
    </row>
    <row r="7" ht="15.75" customHeight="1">
      <c r="A7" s="12"/>
      <c r="B7" s="30" t="s">
        <v>18</v>
      </c>
      <c r="C7" s="31" t="s">
        <v>19</v>
      </c>
      <c r="D7" s="33">
        <v>400.0</v>
      </c>
      <c r="E7" s="33">
        <v>400.0</v>
      </c>
      <c r="F7" s="12"/>
      <c r="G7" s="15" t="s">
        <v>34</v>
      </c>
      <c r="I7" s="12"/>
      <c r="J7" s="12"/>
      <c r="K7" s="12"/>
      <c r="L7" s="12"/>
      <c r="M7" s="15"/>
      <c r="N7" s="12"/>
      <c r="O7" s="12"/>
    </row>
    <row r="8" ht="15.75" customHeight="1">
      <c r="A8" s="12"/>
      <c r="B8" s="30" t="s">
        <v>20</v>
      </c>
      <c r="C8" s="31" t="s">
        <v>21</v>
      </c>
      <c r="D8" s="33">
        <v>300.0</v>
      </c>
      <c r="E8" s="33">
        <v>300.0</v>
      </c>
      <c r="F8" s="12"/>
      <c r="G8" s="15" t="s">
        <v>34</v>
      </c>
      <c r="I8" s="12"/>
      <c r="J8" s="12"/>
      <c r="K8" s="12"/>
      <c r="L8" s="12"/>
      <c r="M8" s="15"/>
      <c r="N8" s="12"/>
      <c r="O8" s="12"/>
    </row>
    <row r="9" ht="15.75" customHeight="1">
      <c r="A9" s="12"/>
      <c r="B9" s="30" t="s">
        <v>22</v>
      </c>
      <c r="C9" s="31" t="s">
        <v>23</v>
      </c>
      <c r="D9" s="33">
        <v>600.0</v>
      </c>
      <c r="E9" s="33">
        <v>600.0</v>
      </c>
      <c r="F9" s="12"/>
      <c r="G9" s="15" t="s">
        <v>34</v>
      </c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36</v>
      </c>
      <c r="D3" s="6" t="s">
        <v>5</v>
      </c>
      <c r="E3" s="21" t="s">
        <v>37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38</v>
      </c>
      <c r="C6" s="12"/>
      <c r="D6" s="15"/>
      <c r="E6" s="36"/>
      <c r="F6" s="12"/>
      <c r="G6" s="12"/>
      <c r="H6" s="12"/>
      <c r="I6" s="12"/>
      <c r="J6" s="12"/>
      <c r="K6" s="12"/>
      <c r="L6" s="12"/>
      <c r="M6" s="12"/>
      <c r="N6" s="12"/>
      <c r="O6" s="12"/>
      <c r="BO6" s="31" t="s">
        <v>17</v>
      </c>
      <c r="BT6" s="30" t="s">
        <v>16</v>
      </c>
    </row>
    <row r="7" ht="15.75" customHeight="1">
      <c r="A7" s="12"/>
      <c r="B7" s="15" t="s">
        <v>38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BO7" s="31" t="s">
        <v>19</v>
      </c>
      <c r="BT7" s="30" t="s">
        <v>18</v>
      </c>
    </row>
    <row r="8" ht="15.75" customHeight="1">
      <c r="A8" s="12"/>
      <c r="B8" s="15" t="s">
        <v>38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BO8" s="31" t="s">
        <v>21</v>
      </c>
      <c r="BT8" s="30" t="s">
        <v>20</v>
      </c>
    </row>
    <row r="9" ht="15.75" customHeight="1">
      <c r="A9" s="12"/>
      <c r="B9" s="15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BO9" s="31" t="s">
        <v>23</v>
      </c>
      <c r="BT9" s="30" t="s">
        <v>22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39</v>
      </c>
      <c r="D3" s="6" t="s">
        <v>5</v>
      </c>
      <c r="E3" s="21" t="s">
        <v>40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IFERROR(__xludf.DUMMYFUNCTION("""COMPUTED_VALUE"""),"Client")</f>
        <v>Client</v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5"/>
      <c r="B6" s="15"/>
      <c r="C6" s="30" t="s">
        <v>16</v>
      </c>
      <c r="D6" s="15"/>
      <c r="E6" s="15" t="s">
        <v>38</v>
      </c>
      <c r="F6" s="12"/>
      <c r="G6" s="12"/>
      <c r="H6" s="12"/>
      <c r="I6" s="12"/>
      <c r="J6" s="12"/>
      <c r="K6" s="12"/>
      <c r="L6" s="12"/>
      <c r="M6" s="12"/>
      <c r="N6" s="12"/>
      <c r="O6" s="12"/>
      <c r="AN6" s="31" t="s">
        <v>17</v>
      </c>
    </row>
    <row r="7" ht="15.75" customHeight="1">
      <c r="A7" s="12"/>
      <c r="B7" s="12"/>
      <c r="C7" s="30" t="s">
        <v>18</v>
      </c>
      <c r="D7" s="12"/>
      <c r="E7" s="15" t="s">
        <v>38</v>
      </c>
      <c r="F7" s="12"/>
      <c r="G7" s="12"/>
      <c r="H7" s="12"/>
      <c r="I7" s="12"/>
      <c r="J7" s="12"/>
      <c r="K7" s="12"/>
      <c r="L7" s="12"/>
      <c r="M7" s="12"/>
      <c r="N7" s="12"/>
      <c r="O7" s="12"/>
      <c r="AN7" s="31" t="s">
        <v>19</v>
      </c>
    </row>
    <row r="8" ht="15.75" customHeight="1">
      <c r="A8" s="12"/>
      <c r="B8" s="12"/>
      <c r="C8" s="30" t="s">
        <v>20</v>
      </c>
      <c r="D8" s="12"/>
      <c r="E8" s="15" t="s">
        <v>38</v>
      </c>
      <c r="F8" s="12"/>
      <c r="G8" s="12"/>
      <c r="H8" s="12"/>
      <c r="I8" s="12"/>
      <c r="J8" s="12"/>
      <c r="K8" s="12"/>
      <c r="L8" s="12"/>
      <c r="M8" s="12"/>
      <c r="N8" s="12"/>
      <c r="O8" s="12"/>
      <c r="AN8" s="31" t="s">
        <v>21</v>
      </c>
    </row>
    <row r="9" ht="15.75" customHeight="1">
      <c r="A9" s="12"/>
      <c r="B9" s="12"/>
      <c r="C9" s="30" t="s">
        <v>22</v>
      </c>
      <c r="D9" s="12"/>
      <c r="E9" s="15" t="s">
        <v>38</v>
      </c>
      <c r="F9" s="12"/>
      <c r="G9" s="12"/>
      <c r="H9" s="12"/>
      <c r="I9" s="12"/>
      <c r="J9" s="12"/>
      <c r="K9" s="12"/>
      <c r="L9" s="12"/>
      <c r="M9" s="12"/>
      <c r="N9" s="12"/>
      <c r="O9" s="12"/>
      <c r="AN9" s="31" t="s">
        <v>23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36</v>
      </c>
      <c r="D3" s="6" t="s">
        <v>5</v>
      </c>
      <c r="E3" s="21" t="s">
        <v>41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42</v>
      </c>
      <c r="C6" s="12"/>
      <c r="D6" s="15"/>
      <c r="E6" s="36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