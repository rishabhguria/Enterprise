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DollarAmountPermission" sheetId="4" r:id="rId6"/>
    <sheet state="visible" name="CreateDoneAwayOrder" sheetId="5" r:id="rId7"/>
    <sheet state="visible" name="GetDailyCash" sheetId="6" r:id="rId8"/>
    <sheet state="visible" name="UpdateDailyCash" sheetId="7" r:id="rId9"/>
    <sheet state="visible" name="PricingInput" sheetId="8" r:id="rId10"/>
    <sheet state="visible" name="CalculatePTT" sheetId="9" r:id="rId11"/>
    <sheet state="visible" name="VerifyPTT" sheetId="10" r:id="rId12"/>
    <sheet state="visible" name="TradePTT" sheetId="11" r:id="rId13"/>
    <sheet state="visible" name="CreateDoneAwayOrder1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<sst xmlns="http://schemas.openxmlformats.org/spreadsheetml/2006/main" count="533" uniqueCount="46">
  <si>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</si>
  <si>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</si>
  <si>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</si>
  <si>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</si>
  <si>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</si>
  <si>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</si>
  <si>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</si>
  <si>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</si>
  <si>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</si>
  <si>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</si>
  <si>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</si>
  <si>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</si>
  <si>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</si>
  <si>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</si>
  <si>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</si>
  <si>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</si>
  <si>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</si>
  <si>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</si>
  <si>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</si>
  <si>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</si>
  <si>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</si>
  <si>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MS</t>
  </si>
  <si>
    <t>DailyValuation</t>
  </si>
  <si>
    <t>GetDailyCash</t>
  </si>
  <si>
    <t>UpdateDailyCash</t>
  </si>
  <si>
    <t>USD</t>
  </si>
  <si>
    <t>PricingInput</t>
  </si>
  <si>
    <t>PTT</t>
  </si>
  <si>
    <t>CalculatePTT</t>
  </si>
  <si>
    <t>Set</t>
  </si>
  <si>
    <t>$ Amount</t>
  </si>
  <si>
    <t>Yes</t>
  </si>
  <si>
    <t>Account</t>
  </si>
  <si>
    <t>VerifyPTT</t>
  </si>
  <si>
    <t/>
  </si>
  <si>
    <t>TradePTT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</si>
  <si>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</si>
  <si>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</si>
  <si>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</si>
  <si>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</si>
  <si>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</si>
  <si>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</si>
  <si>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</si>
  <si>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Equity</t>
  </si>
  <si>
    <t>NASDAQ</t>
  </si>
  <si>
    <t>Small Cap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</si>
</sst>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3" numFmtId="164" xfId="0" applyAlignment="1" applyFont="1" applyNumberFormat="1">
      <alignment vertical="bottom"/>
    </xf>
    <xf borderId="5" fillId="0" fontId="3" numFmtId="164" xfId="0" applyAlignment="1" applyBorder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>
      <c r="A558" t="str">
        <f>IFERROR(__xludf.DUMMYFUNCTION("""COMPUTED_VALUE"""),"TradingTicket")</f>
        <v>TradingTicket</v>
      </c>
      <c r="B558" t="str">
        <f>IFERROR(__xludf.DUMMYFUNCTION("""COMPUTED_VALUE"""),"CreateNewSubLiveOrder")</f>
        <v>CreateNewSubLiveOrder</v>
      </c>
      <c r="C558" t="str">
        <f>IFERROR(__xludf.DUMMYFUNCTION("""COMPUTED_VALUE"""),"12zWky2LmOXrqIXPltYfxypKjuQf3ZHGv1mz-xQGxKTQ")</f>
        <v>12zWky2LmOXrqIXPltYfxypKjuQf3ZHGv1mz-xQGxKTQ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IFERROR(__xludf.DUMMYFUNCTION("""COMPUTED_VALUE"""),"ViewPTTAllocationDetails")</f>
        <v>ViewPTTAllocationDetails</v>
      </c>
      <c r="C559" t="str">
        <f>IFERROR(__xludf.DUMMYFUNCTION("""COMPUTED_VALUE"""),"1KoA0Wc5hAar-q0SNiFxHZv5O7_6Ub43E0Baobavff04")</f>
        <v>1KoA0Wc5hAar-q0SNiFxHZv5O7_6Ub43E0Baobavff04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IFERROR(__xludf.DUMMYFUNCTION("""COMPUTED_VALUE"""),"RestartSQL")</f>
        <v>RestartSQL</v>
      </c>
      <c r="C560" t="str">
        <f>IFERROR(__xludf.DUMMYFUNCTION("""COMPUTED_VALUE"""),"1vVUSxh3aheqbZRQq-3oJhAe8OKjNysk1JPVf_W8f5l0")</f>
        <v>1vVUSxh3aheqbZRQq-3oJhAe8OKjNysk1JPVf_W8f5l0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IFERROR(__xludf.DUMMYFUNCTION("""COMPUTED_VALUE"""),"TradeAuditCleanUp")</f>
        <v>TradeAuditCleanUp</v>
      </c>
      <c r="C561" t="str">
        <f>IFERROR(__xludf.DUMMYFUNCTION("""COMPUTED_VALUE"""),"1X5YzKAgrVFRed11iGwwlj-Wh1wAD0gvmGSkTbMQqBao")</f>
        <v>1X5YzKAgrVFRed11iGwwlj-Wh1wAD0gvmGSkTbMQqBao</v>
      </c>
    </row>
    <row r="562" ht="15.75" customHeight="1">
      <c r="A562" t="str">
        <f>IFERROR(__xludf.DUMMYFUNCTION("""COMPUTED_VALUE"""),"Import")</f>
        <v>Import</v>
      </c>
      <c r="B562" t="str">
        <f>IFERROR(__xludf.DUMMYFUNCTION("""COMPUTED_VALUE"""),"SelectTradeOnImport")</f>
        <v>SelectTradeOnImport</v>
      </c>
      <c r="C562" t="str">
        <f>IFERROR(__xludf.DUMMYFUNCTION("""COMPUTED_VALUE"""),"10cAOM3qnGaWW44q9z21WEIOpJdPIAth5hr8jecUfG6A")</f>
        <v>10cAOM3qnGaWW44q9z21WEIOpJdPIAth5hr8jecUfG6A</v>
      </c>
    </row>
    <row r="563" ht="15.75" customHeight="1">
      <c r="A563" t="str">
        <f>IFERROR(__xludf.DUMMYFUNCTION("""COMPUTED_VALUE"""),"Allocation")</f>
        <v>Allocation</v>
      </c>
      <c r="B563" t="str">
        <f>IFERROR(__xludf.DUMMYFUNCTION("""COMPUTED_VALUE"""),"SelectAllRowsAllocated")</f>
        <v>SelectAllRowsAllocated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IFERROR(__xludf.DUMMYFUNCTION("""COMPUTED_VALUE"""),"FilterLongPositionGrid")</f>
        <v>FilterLongPositionGrid</v>
      </c>
      <c r="C564" t="str">
        <f>IFERROR(__xludf.DUMMYFUNCTION("""COMPUTED_VALUE"""),"11V4DM1OMXH_V53PIsUZCW0QthHjB-hG0fn99Yo8Ry2c")</f>
        <v>11V4DM1OMXH_V53PIsUZCW0QthHjB-hG0fn99Yo8Ry2c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IFERROR(__xludf.DUMMYFUNCTION("""COMPUTED_VALUE"""),"FilterShortPositionGrid")</f>
        <v>FilterShortPositionGrid</v>
      </c>
      <c r="C565" t="str">
        <f>IFERROR(__xludf.DUMMYFUNCTION("""COMPUTED_VALUE"""),"1PD9u3XtwrJXt2fU5ghvPjJ7SpxcIKIIWrKF4YF7wZdo")</f>
        <v>1PD9u3XtwrJXt2fU5ghvPjJ7SpxcIKIIWrKF4YF7wZdo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IFERROR(__xludf.DUMMYFUNCTION("""COMPUTED_VALUE"""),"FilterClosingGrid")</f>
        <v>FilterClosingGrid</v>
      </c>
      <c r="C566" t="str">
        <f>IFERROR(__xludf.DUMMYFUNCTION("""COMPUTED_VALUE"""),"1zS4ALOAI4Qv9-imwrJ3P0juiFH5-Vvf_4yLE3c_77ww")</f>
        <v>1zS4ALOAI4Qv9-imwrJ3P0juiFH5-Vvf_4yLE3c_77ww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IFERROR(__xludf.DUMMYFUNCTION("""COMPUTED_VALUE"""),"FilterUnexpiredGrid")</f>
        <v>FilterUnexpiredGrid</v>
      </c>
      <c r="C567" t="str">
        <f>IFERROR(__xludf.DUMMYFUNCTION("""COMPUTED_VALUE"""),"1cf7V2VglYQWMxr9jI82Z1YFUP_Ufd3RrESoDhAX5nFQ")</f>
        <v>1cf7V2VglYQWMxr9jI82Z1YFUP_Ufd3RrESoDhAX5nFQ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IFERROR(__xludf.DUMMYFUNCTION("""COMPUTED_VALUE"""),"FilterExpiredGrid")</f>
        <v>FilterExpiredGrid</v>
      </c>
      <c r="C568" t="str">
        <f>IFERROR(__xludf.DUMMYFUNCTION("""COMPUTED_VALUE"""),"1pw8K3dcvVISd7jxODSx2U2PTzTKu53dxX_05mlkByK4")</f>
        <v>1pw8K3dcvVISd7jxODSx2U2PTzTKu53dxX_05mlkByK4</v>
      </c>
    </row>
    <row r="569" ht="15.75" customHeight="1">
      <c r="A569" t="str">
        <f>IFERROR(__xludf.DUMMYFUNCTION("""COMPUTED_VALUE"""),"GeneralLedger")</f>
        <v>GeneralLedger</v>
      </c>
      <c r="B569" t="str">
        <f>IFERROR(__xludf.DUMMYFUNCTION("""COMPUTED_VALUE"""),"FilterCashTransactionGrid")</f>
        <v>FilterCashTransactionGrid</v>
      </c>
      <c r="C569" t="str">
        <f>IFERROR(__xludf.DUMMYFUNCTION("""COMPUTED_VALUE"""),"1PqRBZQJtY5Oa2Uxs4vSRclsIlxPwyMvlrr2UUTSIb3Y")</f>
        <v>1PqRBZQJtY5Oa2Uxs4vSRclsIlxPwyMvlrr2UUTSIb3Y</v>
      </c>
    </row>
    <row r="570" ht="15.75" customHeight="1">
      <c r="A570" t="str">
        <f>IFERROR(__xludf.DUMMYFUNCTION("""COMPUTED_VALUE"""),"Recon")</f>
        <v>Recon</v>
      </c>
      <c r="B570" t="str">
        <f>IFERROR(__xludf.DUMMYFUNCTION("""COMPUTED_VALUE"""),"VerifyApplicationData")</f>
        <v>VerifyApplicationData</v>
      </c>
      <c r="C570" t="str">
        <f>IFERROR(__xludf.DUMMYFUNCTION("""COMPUTED_VALUE"""),"1gMSDalyxsP_enjWpKNvUKpnf9DVP87AgNzPibA-eyb0")</f>
        <v>1gMSDalyxsP_enjWpKNvUKpnf9DVP87AgNzPibA-eyb0</v>
      </c>
    </row>
    <row r="571" ht="15.75" customHeight="1">
      <c r="A571" t="str">
        <f>IFERROR(__xludf.DUMMYFUNCTION("""COMPUTED_VALUE"""),"GeneralLedger")</f>
        <v>GeneralLedger</v>
      </c>
      <c r="B571" t="str">
        <f>IFERROR(__xludf.DUMMYFUNCTION("""COMPUTED_VALUE"""),"EditGridCashTransactions")</f>
        <v>EditGridCashTransactions</v>
      </c>
      <c r="C571" t="str">
        <f>IFERROR(__xludf.DUMMYFUNCTION("""COMPUTED_VALUE"""),"1A9WP5K6T6_O4S-M78Jx1SEqevonRbthbPCskWXVzxtk")</f>
        <v>1A9WP5K6T6_O4S-M78Jx1SEqevonRbthbPCskWXVzxtk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IFERROR(__xludf.DUMMYFUNCTION("""COMPUTED_VALUE"""),"UnwindAllClosingData")</f>
        <v>UnwindAllClosingData</v>
      </c>
      <c r="C572" t="str">
        <f>IFERROR(__xludf.DUMMYFUNCTION("""COMPUTED_VALUE"""),"1W0sVWSXhitgjuC6P5w0kTp7TvFL-kAol4gyIX8lhd5w")</f>
        <v>1W0sVWSXhitgjuC6P5w0kTp7TvFL-kAol4gyIX8lhd5w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IFERROR(__xludf.DUMMYFUNCTION("""COMPUTED_VALUE"""),"SaveCashTransaction")</f>
        <v>SaveCashTransaction</v>
      </c>
      <c r="C573" t="str">
        <f>IFERROR(__xludf.DUMMYFUNCTION("""COMPUTED_VALUE"""),"1FAh4CFdlozjSlNDU3BUeaQu_1zckRBcWM8KQooONyxs")</f>
        <v>1FAh4CFdlozjSlNDU3BUeaQu_1zckRBcWM8KQooONyxs</v>
      </c>
    </row>
    <row r="574" ht="15.75" customHeight="1">
      <c r="A574" t="str">
        <f>IFERROR(__xludf.DUMMYFUNCTION("""COMPUTED_VALUE"""),"ThirdParty")</f>
        <v>ThirdParty</v>
      </c>
      <c r="B574" t="str">
        <f>IFERROR(__xludf.DUMMYFUNCTION("""COMPUTED_VALUE"""),"ChangeThirdpartyDate")</f>
        <v>ChangeThirdpartyDate</v>
      </c>
      <c r="C574" t="str">
        <f>IFERROR(__xludf.DUMMYFUNCTION("""COMPUTED_VALUE"""),"1F219wmX8xrFPgma8cjoUCm7q9nq-W9yFK7PTO5OggJw")</f>
        <v>1F219wmX8xrFPgma8cjoUCm7q9nq-W9yFK7PTO5OggJw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IFERROR(__xludf.DUMMYFUNCTION("""COMPUTED_VALUE"""),"RunManualRevaluation")</f>
        <v>RunManualRevaluation</v>
      </c>
      <c r="C575" t="str">
        <f>IFERROR(__xludf.DUMMYFUNCTION("""COMPUTED_VALUE"""),"1D5Y3RzzSSQaYL3n3QrXxry0SwVaG4gnMSCxFKtFszpQ")</f>
        <v>1D5Y3RzzSSQaYL3n3QrXxry0SwVaG4gnMSCxFKtFszpQ</v>
      </c>
    </row>
    <row r="576" ht="15.75" customHeight="1">
      <c r="A576" t="str">
        <f>IFERROR(__xludf.DUMMYFUNCTION("""COMPUTED_VALUE"""),"SymbolLookup")</f>
        <v>SymbolLookup</v>
      </c>
      <c r="B576" t="str">
        <f>IFERROR(__xludf.DUMMYFUNCTION("""COMPUTED_VALUE"""),"AddSymbol")</f>
        <v>AddSymbol</v>
      </c>
      <c r="C576" t="str">
        <f>IFERROR(__xludf.DUMMYFUNCTION("""COMPUTED_VALUE"""),"10HWI9Cc8RvROS5VcoYWQCiNm-ZMIi9mZRyugdSdwfao")</f>
        <v>10HWI9Cc8RvROS5VcoYWQCiNm-ZMIi9mZRyugdSdwfao</v>
      </c>
    </row>
    <row r="577" ht="15.75" customHeight="1">
      <c r="A577" t="str">
        <f>IFERROR(__xludf.DUMMYFUNCTION("""COMPUTED_VALUE"""),"Admin")</f>
        <v>Admin</v>
      </c>
      <c r="B577" t="str">
        <f>IFERROR(__xludf.DUMMYFUNCTION("""COMPUTED_VALUE"""),"DeleteSymbolFromSM")</f>
        <v>DeleteSymbolFromSM</v>
      </c>
      <c r="C577" t="str">
        <f>IFERROR(__xludf.DUMMYFUNCTION("""COMPUTED_VALUE"""),"16YNILloso-DtMjrvuLs9jjsIzEmPQxnFXrCt8yvHUNE")</f>
        <v>16YNILloso-DtMjrvuLs9jjsIzEmPQxnFXrCt8yvHUNE</v>
      </c>
    </row>
    <row r="578" ht="15.75" customHeight="1">
      <c r="A578" t="str">
        <f>IFERROR(__xludf.DUMMYFUNCTION("""COMPUTED_VALUE"""),"Watchlist")</f>
        <v>Watchlist</v>
      </c>
      <c r="B578" t="str">
        <f>IFERROR(__xludf.DUMMYFUNCTION("""COMPUTED_VALUE"""),"AddSymbolToWatchlist")</f>
        <v>AddSymbolToWatchlist</v>
      </c>
      <c r="C578" t="str">
        <f>IFERROR(__xludf.DUMMYFUNCTION("""COMPUTED_VALUE"""),"1uQiuSREeRIwO_nEU84cMzm9OFSYVLHU2rgcEaefXb2k")</f>
        <v>1uQiuSREeRIwO_nEU84cMzm9OFSYVLHU2rgcEaefXb2k</v>
      </c>
    </row>
    <row r="579" ht="15.75" customHeight="1">
      <c r="A579" t="str">
        <f>IFERROR(__xludf.DUMMYFUNCTION("""COMPUTED_VALUE"""),"Watchlist")</f>
        <v>Watchlist</v>
      </c>
      <c r="B579" t="str">
        <f>IFERROR(__xludf.DUMMYFUNCTION("""COMPUTED_VALUE"""),"TradeFromWatchlist")</f>
        <v>TradeFromWatchlist</v>
      </c>
      <c r="C579" t="str">
        <f>IFERROR(__xludf.DUMMYFUNCTION("""COMPUTED_VALUE"""),"1FKL2NTRmBSyITx5pyk6zHOKymU28NwrQwSuVbW4gNRg")</f>
        <v>1FKL2NTRmBSyITx5pyk6zHOKymU28NwrQwSuVbW4gNRg</v>
      </c>
    </row>
    <row r="580" ht="15.75" customHeight="1">
      <c r="A580" t="str">
        <f>IFERROR(__xludf.DUMMYFUNCTION("""COMPUTED_VALUE"""),"Watchlist")</f>
        <v>Watchlist</v>
      </c>
      <c r="B580" t="str">
        <f>IFERROR(__xludf.DUMMYFUNCTION("""COMPUTED_VALUE"""),"MultiTradeFromWatchlist")</f>
        <v>MultiTradeFromWatchlist</v>
      </c>
      <c r="C580" t="str">
        <f>IFERROR(__xludf.DUMMYFUNCTION("""COMPUTED_VALUE"""),"1nyCMJS4IH1BLXnFOr_FNoPH4XmaOIGdVjSJuJpNi2c8")</f>
        <v>1nyCMJS4IH1BLXnFOr_FNoPH4XmaOIGdVjSJuJpNi2c8</v>
      </c>
    </row>
    <row r="581" ht="15.75" customHeight="1">
      <c r="A581" t="str">
        <f>IFERROR(__xludf.DUMMYFUNCTION("""COMPUTED_VALUE"""),"Watchlist")</f>
        <v>Watchlist</v>
      </c>
      <c r="B581" t="str">
        <f>IFERROR(__xludf.DUMMYFUNCTION("""COMPUTED_VALUE"""),"DeleteSymbolFromWatchlist")</f>
        <v>DeleteSymbolFromWatchlist</v>
      </c>
      <c r="C581" t="str">
        <f>IFERROR(__xludf.DUMMYFUNCTION("""COMPUTED_VALUE"""),"1byaZalr_XhOG3LaxY-Riu8lHwQSFb098xHll__tkAtA")</f>
        <v>1byaZalr_XhOG3LaxY-Riu8lHwQSFb098xHll__tkAtA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IFERROR(__xludf.DUMMYFUNCTION("""COMPUTED_VALUE"""),"VerifySymbolsOnWatchlist")</f>
        <v>VerifySymbolsOnWatchlist</v>
      </c>
      <c r="C582" t="str">
        <f>IFERROR(__xludf.DUMMYFUNCTION("""COMPUTED_VALUE"""),"15PdvqcWBSttYjbzGBns1O_5cUV2nEVZ4r1YEe7ucwPs")</f>
        <v>15PdvqcWBSttYjbzGBns1O_5cUV2nEVZ4r1YEe7ucwPs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IFERROR(__xludf.DUMMYFUNCTION("""COMPUTED_VALUE"""),"VerifyAppMatchedData")</f>
        <v>VerifyAppMatchedData</v>
      </c>
      <c r="C583" t="str">
        <f>IFERROR(__xludf.DUMMYFUNCTION("""COMPUTED_VALUE"""),"197cwp2DCQ4L0B-G5b7CZAwGsgFZuiUTyD_BSwtc9wHA")</f>
        <v>197cwp2DCQ4L0B-G5b7CZAwGsgFZuiUTyD_BSwtc9wHA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IFERROR(__xludf.DUMMYFUNCTION("""COMPUTED_VALUE"""),"VerifyAppUnmatchedData")</f>
        <v>VerifyAppUnmatchedData</v>
      </c>
      <c r="C584" t="str">
        <f>IFERROR(__xludf.DUMMYFUNCTION("""COMPUTED_VALUE"""),"18fTZZkhP8PVk2zb3669RCgVH7l1lj74KOPGo3kRsFwA")</f>
        <v>18fTZZkhP8PVk2zb3669RCgVH7l1lj74KOPGo3kRsFwA</v>
      </c>
    </row>
    <row r="585" ht="15.75" customHeight="1">
      <c r="A585" t="str">
        <f>IFERROR(__xludf.DUMMYFUNCTION("""COMPUTED_VALUE"""),"Recon")</f>
        <v>Recon</v>
      </c>
      <c r="B585" t="str">
        <f>IFERROR(__xludf.DUMMYFUNCTION("""COMPUTED_VALUE"""),"VerifyPBMatchedData")</f>
        <v>VerifyPBMatchedData</v>
      </c>
      <c r="C585" t="str">
        <f>IFERROR(__xludf.DUMMYFUNCTION("""COMPUTED_VALUE"""),"1kM_UfqpK0PaHEHY4-JNdVXj1fPgIjBfWABlDaWsTh6o")</f>
        <v>1kM_UfqpK0PaHEHY4-JNdVXj1fPgIjBfWABlDaWsTh6o</v>
      </c>
    </row>
    <row r="586" ht="15.75" customHeight="1">
      <c r="A586" t="str">
        <f>IFERROR(__xludf.DUMMYFUNCTION("""COMPUTED_VALUE"""),"Recon")</f>
        <v>Recon</v>
      </c>
      <c r="B586" t="str">
        <f>IFERROR(__xludf.DUMMYFUNCTION("""COMPUTED_VALUE"""),"VerifyPBUnmatchedData")</f>
        <v>VerifyPBUnmatchedData</v>
      </c>
      <c r="C586" t="str">
        <f>IFERROR(__xludf.DUMMYFUNCTION("""COMPUTED_VALUE"""),"1kTWoOsrKD_0f_MBstD0yl6ly3CmvswKmK8GYKJUaSJY")</f>
        <v>1kTWoOsrKD_0f_MBstD0yl6ly3CmvswKmK8GYKJUaSJY</v>
      </c>
    </row>
    <row r="587" ht="15.75" customHeight="1">
      <c r="A587" t="str">
        <f>IFERROR(__xludf.DUMMYFUNCTION("""COMPUTED_VALUE"""),"QTT")</f>
        <v>QTT</v>
      </c>
      <c r="B587" t="str">
        <f>IFERROR(__xludf.DUMMYFUNCTION("""COMPUTED_VALUE"""),"OpenQtt")</f>
        <v>OpenQtt</v>
      </c>
      <c r="C587" t="str">
        <f>IFERROR(__xludf.DUMMYFUNCTION("""COMPUTED_VALUE"""),"1w_R8_0C8pikIkKOjwqbblpApJ-NG3VoHrCDrW9YJ19Q")</f>
        <v>1w_R8_0C8pikIkKOjwqbblpApJ-NG3VoHrCDrW9YJ19Q</v>
      </c>
    </row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13" t="b">
        <v>1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SetDollarAmountPermission!$4:$4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1" t="s">
        <v>19</v>
      </c>
      <c r="D6" s="32">
        <v>900.0</v>
      </c>
      <c r="E6" s="32">
        <v>900.0</v>
      </c>
      <c r="F6" s="31" t="s">
        <v>20</v>
      </c>
      <c r="G6" s="31" t="s">
        <v>21</v>
      </c>
      <c r="H6" s="31"/>
      <c r="I6" s="31"/>
      <c r="J6" s="32">
        <v>10.0</v>
      </c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4">
        <f t="shared" ref="B6:C6" si="1">today()-1</f>
        <v>44704</v>
      </c>
      <c r="C6" s="35">
        <f t="shared" si="1"/>
        <v>44704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1" t="s">
        <v>25</v>
      </c>
      <c r="D6" s="32">
        <v>100000.0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6" t="s">
        <v>18</v>
      </c>
      <c r="C6" s="32">
        <v>10.0</v>
      </c>
      <c r="D6" s="36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33"/>
      <c r="D7" s="33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1" t="s">
        <v>18</v>
      </c>
      <c r="C6" s="31" t="s">
        <v>29</v>
      </c>
      <c r="D6" s="31" t="s">
        <v>30</v>
      </c>
      <c r="E6" s="37">
        <v>10000.0</v>
      </c>
      <c r="F6" s="32">
        <v>10.0</v>
      </c>
      <c r="G6" s="31" t="s">
        <v>31</v>
      </c>
      <c r="H6" s="31" t="s">
        <v>32</v>
      </c>
      <c r="I6" s="38" t="s">
        <v>20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3" t="s">
        <v>34</v>
      </c>
      <c r="B6" s="31" t="s">
        <v>20</v>
      </c>
      <c r="C6" s="39">
        <v>100000.0</v>
      </c>
      <c r="D6" s="40">
        <v>900.0</v>
      </c>
      <c r="E6" s="40">
        <v>9000.0</v>
      </c>
      <c r="F6" s="40"/>
      <c r="G6" s="40"/>
      <c r="H6" s="40"/>
      <c r="I6" s="39">
        <v>100.0</v>
      </c>
      <c r="J6" s="39">
        <v>1000.0</v>
      </c>
      <c r="K6" s="39">
        <v>10000.0</v>
      </c>
      <c r="L6" s="39">
        <v>100.0</v>
      </c>
      <c r="M6" s="41">
        <v>1.0</v>
      </c>
      <c r="N6" s="31" t="s">
        <v>34</v>
      </c>
      <c r="O6" s="31" t="s">
        <v>34</v>
      </c>
      <c r="P6" s="31" t="s">
        <v>34</v>
      </c>
      <c r="Q6" s="31" t="s">
        <v>34</v>
      </c>
      <c r="R6" s="31" t="s">
        <v>34</v>
      </c>
      <c r="S6" s="31" t="s">
        <v>34</v>
      </c>
      <c r="T6" s="33" t="s">
        <v>34</v>
      </c>
      <c r="U6" s="33" t="s">
        <v>34</v>
      </c>
      <c r="V6" s="33" t="s">
        <v>34</v>
      </c>
      <c r="W6" s="33" t="s">
        <v>34</v>
      </c>
      <c r="X6" s="33" t="s">
        <v>34</v>
      </c>
      <c r="Y6" s="33" t="s">
        <v>34</v>
      </c>
      <c r="Z6" s="33" t="s">
        <v>34</v>
      </c>
      <c r="AA6" s="33" t="s">
        <v>34</v>
      </c>
      <c r="AB6" s="33" t="s">
        <v>34</v>
      </c>
      <c r="AC6" s="33" t="s">
        <v>34</v>
      </c>
      <c r="AD6" s="33" t="s">
        <v>34</v>
      </c>
      <c r="AE6" s="33" t="s">
        <v>34</v>
      </c>
      <c r="AF6" s="33" t="s">
        <v>34</v>
      </c>
      <c r="AG6" s="33" t="s">
        <v>34</v>
      </c>
      <c r="AH6" s="33" t="s">
        <v>34</v>
      </c>
      <c r="AI6" s="33" t="s">
        <v>34</v>
      </c>
      <c r="AJ6" s="42" t="s">
        <v>34</v>
      </c>
      <c r="AK6" s="42" t="s">
        <v>34</v>
      </c>
      <c r="AL6" s="42" t="s">
        <v>34</v>
      </c>
      <c r="AM6" s="42" t="s">
        <v>34</v>
      </c>
      <c r="AN6" s="42" t="s">
        <v>34</v>
      </c>
      <c r="AO6" s="42" t="s">
        <v>34</v>
      </c>
      <c r="AP6" s="42" t="s">
        <v>34</v>
      </c>
      <c r="AQ6" s="42" t="s">
        <v>34</v>
      </c>
      <c r="AR6" s="42" t="s">
        <v>34</v>
      </c>
      <c r="AS6" s="42" t="s">
        <v>34</v>
      </c>
      <c r="AT6" s="42" t="s">
        <v>34</v>
      </c>
      <c r="AU6" s="42" t="s">
        <v>34</v>
      </c>
      <c r="AV6" s="42" t="s">
        <v>34</v>
      </c>
      <c r="AW6" s="42" t="s">
        <v>34</v>
      </c>
      <c r="AX6" s="42" t="s">
        <v>34</v>
      </c>
      <c r="AY6" s="42" t="s">
        <v>34</v>
      </c>
      <c r="AZ6" s="42" t="s">
        <v>34</v>
      </c>
      <c r="BA6" s="42" t="s">
        <v>34</v>
      </c>
      <c r="BB6" s="42" t="s">
        <v>34</v>
      </c>
      <c r="BC6" s="42" t="s">
        <v>34</v>
      </c>
      <c r="BD6" s="42" t="s">
        <v>34</v>
      </c>
      <c r="BE6" s="42" t="s">
        <v>34</v>
      </c>
      <c r="BF6" s="42" t="s">
        <v>34</v>
      </c>
      <c r="BG6" s="42" t="s">
        <v>34</v>
      </c>
      <c r="BH6" s="42" t="s">
        <v>34</v>
      </c>
      <c r="BI6" s="42" t="s">
        <v>34</v>
      </c>
      <c r="BJ6" s="42" t="s">
        <v>34</v>
      </c>
      <c r="BK6" s="42" t="s">
        <v>34</v>
      </c>
      <c r="BL6" s="42" t="s">
        <v>34</v>
      </c>
      <c r="BM6" s="42" t="s">
        <v>34</v>
      </c>
      <c r="BN6" s="42" t="s">
        <v>34</v>
      </c>
      <c r="BO6" s="42" t="s">
        <v>34</v>
      </c>
      <c r="BP6" s="42" t="s">
        <v>34</v>
      </c>
      <c r="BQ6" s="42" t="s">
        <v>34</v>
      </c>
      <c r="BR6" s="42" t="s">
        <v>34</v>
      </c>
      <c r="BS6" s="42" t="s">
        <v>34</v>
      </c>
      <c r="BT6" s="42" t="s">
        <v>34</v>
      </c>
      <c r="BU6" s="42" t="s">
        <v>34</v>
      </c>
      <c r="BV6" s="42" t="s">
        <v>34</v>
      </c>
      <c r="BW6" s="42" t="s">
        <v>34</v>
      </c>
      <c r="BX6" s="42" t="s">
        <v>34</v>
      </c>
      <c r="BY6" s="42" t="s">
        <v>34</v>
      </c>
      <c r="BZ6" s="42" t="s">
        <v>34</v>
      </c>
      <c r="CA6" s="42" t="s">
        <v>34</v>
      </c>
      <c r="CB6" s="42" t="s">
        <v>34</v>
      </c>
      <c r="CC6" s="42" t="s">
        <v>34</v>
      </c>
      <c r="CD6" s="42" t="s">
        <v>34</v>
      </c>
      <c r="CE6" s="42" t="s">
        <v>34</v>
      </c>
      <c r="CF6" s="42" t="s">
        <v>34</v>
      </c>
      <c r="CG6" s="42" t="s">
        <v>34</v>
      </c>
      <c r="CH6" s="42" t="s">
        <v>34</v>
      </c>
      <c r="CI6" s="42" t="s">
        <v>34</v>
      </c>
      <c r="CJ6" s="42" t="s">
        <v>34</v>
      </c>
      <c r="CK6" s="42" t="s">
        <v>34</v>
      </c>
      <c r="CL6" s="42" t="s">
        <v>34</v>
      </c>
      <c r="CM6" s="42" t="s">
        <v>34</v>
      </c>
      <c r="CN6" s="42" t="s">
        <v>34</v>
      </c>
      <c r="CO6" s="42" t="s">
        <v>34</v>
      </c>
      <c r="CP6" s="42" t="s">
        <v>34</v>
      </c>
      <c r="CQ6" s="42" t="s">
        <v>34</v>
      </c>
      <c r="CR6" s="42" t="s">
        <v>34</v>
      </c>
      <c r="CS6" s="42" t="s">
        <v>34</v>
      </c>
      <c r="CT6" s="42" t="s">
        <v>34</v>
      </c>
      <c r="CU6" s="42" t="s">
        <v>34</v>
      </c>
      <c r="CV6" s="42" t="s">
        <v>34</v>
      </c>
      <c r="CW6" s="42" t="s">
        <v>34</v>
      </c>
      <c r="CX6" s="42" t="s">
        <v>34</v>
      </c>
      <c r="CY6" s="42" t="s">
        <v>34</v>
      </c>
      <c r="CZ6" s="42" t="s">
        <v>34</v>
      </c>
      <c r="DA6" s="42" t="s">
        <v>34</v>
      </c>
      <c r="DB6" s="42" t="s">
        <v>34</v>
      </c>
      <c r="DC6" s="42" t="s">
        <v>34</v>
      </c>
      <c r="DD6" s="42" t="s">
        <v>34</v>
      </c>
      <c r="DE6" s="42" t="s">
        <v>34</v>
      </c>
      <c r="DF6" s="42" t="s">
        <v>34</v>
      </c>
      <c r="DG6" s="42" t="s">
        <v>34</v>
      </c>
      <c r="DH6" s="42" t="s">
        <v>34</v>
      </c>
      <c r="DI6" s="42" t="s">
        <v>34</v>
      </c>
      <c r="DJ6" s="42" t="s">
        <v>34</v>
      </c>
      <c r="DK6" s="42" t="s">
        <v>34</v>
      </c>
      <c r="DL6" s="42" t="s">
        <v>34</v>
      </c>
      <c r="DM6" s="42" t="s">
        <v>34</v>
      </c>
      <c r="DN6" s="42" t="s">
        <v>34</v>
      </c>
      <c r="DO6" s="42" t="s">
        <v>34</v>
      </c>
      <c r="DP6" s="42" t="s">
        <v>34</v>
      </c>
      <c r="DQ6" s="42" t="s">
        <v>34</v>
      </c>
      <c r="DR6" s="42" t="s">
        <v>34</v>
      </c>
      <c r="DS6" s="42" t="s">
        <v>34</v>
      </c>
      <c r="DT6" s="42" t="s">
        <v>34</v>
      </c>
      <c r="DU6" s="42" t="s">
        <v>34</v>
      </c>
      <c r="DV6" s="42" t="s">
        <v>34</v>
      </c>
      <c r="DW6" s="42" t="s">
        <v>34</v>
      </c>
      <c r="DX6" s="42" t="s">
        <v>34</v>
      </c>
      <c r="DY6" s="42" t="s">
        <v>34</v>
      </c>
      <c r="DZ6" s="42" t="s">
        <v>34</v>
      </c>
      <c r="EA6" s="42" t="s">
        <v>34</v>
      </c>
      <c r="EB6" s="42" t="s">
        <v>34</v>
      </c>
      <c r="EC6" s="42" t="s">
        <v>34</v>
      </c>
      <c r="ED6" s="42" t="s">
        <v>34</v>
      </c>
      <c r="EE6" s="42" t="s">
        <v>34</v>
      </c>
      <c r="EF6" s="42" t="s">
        <v>34</v>
      </c>
      <c r="EG6" s="42" t="s">
        <v>34</v>
      </c>
      <c r="EH6" s="42" t="s">
        <v>34</v>
      </c>
      <c r="EI6" s="42" t="s">
        <v>34</v>
      </c>
      <c r="EJ6" s="42" t="s">
        <v>34</v>
      </c>
      <c r="EK6" s="42" t="s">
        <v>34</v>
      </c>
      <c r="EL6" s="42" t="s">
        <v>34</v>
      </c>
      <c r="EM6" s="42" t="s">
        <v>34</v>
      </c>
      <c r="EN6" s="42" t="s">
        <v>34</v>
      </c>
      <c r="EO6" s="42" t="s">
        <v>34</v>
      </c>
      <c r="EP6" s="42" t="s">
        <v>34</v>
      </c>
      <c r="EQ6" s="42" t="s">
        <v>34</v>
      </c>
      <c r="ER6" s="42" t="s">
        <v>34</v>
      </c>
      <c r="ES6" s="42" t="s">
        <v>34</v>
      </c>
      <c r="ET6" s="42" t="s">
        <v>34</v>
      </c>
      <c r="EU6" s="42" t="s">
        <v>34</v>
      </c>
      <c r="EV6" s="42" t="s">
        <v>34</v>
      </c>
      <c r="EW6" s="42" t="s">
        <v>34</v>
      </c>
      <c r="EX6" s="42" t="s">
        <v>34</v>
      </c>
      <c r="EY6" s="42" t="s">
        <v>34</v>
      </c>
      <c r="EZ6" s="42" t="s">
        <v>34</v>
      </c>
      <c r="FA6" s="42" t="s">
        <v>34</v>
      </c>
      <c r="FB6" s="42" t="s">
        <v>34</v>
      </c>
      <c r="FC6" s="42" t="s">
        <v>34</v>
      </c>
      <c r="FD6" s="42" t="s">
        <v>34</v>
      </c>
      <c r="FE6" s="43" t="s">
        <v>34</v>
      </c>
      <c r="FF6" s="43" t="s">
        <v>34</v>
      </c>
      <c r="FG6" s="43" t="s">
        <v>34</v>
      </c>
      <c r="FH6" s="43"/>
      <c r="FI6" s="42"/>
      <c r="FJ6" s="42"/>
      <c r="FK6" s="42"/>
      <c r="FL6" s="42"/>
      <c r="FM6" s="42"/>
      <c r="FN6" s="42"/>
      <c r="FO6" s="42"/>
      <c r="FP6" s="42"/>
      <c r="FQ6" s="42"/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</row>
    <row r="7" ht="15.75" customHeight="1">
      <c r="A7" s="33"/>
      <c r="B7" s="33"/>
      <c r="C7" s="44"/>
      <c r="D7" s="44"/>
      <c r="E7" s="44"/>
      <c r="F7" s="44"/>
      <c r="G7" s="44"/>
      <c r="H7" s="44"/>
      <c r="I7" s="44"/>
      <c r="J7" s="44"/>
      <c r="K7" s="44"/>
      <c r="L7" s="44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42"/>
      <c r="AK7" s="42"/>
      <c r="AL7" s="42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2"/>
      <c r="BL7" s="42"/>
      <c r="BM7" s="42"/>
      <c r="BN7" s="42"/>
      <c r="BO7" s="42"/>
      <c r="BP7" s="42"/>
      <c r="BQ7" s="42"/>
      <c r="BR7" s="42"/>
      <c r="BS7" s="42"/>
      <c r="BT7" s="42"/>
      <c r="BU7" s="42"/>
      <c r="BV7" s="42"/>
      <c r="BW7" s="42"/>
      <c r="BX7" s="42"/>
      <c r="BY7" s="42"/>
      <c r="BZ7" s="42"/>
      <c r="CA7" s="42"/>
      <c r="CB7" s="42"/>
      <c r="CC7" s="42"/>
      <c r="CD7" s="42"/>
      <c r="CE7" s="42"/>
      <c r="CF7" s="42"/>
      <c r="CG7" s="42"/>
      <c r="CH7" s="42"/>
      <c r="CI7" s="42"/>
      <c r="CJ7" s="42"/>
      <c r="CK7" s="42"/>
      <c r="CL7" s="42"/>
      <c r="CM7" s="42"/>
      <c r="CN7" s="42"/>
      <c r="CO7" s="42"/>
      <c r="CP7" s="42"/>
      <c r="CQ7" s="42"/>
      <c r="CR7" s="42"/>
      <c r="CS7" s="42"/>
      <c r="CT7" s="42"/>
      <c r="CU7" s="42"/>
      <c r="CV7" s="42"/>
      <c r="CW7" s="42"/>
      <c r="CX7" s="42"/>
      <c r="CY7" s="42"/>
      <c r="CZ7" s="42"/>
      <c r="DA7" s="42"/>
      <c r="DB7" s="42"/>
      <c r="DC7" s="42"/>
      <c r="DD7" s="42"/>
      <c r="DE7" s="42"/>
      <c r="DF7" s="42"/>
      <c r="DG7" s="42"/>
      <c r="DH7" s="42"/>
      <c r="DI7" s="42"/>
      <c r="DJ7" s="42"/>
      <c r="DK7" s="42"/>
      <c r="DL7" s="42"/>
      <c r="DM7" s="42"/>
      <c r="DN7" s="42"/>
      <c r="DO7" s="42"/>
      <c r="DP7" s="42"/>
      <c r="DQ7" s="42"/>
      <c r="DR7" s="42"/>
      <c r="DS7" s="42"/>
      <c r="DT7" s="42"/>
      <c r="DU7" s="42"/>
      <c r="DV7" s="42"/>
      <c r="DW7" s="42"/>
      <c r="DX7" s="42"/>
      <c r="DY7" s="42"/>
      <c r="DZ7" s="42"/>
      <c r="EA7" s="42"/>
      <c r="EB7" s="42"/>
      <c r="EC7" s="42"/>
      <c r="ED7" s="42"/>
      <c r="EE7" s="42"/>
      <c r="EF7" s="42"/>
      <c r="EG7" s="42"/>
      <c r="EH7" s="42"/>
      <c r="EI7" s="42"/>
      <c r="EJ7" s="42"/>
      <c r="EK7" s="42"/>
      <c r="EL7" s="42"/>
      <c r="EM7" s="42"/>
      <c r="EN7" s="42"/>
      <c r="EO7" s="42"/>
      <c r="EP7" s="42"/>
      <c r="EQ7" s="42"/>
      <c r="ER7" s="42"/>
      <c r="ES7" s="42"/>
      <c r="ET7" s="42"/>
      <c r="EU7" s="42"/>
      <c r="EV7" s="42"/>
      <c r="EW7" s="42"/>
      <c r="EX7" s="42"/>
      <c r="EY7" s="42"/>
      <c r="EZ7" s="42"/>
      <c r="FA7" s="42"/>
      <c r="FB7" s="42"/>
      <c r="FC7" s="42"/>
      <c r="FD7" s="42"/>
      <c r="FE7" s="42"/>
      <c r="FF7" s="42"/>
      <c r="FG7" s="42"/>
      <c r="FH7" s="42"/>
      <c r="FI7" s="42"/>
      <c r="FJ7" s="42"/>
      <c r="FK7" s="42"/>
      <c r="FL7" s="42"/>
      <c r="FM7" s="42"/>
      <c r="FN7" s="42"/>
      <c r="FO7" s="42"/>
      <c r="FP7" s="42"/>
      <c r="FQ7" s="42"/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1" t="s">
        <v>18</v>
      </c>
      <c r="C6" s="31" t="s">
        <v>29</v>
      </c>
      <c r="D6" s="31" t="s">
        <v>30</v>
      </c>
      <c r="E6" s="37">
        <v>10000.0</v>
      </c>
      <c r="F6" s="32">
        <v>10.0</v>
      </c>
      <c r="G6" s="31" t="s">
        <v>31</v>
      </c>
      <c r="H6" s="31" t="s">
        <v>32</v>
      </c>
      <c r="I6" s="38" t="s">
        <v>20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18</v>
      </c>
      <c r="C6" s="8"/>
      <c r="D6" s="13">
        <v>100.0</v>
      </c>
      <c r="E6" s="13">
        <v>100.0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8" t="s">
        <v>34</v>
      </c>
      <c r="B6" s="8"/>
      <c r="C6" s="8" t="s">
        <v>18</v>
      </c>
      <c r="D6" s="8">
        <v>900.0</v>
      </c>
      <c r="E6" s="8" t="s">
        <v>20</v>
      </c>
      <c r="F6" s="8" t="s">
        <v>38</v>
      </c>
      <c r="G6" s="8">
        <v>10.0</v>
      </c>
      <c r="H6" s="8" t="s">
        <v>39</v>
      </c>
      <c r="I6" s="45">
        <v>9000.0</v>
      </c>
      <c r="J6" s="8" t="s">
        <v>34</v>
      </c>
      <c r="K6" s="45">
        <v>9000.0</v>
      </c>
      <c r="L6" s="8" t="s">
        <v>34</v>
      </c>
      <c r="M6" s="8" t="s">
        <v>34</v>
      </c>
      <c r="N6" s="8" t="s">
        <v>34</v>
      </c>
      <c r="O6" s="46" t="s">
        <v>40</v>
      </c>
      <c r="P6" s="46" t="s">
        <v>41</v>
      </c>
      <c r="Q6" t="s">
        <v>34</v>
      </c>
      <c r="R6" t="s">
        <v>42</v>
      </c>
      <c r="S6" t="s">
        <v>34</v>
      </c>
      <c r="T6" t="s">
        <v>43</v>
      </c>
      <c r="U6" t="s">
        <v>34</v>
      </c>
      <c r="V6" s="46" t="s">
        <v>44</v>
      </c>
      <c r="W6" s="46" t="s">
        <v>25</v>
      </c>
      <c r="X6">
        <v>1.0</v>
      </c>
      <c r="Y6" t="s">
        <v>34</v>
      </c>
      <c r="Z6" t="s">
        <v>34</v>
      </c>
      <c r="AA6" t="s">
        <v>34</v>
      </c>
      <c r="AB6" t="s">
        <v>34</v>
      </c>
      <c r="AC6" t="s">
        <v>34</v>
      </c>
      <c r="AD6" s="45">
        <v>9000.0</v>
      </c>
      <c r="AE6" s="45">
        <v>9000.0</v>
      </c>
      <c r="AF6" s="47">
        <v>900.0</v>
      </c>
      <c r="AG6" s="45">
        <v>9000.0</v>
      </c>
      <c r="AH6" s="45">
        <v>9000.0</v>
      </c>
      <c r="AI6" t="s">
        <v>34</v>
      </c>
      <c r="AJ6" t="s">
        <v>34</v>
      </c>
      <c r="AK6" s="47">
        <v>0.0</v>
      </c>
      <c r="AL6" t="s">
        <v>34</v>
      </c>
      <c r="AM6" s="47">
        <v>1.0</v>
      </c>
      <c r="AN6" t="s">
        <v>19</v>
      </c>
      <c r="AO6" t="s">
        <v>34</v>
      </c>
      <c r="AP6" s="46" t="s">
        <v>39</v>
      </c>
      <c r="AQ6" s="46" t="s">
        <v>18</v>
      </c>
      <c r="AR6" s="47">
        <v>10.0</v>
      </c>
      <c r="AS6" s="47">
        <v>1.0</v>
      </c>
      <c r="AT6" t="s">
        <v>34</v>
      </c>
      <c r="AU6" t="s">
        <v>34</v>
      </c>
      <c r="AV6" s="47">
        <v>1.0</v>
      </c>
      <c r="AW6" s="47">
        <v>0.0</v>
      </c>
      <c r="AX6" s="47">
        <v>0.0</v>
      </c>
      <c r="AY6" s="47">
        <v>0.0</v>
      </c>
      <c r="AZ6" t="s">
        <v>34</v>
      </c>
      <c r="BA6" t="s">
        <v>34</v>
      </c>
      <c r="BB6" t="s">
        <v>34</v>
      </c>
      <c r="BC6" t="s">
        <v>34</v>
      </c>
      <c r="BD6" t="s">
        <v>34</v>
      </c>
      <c r="BE6" s="46" t="s">
        <v>43</v>
      </c>
      <c r="BF6" t="s">
        <v>34</v>
      </c>
      <c r="BG6" s="46" t="s">
        <v>45</v>
      </c>
      <c r="BH6" s="46" t="s">
        <v>41</v>
      </c>
      <c r="BI6" t="s">
        <v>34</v>
      </c>
      <c r="BJ6" t="s">
        <v>34</v>
      </c>
      <c r="BK6" t="s">
        <v>34</v>
      </c>
      <c r="BL6" t="s">
        <v>34</v>
      </c>
      <c r="BM6" t="s">
        <v>34</v>
      </c>
      <c r="BN6" t="s">
        <v>34</v>
      </c>
      <c r="BO6" t="s">
        <v>34</v>
      </c>
      <c r="BP6" t="s">
        <v>34</v>
      </c>
      <c r="BQ6" t="s">
        <v>34</v>
      </c>
      <c r="BR6" t="s">
        <v>34</v>
      </c>
      <c r="BS6" t="s">
        <v>34</v>
      </c>
      <c r="BT6" t="s">
        <v>34</v>
      </c>
      <c r="BU6" t="s">
        <v>34</v>
      </c>
      <c r="BV6" t="s">
        <v>34</v>
      </c>
      <c r="BW6" t="s">
        <v>34</v>
      </c>
      <c r="BX6" t="s">
        <v>34</v>
      </c>
      <c r="BY6" t="s">
        <v>34</v>
      </c>
      <c r="BZ6" t="s">
        <v>34</v>
      </c>
      <c r="CA6" t="s">
        <v>34</v>
      </c>
      <c r="CB6" t="s">
        <v>34</v>
      </c>
      <c r="CC6" t="s">
        <v>34</v>
      </c>
      <c r="CD6" t="s">
        <v>34</v>
      </c>
      <c r="CE6" t="s">
        <v>34</v>
      </c>
      <c r="CF6" t="s">
        <v>34</v>
      </c>
      <c r="CG6" t="s">
        <v>34</v>
      </c>
      <c r="CH6" t="s">
        <v>34</v>
      </c>
      <c r="CI6" t="s">
        <v>34</v>
      </c>
      <c r="CJ6" t="s">
        <v>34</v>
      </c>
      <c r="CK6" t="s">
        <v>34</v>
      </c>
      <c r="CL6" t="s">
        <v>34</v>
      </c>
      <c r="CM6" t="s">
        <v>34</v>
      </c>
      <c r="CN6" t="s">
        <v>34</v>
      </c>
      <c r="CO6" t="s">
        <v>34</v>
      </c>
      <c r="CP6" t="s">
        <v>34</v>
      </c>
      <c r="CQ6" t="s">
        <v>34</v>
      </c>
      <c r="CR6" t="s">
        <v>34</v>
      </c>
      <c r="CS6" t="s">
        <v>34</v>
      </c>
      <c r="CT6" t="s">
        <v>34</v>
      </c>
      <c r="CU6" t="s">
        <v>34</v>
      </c>
      <c r="CV6" t="s">
        <v>34</v>
      </c>
      <c r="CW6" t="s">
        <v>34</v>
      </c>
      <c r="CX6" t="s">
        <v>34</v>
      </c>
      <c r="CY6" t="s">
        <v>34</v>
      </c>
      <c r="CZ6" t="s">
        <v>34</v>
      </c>
      <c r="DA6" t="s">
        <v>34</v>
      </c>
      <c r="DB6" t="s">
        <v>34</v>
      </c>
      <c r="DC6" t="s">
        <v>34</v>
      </c>
      <c r="DD6" t="s">
        <v>34</v>
      </c>
      <c r="DE6" t="s">
        <v>34</v>
      </c>
      <c r="DF6" t="s">
        <v>34</v>
      </c>
      <c r="DG6" t="s">
        <v>34</v>
      </c>
      <c r="DH6" t="s">
        <v>34</v>
      </c>
      <c r="DI6" t="s">
        <v>34</v>
      </c>
      <c r="DJ6" t="s">
        <v>34</v>
      </c>
      <c r="DK6" t="s">
        <v>34</v>
      </c>
      <c r="DL6" t="s">
        <v>34</v>
      </c>
      <c r="DM6" t="s">
        <v>34</v>
      </c>
      <c r="DN6" t="s">
        <v>34</v>
      </c>
      <c r="DO6" t="s">
        <v>34</v>
      </c>
      <c r="DP6" t="s">
        <v>34</v>
      </c>
      <c r="DQ6" t="s">
        <v>34</v>
      </c>
      <c r="DR6" t="s">
        <v>34</v>
      </c>
      <c r="DS6" t="s">
        <v>34</v>
      </c>
      <c r="DT6" t="s">
        <v>34</v>
      </c>
      <c r="DU6" t="s">
        <v>34</v>
      </c>
      <c r="DV6" t="s">
        <v>34</v>
      </c>
      <c r="DW6" t="s">
        <v>34</v>
      </c>
      <c r="DX6" t="s">
        <v>34</v>
      </c>
      <c r="DY6" t="s">
        <v>34</v>
      </c>
      <c r="DZ6" t="s">
        <v>34</v>
      </c>
      <c r="EA6" t="s">
        <v>34</v>
      </c>
      <c r="EB6" t="s">
        <v>34</v>
      </c>
      <c r="EC6" t="s">
        <v>34</v>
      </c>
      <c r="ED6" t="s">
        <v>34</v>
      </c>
      <c r="EE6" t="s">
        <v>34</v>
      </c>
      <c r="EF6" t="s">
        <v>34</v>
      </c>
      <c r="EG6" t="s">
        <v>34</v>
      </c>
      <c r="EH6" t="s">
        <v>34</v>
      </c>
      <c r="EI6" t="s">
        <v>34</v>
      </c>
      <c r="EJ6" t="s">
        <v>34</v>
      </c>
      <c r="EK6" t="s">
        <v>34</v>
      </c>
      <c r="EL6" t="s">
        <v>34</v>
      </c>
      <c r="EM6" t="s">
        <v>34</v>
      </c>
      <c r="EN6" t="s">
        <v>34</v>
      </c>
      <c r="EO6" t="s">
        <v>34</v>
      </c>
      <c r="EP6" t="s">
        <v>34</v>
      </c>
      <c r="EQ6" t="s">
        <v>34</v>
      </c>
      <c r="ER6" t="s">
        <v>34</v>
      </c>
      <c r="ES6" s="45">
        <v>100000.0</v>
      </c>
      <c r="ET6" t="s">
        <v>34</v>
      </c>
      <c r="EU6" t="s">
        <v>34</v>
      </c>
      <c r="EV6" t="s">
        <v>34</v>
      </c>
      <c r="EW6" s="45">
        <v>100000.0</v>
      </c>
      <c r="EX6" t="s">
        <v>34</v>
      </c>
      <c r="EY6" t="s">
        <v>34</v>
      </c>
      <c r="EZ6" t="s">
        <v>34</v>
      </c>
      <c r="FA6" t="s">
        <v>34</v>
      </c>
      <c r="FB6" t="s">
        <v>34</v>
      </c>
      <c r="FD6" t="s">
        <v>34</v>
      </c>
      <c r="FE6" t="s">
        <v>34</v>
      </c>
      <c r="FF6">
        <v>0.0</v>
      </c>
      <c r="FG6" t="s">
        <v>34</v>
      </c>
    </row>
    <row r="7" ht="15.75" customHeight="1">
      <c r="A7" s="8" t="s">
        <v>34</v>
      </c>
      <c r="B7" s="8"/>
      <c r="C7" s="8" t="s">
        <v>18</v>
      </c>
      <c r="D7" s="8">
        <v>100.0</v>
      </c>
      <c r="E7" s="8" t="s">
        <v>20</v>
      </c>
      <c r="F7" s="8" t="s">
        <v>38</v>
      </c>
      <c r="G7" s="8">
        <v>10.0</v>
      </c>
      <c r="H7" s="8" t="s">
        <v>39</v>
      </c>
      <c r="I7" s="45">
        <v>1000.0</v>
      </c>
      <c r="J7" s="8" t="s">
        <v>34</v>
      </c>
      <c r="K7" s="45">
        <v>1000.0</v>
      </c>
      <c r="L7" s="8" t="s">
        <v>34</v>
      </c>
      <c r="M7" s="8" t="s">
        <v>34</v>
      </c>
      <c r="N7" s="8" t="s">
        <v>34</v>
      </c>
      <c r="O7" s="46" t="s">
        <v>40</v>
      </c>
      <c r="P7" s="46" t="s">
        <v>41</v>
      </c>
      <c r="Q7" t="s">
        <v>34</v>
      </c>
      <c r="R7" t="s">
        <v>42</v>
      </c>
      <c r="S7" t="s">
        <v>34</v>
      </c>
      <c r="T7" t="s">
        <v>43</v>
      </c>
      <c r="U7" t="s">
        <v>34</v>
      </c>
      <c r="V7" s="46" t="s">
        <v>44</v>
      </c>
      <c r="W7" s="46" t="s">
        <v>25</v>
      </c>
      <c r="X7">
        <v>1.0</v>
      </c>
      <c r="Y7" t="s">
        <v>34</v>
      </c>
      <c r="Z7" t="s">
        <v>34</v>
      </c>
      <c r="AA7" t="s">
        <v>34</v>
      </c>
      <c r="AB7" t="s">
        <v>34</v>
      </c>
      <c r="AC7" t="s">
        <v>34</v>
      </c>
      <c r="AD7" s="45">
        <v>1000.0</v>
      </c>
      <c r="AE7" s="45">
        <v>1000.0</v>
      </c>
      <c r="AF7" s="47">
        <v>100.0</v>
      </c>
      <c r="AG7" s="45">
        <v>1000.0</v>
      </c>
      <c r="AH7" s="45">
        <v>1000.0</v>
      </c>
      <c r="AI7" t="s">
        <v>34</v>
      </c>
      <c r="AJ7" t="s">
        <v>34</v>
      </c>
      <c r="AK7" s="47">
        <v>0.0</v>
      </c>
      <c r="AL7" t="s">
        <v>34</v>
      </c>
      <c r="AM7" s="47">
        <v>1.0</v>
      </c>
      <c r="AN7" t="s">
        <v>19</v>
      </c>
      <c r="AO7" t="s">
        <v>34</v>
      </c>
      <c r="AP7" s="46" t="s">
        <v>39</v>
      </c>
      <c r="AQ7" s="46" t="s">
        <v>18</v>
      </c>
      <c r="AR7" s="47">
        <v>10.0</v>
      </c>
      <c r="AS7" s="47">
        <v>1.0</v>
      </c>
      <c r="AT7" t="s">
        <v>34</v>
      </c>
      <c r="AU7" t="s">
        <v>34</v>
      </c>
      <c r="AV7" s="47">
        <v>1.0</v>
      </c>
      <c r="AW7" s="47">
        <v>0.0</v>
      </c>
      <c r="AX7" s="47">
        <v>0.0</v>
      </c>
      <c r="AY7" s="47">
        <v>0.0</v>
      </c>
      <c r="AZ7" t="s">
        <v>34</v>
      </c>
      <c r="BA7" t="s">
        <v>34</v>
      </c>
      <c r="BB7" t="s">
        <v>34</v>
      </c>
      <c r="BC7" t="s">
        <v>34</v>
      </c>
      <c r="BD7" t="s">
        <v>34</v>
      </c>
      <c r="BE7" s="46" t="s">
        <v>43</v>
      </c>
      <c r="BF7" t="s">
        <v>34</v>
      </c>
      <c r="BG7" s="46" t="s">
        <v>45</v>
      </c>
      <c r="BH7" s="46" t="s">
        <v>41</v>
      </c>
      <c r="BI7" t="s">
        <v>34</v>
      </c>
      <c r="BJ7" t="s">
        <v>34</v>
      </c>
      <c r="BK7" t="s">
        <v>34</v>
      </c>
      <c r="BL7" t="s">
        <v>34</v>
      </c>
      <c r="BM7" t="s">
        <v>34</v>
      </c>
      <c r="BN7" t="s">
        <v>34</v>
      </c>
      <c r="BO7" t="s">
        <v>34</v>
      </c>
      <c r="BP7" t="s">
        <v>34</v>
      </c>
      <c r="BQ7" t="s">
        <v>34</v>
      </c>
      <c r="BR7" t="s">
        <v>34</v>
      </c>
      <c r="BS7" t="s">
        <v>34</v>
      </c>
      <c r="BT7" t="s">
        <v>34</v>
      </c>
      <c r="BU7" t="s">
        <v>34</v>
      </c>
      <c r="BV7" t="s">
        <v>34</v>
      </c>
      <c r="BW7" t="s">
        <v>34</v>
      </c>
      <c r="BX7" t="s">
        <v>34</v>
      </c>
      <c r="BY7" t="s">
        <v>34</v>
      </c>
      <c r="BZ7" t="s">
        <v>34</v>
      </c>
      <c r="CA7" t="s">
        <v>34</v>
      </c>
      <c r="CB7" t="s">
        <v>34</v>
      </c>
      <c r="CC7" t="s">
        <v>34</v>
      </c>
      <c r="CD7" t="s">
        <v>34</v>
      </c>
      <c r="CE7" t="s">
        <v>34</v>
      </c>
      <c r="CF7" t="s">
        <v>34</v>
      </c>
      <c r="CG7" t="s">
        <v>34</v>
      </c>
      <c r="CH7" t="s">
        <v>34</v>
      </c>
      <c r="CI7" t="s">
        <v>34</v>
      </c>
      <c r="CJ7" t="s">
        <v>34</v>
      </c>
      <c r="CK7" t="s">
        <v>34</v>
      </c>
      <c r="CL7" t="s">
        <v>34</v>
      </c>
      <c r="CM7" t="s">
        <v>34</v>
      </c>
      <c r="CN7" t="s">
        <v>34</v>
      </c>
      <c r="CO7" t="s">
        <v>34</v>
      </c>
      <c r="CP7" t="s">
        <v>34</v>
      </c>
      <c r="CQ7" t="s">
        <v>34</v>
      </c>
      <c r="CR7" t="s">
        <v>34</v>
      </c>
      <c r="CS7" t="s">
        <v>34</v>
      </c>
      <c r="CT7" t="s">
        <v>34</v>
      </c>
      <c r="CU7" t="s">
        <v>34</v>
      </c>
      <c r="CV7" t="s">
        <v>34</v>
      </c>
      <c r="CW7" t="s">
        <v>34</v>
      </c>
      <c r="CX7" t="s">
        <v>34</v>
      </c>
      <c r="CY7" t="s">
        <v>34</v>
      </c>
      <c r="CZ7" t="s">
        <v>34</v>
      </c>
      <c r="DA7" t="s">
        <v>34</v>
      </c>
      <c r="DB7" t="s">
        <v>34</v>
      </c>
      <c r="DC7" t="s">
        <v>34</v>
      </c>
      <c r="DD7" t="s">
        <v>34</v>
      </c>
      <c r="DE7" t="s">
        <v>34</v>
      </c>
      <c r="DF7" t="s">
        <v>34</v>
      </c>
      <c r="DG7" t="s">
        <v>34</v>
      </c>
      <c r="DH7" t="s">
        <v>34</v>
      </c>
      <c r="DI7" t="s">
        <v>34</v>
      </c>
      <c r="DJ7" t="s">
        <v>34</v>
      </c>
      <c r="DK7" t="s">
        <v>34</v>
      </c>
      <c r="DL7" t="s">
        <v>34</v>
      </c>
      <c r="DM7" t="s">
        <v>34</v>
      </c>
      <c r="DN7" t="s">
        <v>34</v>
      </c>
      <c r="DO7" t="s">
        <v>34</v>
      </c>
      <c r="DP7" t="s">
        <v>34</v>
      </c>
      <c r="DQ7" t="s">
        <v>34</v>
      </c>
      <c r="DR7" t="s">
        <v>34</v>
      </c>
      <c r="DS7" t="s">
        <v>34</v>
      </c>
      <c r="DT7" t="s">
        <v>34</v>
      </c>
      <c r="DU7" t="s">
        <v>34</v>
      </c>
      <c r="DV7" t="s">
        <v>34</v>
      </c>
      <c r="DW7" t="s">
        <v>34</v>
      </c>
      <c r="DX7" t="s">
        <v>34</v>
      </c>
      <c r="DY7" t="s">
        <v>34</v>
      </c>
      <c r="DZ7" t="s">
        <v>34</v>
      </c>
      <c r="EA7" t="s">
        <v>34</v>
      </c>
      <c r="EB7" t="s">
        <v>34</v>
      </c>
      <c r="EC7" t="s">
        <v>34</v>
      </c>
      <c r="ED7" t="s">
        <v>34</v>
      </c>
      <c r="EE7" t="s">
        <v>34</v>
      </c>
      <c r="EF7" t="s">
        <v>34</v>
      </c>
      <c r="EG7" t="s">
        <v>34</v>
      </c>
      <c r="EH7" t="s">
        <v>34</v>
      </c>
      <c r="EI7" t="s">
        <v>34</v>
      </c>
      <c r="EJ7" t="s">
        <v>34</v>
      </c>
      <c r="EK7" t="s">
        <v>34</v>
      </c>
      <c r="EL7" t="s">
        <v>34</v>
      </c>
      <c r="EM7" t="s">
        <v>34</v>
      </c>
      <c r="EN7" t="s">
        <v>34</v>
      </c>
      <c r="EO7" t="s">
        <v>34</v>
      </c>
      <c r="EP7" t="s">
        <v>34</v>
      </c>
      <c r="EQ7" t="s">
        <v>34</v>
      </c>
      <c r="ER7" t="s">
        <v>34</v>
      </c>
      <c r="ES7" s="45">
        <v>100000.0</v>
      </c>
      <c r="ET7" t="s">
        <v>34</v>
      </c>
      <c r="EU7" t="s">
        <v>34</v>
      </c>
      <c r="EV7" t="s">
        <v>34</v>
      </c>
      <c r="EW7" s="45">
        <v>100000.0</v>
      </c>
      <c r="EX7" t="s">
        <v>34</v>
      </c>
      <c r="EY7" t="s">
        <v>34</v>
      </c>
      <c r="EZ7" t="s">
        <v>34</v>
      </c>
      <c r="FA7" t="s">
        <v>34</v>
      </c>
      <c r="FB7" t="s">
        <v>34</v>
      </c>
      <c r="FD7" t="s">
        <v>34</v>
      </c>
      <c r="FE7" t="s">
        <v>34</v>
      </c>
      <c r="FF7">
        <v>0.0</v>
      </c>
      <c r="FG7" t="s">
        <v>34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