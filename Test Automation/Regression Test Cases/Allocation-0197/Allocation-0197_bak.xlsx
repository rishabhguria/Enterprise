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6" activeTab="30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GetDailyCash" sheetId="6" r:id="rId6"/>
    <sheet name="UpdateDailyCash" sheetId="7" r:id="rId7"/>
    <sheet name="CreateDoneAwayOrder" sheetId="8" r:id="rId8"/>
    <sheet name="PricingInput" sheetId="9" r:id="rId9"/>
    <sheet name="FetchAccountPositions" sheetId="10" r:id="rId10"/>
    <sheet name="AddCash" sheetId="11" r:id="rId11"/>
    <sheet name="RunRebalance" sheetId="12" r:id="rId12"/>
    <sheet name="SendtoStaging" sheetId="13" r:id="rId13"/>
    <sheet name="TradeNewSubOrder" sheetId="14" r:id="rId14"/>
    <sheet name="CreateLiveOrder" sheetId="15" r:id="rId15"/>
    <sheet name="AcknowledgeTrade" sheetId="16" r:id="rId16"/>
    <sheet name="SelectTrade" sheetId="17" r:id="rId17"/>
    <sheet name="ExecuteTrade" sheetId="18" r:id="rId18"/>
    <sheet name="FetchAccountPositions1" sheetId="19" r:id="rId19"/>
    <sheet name="AddCash1" sheetId="20" r:id="rId20"/>
    <sheet name="RunRebalance1" sheetId="21" r:id="rId21"/>
    <sheet name="SendtoStaging1" sheetId="22" r:id="rId22"/>
    <sheet name="TradeNewSubOrder1" sheetId="23" r:id="rId23"/>
    <sheet name="CreateLiveOrder1" sheetId="24" r:id="rId24"/>
    <sheet name="SelectTrade1" sheetId="25" r:id="rId25"/>
    <sheet name="AcknowledgeTrade1" sheetId="26" r:id="rId26"/>
    <sheet name="ExecuteTrade1" sheetId="27" r:id="rId27"/>
    <sheet name="VerifyOrder" sheetId="28" r:id="rId28"/>
    <sheet name="GetDataAllocation" sheetId="29" r:id="rId29"/>
    <sheet name="CheckAllocatedGroups" sheetId="30" r:id="rId30"/>
    <sheet name="CheckPortfolioManagement" sheetId="31" r:id="rId31"/>
  </sheets>
  <calcPr calcId="145621"/>
</workbook>
</file>

<file path=xl/calcChain.xml><?xml version="1.0" encoding="utf-8"?>
<calcChain xmlns="http://schemas.openxmlformats.org/spreadsheetml/2006/main">
  <c r="C6" i="6" l="1"/>
  <c r="B6" i="6"/>
  <c r="FK5" i="31"/>
  <c r="FC5" i="31"/>
  <c r="EU5" i="31"/>
  <c r="EM5" i="31"/>
  <c r="EE5" i="31"/>
  <c r="DW5" i="31"/>
  <c r="DO5" i="31"/>
  <c r="DG5" i="31"/>
  <c r="CY5" i="31"/>
  <c r="CQ5" i="31"/>
  <c r="CI5" i="31"/>
  <c r="CA5" i="31"/>
  <c r="BS5" i="31"/>
  <c r="BC5" i="31"/>
  <c r="AU5" i="31"/>
  <c r="AM5" i="31"/>
  <c r="AE5" i="31"/>
  <c r="W5" i="31"/>
  <c r="O5" i="31"/>
  <c r="G5" i="31"/>
  <c r="FJ4" i="31"/>
  <c r="FB4" i="31"/>
  <c r="ET4" i="31"/>
  <c r="EL4" i="31"/>
  <c r="ED4" i="31"/>
  <c r="DV4" i="31"/>
  <c r="DN4" i="31"/>
  <c r="DF4" i="31"/>
  <c r="CX4" i="31"/>
  <c r="CP4" i="31"/>
  <c r="CH4" i="31"/>
  <c r="BZ4" i="31"/>
  <c r="BR4" i="31"/>
  <c r="BJ4" i="31"/>
  <c r="BB4" i="31"/>
  <c r="AT4" i="31"/>
  <c r="AL4" i="31"/>
  <c r="AD4" i="31"/>
  <c r="V4" i="31"/>
  <c r="N4" i="31"/>
  <c r="F4" i="31"/>
  <c r="EV5" i="30"/>
  <c r="EN5" i="30"/>
  <c r="EF5" i="30"/>
  <c r="DX5" i="30"/>
  <c r="DP5" i="30"/>
  <c r="DH5" i="30"/>
  <c r="CZ5" i="30"/>
  <c r="CR5" i="30"/>
  <c r="CJ5" i="30"/>
  <c r="CB5" i="30"/>
  <c r="BT5" i="30"/>
  <c r="FJ5" i="31"/>
  <c r="FB5" i="31"/>
  <c r="ET5" i="31"/>
  <c r="EL5" i="31"/>
  <c r="ED5" i="31"/>
  <c r="DV5" i="31"/>
  <c r="DN5" i="31"/>
  <c r="DF5" i="31"/>
  <c r="CX5" i="31"/>
  <c r="CP5" i="31"/>
  <c r="CH5" i="31"/>
  <c r="BZ5" i="31"/>
  <c r="BR5" i="31"/>
  <c r="BJ5" i="31"/>
  <c r="BB5" i="31"/>
  <c r="AT5" i="31"/>
  <c r="AL5" i="31"/>
  <c r="AD5" i="31"/>
  <c r="V5" i="31"/>
  <c r="N5" i="31"/>
  <c r="F5" i="31"/>
  <c r="FI4" i="31"/>
  <c r="FA4" i="31"/>
  <c r="ES4" i="31"/>
  <c r="EK4" i="31"/>
  <c r="EC4" i="31"/>
  <c r="DU4" i="31"/>
  <c r="DM4" i="31"/>
  <c r="DE4" i="31"/>
  <c r="CW4" i="31"/>
  <c r="CO4" i="31"/>
  <c r="CG4" i="31"/>
  <c r="BY4" i="31"/>
  <c r="BQ4" i="31"/>
  <c r="BI4" i="31"/>
  <c r="BA4" i="31"/>
  <c r="AS4" i="31"/>
  <c r="AK4" i="31"/>
  <c r="AC4" i="31"/>
  <c r="U4" i="31"/>
  <c r="M4" i="31"/>
  <c r="E4" i="31"/>
  <c r="EU5" i="30"/>
  <c r="EM5" i="30"/>
  <c r="EE5" i="30"/>
  <c r="DW5" i="30"/>
  <c r="DO5" i="30"/>
  <c r="DG5" i="30"/>
  <c r="CY5" i="30"/>
  <c r="CQ5" i="30"/>
  <c r="CI5" i="30"/>
  <c r="CA5" i="30"/>
  <c r="BS5" i="30"/>
  <c r="BK5" i="30"/>
  <c r="BC5" i="30"/>
  <c r="AU5" i="30"/>
  <c r="AM5" i="30"/>
  <c r="AE5" i="30"/>
  <c r="W5" i="30"/>
  <c r="O5" i="30"/>
  <c r="G5" i="30"/>
  <c r="EW4" i="30"/>
  <c r="FI5" i="31"/>
  <c r="FA5" i="31"/>
  <c r="ES5" i="31"/>
  <c r="EK5" i="31"/>
  <c r="EC5" i="31"/>
  <c r="DU5" i="31"/>
  <c r="DM5" i="31"/>
  <c r="DE5" i="31"/>
  <c r="CW5" i="31"/>
  <c r="CO5" i="31"/>
  <c r="CG5" i="31"/>
  <c r="BY5" i="31"/>
  <c r="BQ5" i="31"/>
  <c r="BI5" i="31"/>
  <c r="BA5" i="31"/>
  <c r="AS5" i="31"/>
  <c r="AK5" i="31"/>
  <c r="AC5" i="31"/>
  <c r="U5" i="31"/>
  <c r="M5" i="31"/>
  <c r="E5" i="31"/>
  <c r="FH4" i="31"/>
  <c r="EZ4" i="31"/>
  <c r="ER4" i="31"/>
  <c r="EJ4" i="31"/>
  <c r="EB4" i="31"/>
  <c r="DT4" i="31"/>
  <c r="DL4" i="31"/>
  <c r="DD4" i="31"/>
  <c r="CV4" i="31"/>
  <c r="CN4" i="31"/>
  <c r="CF4" i="31"/>
  <c r="BX4" i="31"/>
  <c r="BP4" i="31"/>
  <c r="BH4" i="31"/>
  <c r="AZ4" i="31"/>
  <c r="AR4" i="31"/>
  <c r="AJ4" i="31"/>
  <c r="AB4" i="31"/>
  <c r="T4" i="31"/>
  <c r="L4" i="31"/>
  <c r="D4" i="31"/>
  <c r="ET5" i="30"/>
  <c r="EL5" i="30"/>
  <c r="ED5" i="30"/>
  <c r="DV5" i="30"/>
  <c r="DN5" i="30"/>
  <c r="DF5" i="30"/>
  <c r="CX5" i="30"/>
  <c r="CP5" i="30"/>
  <c r="CH5" i="30"/>
  <c r="BZ5" i="30"/>
  <c r="BR5" i="30"/>
  <c r="BJ5" i="30"/>
  <c r="BB5" i="30"/>
  <c r="AT5" i="30"/>
  <c r="AL5" i="30"/>
  <c r="AD5" i="30"/>
  <c r="V5" i="30"/>
  <c r="N5" i="30"/>
  <c r="F5" i="30"/>
  <c r="FH5" i="31"/>
  <c r="EZ5" i="31"/>
  <c r="ER5" i="31"/>
  <c r="EJ5" i="31"/>
  <c r="EB5" i="31"/>
  <c r="DT5" i="31"/>
  <c r="DL5" i="31"/>
  <c r="DD5" i="31"/>
  <c r="CV5" i="31"/>
  <c r="CN5" i="31"/>
  <c r="CF5" i="31"/>
  <c r="BX5" i="31"/>
  <c r="BP5" i="31"/>
  <c r="BH5" i="31"/>
  <c r="AZ5" i="31"/>
  <c r="AR5" i="31"/>
  <c r="AJ5" i="31"/>
  <c r="AB5" i="31"/>
  <c r="T5" i="31"/>
  <c r="L5" i="31"/>
  <c r="D5" i="31"/>
  <c r="FG4" i="31"/>
  <c r="EY4" i="31"/>
  <c r="EQ4" i="31"/>
  <c r="EI4" i="31"/>
  <c r="EA4" i="31"/>
  <c r="DS4" i="31"/>
  <c r="DK4" i="31"/>
  <c r="DC4" i="31"/>
  <c r="CU4" i="31"/>
  <c r="CM4" i="31"/>
  <c r="CE4" i="31"/>
  <c r="BW4" i="31"/>
  <c r="BO4" i="31"/>
  <c r="BG4" i="31"/>
  <c r="AY4" i="31"/>
  <c r="AQ4" i="31"/>
  <c r="AI4" i="31"/>
  <c r="AA4" i="31"/>
  <c r="S4" i="31"/>
  <c r="K4" i="31"/>
  <c r="C4" i="31"/>
  <c r="ES5" i="30"/>
  <c r="EK5" i="30"/>
  <c r="EC5" i="30"/>
  <c r="DU5" i="30"/>
  <c r="DM5" i="30"/>
  <c r="DE5" i="30"/>
  <c r="CW5" i="30"/>
  <c r="CO5" i="30"/>
  <c r="CG5" i="30"/>
  <c r="BY5" i="30"/>
  <c r="BQ5" i="30"/>
  <c r="BI5" i="30"/>
  <c r="BA5" i="30"/>
  <c r="AS5" i="30"/>
  <c r="AK5" i="30"/>
  <c r="AC5" i="30"/>
  <c r="U5" i="30"/>
  <c r="M5" i="30"/>
  <c r="E5" i="30"/>
  <c r="FG5" i="31"/>
  <c r="EY5" i="31"/>
  <c r="EQ5" i="31"/>
  <c r="EI5" i="31"/>
  <c r="EA5" i="31"/>
  <c r="DS5" i="31"/>
  <c r="DK5" i="31"/>
  <c r="DC5" i="31"/>
  <c r="CU5" i="31"/>
  <c r="CM5" i="31"/>
  <c r="CE5" i="31"/>
  <c r="BW5" i="31"/>
  <c r="BO5" i="31"/>
  <c r="BG5" i="31"/>
  <c r="AY5" i="31"/>
  <c r="AQ5" i="31"/>
  <c r="AI5" i="31"/>
  <c r="AA5" i="31"/>
  <c r="S5" i="31"/>
  <c r="K5" i="31"/>
  <c r="C5" i="31"/>
  <c r="FF4" i="31"/>
  <c r="EX4" i="31"/>
  <c r="EP4" i="31"/>
  <c r="EH4" i="31"/>
  <c r="DZ4" i="31"/>
  <c r="DR4" i="31"/>
  <c r="DJ4" i="31"/>
  <c r="DB4" i="31"/>
  <c r="CT4" i="31"/>
  <c r="CL4" i="31"/>
  <c r="CD4" i="31"/>
  <c r="BV4" i="31"/>
  <c r="BN4" i="31"/>
  <c r="BF4" i="31"/>
  <c r="AX4" i="31"/>
  <c r="AP4" i="31"/>
  <c r="AH4" i="31"/>
  <c r="Z4" i="31"/>
  <c r="R4" i="31"/>
  <c r="J4" i="31"/>
  <c r="B4" i="31"/>
  <c r="ER5" i="30"/>
  <c r="EJ5" i="30"/>
  <c r="EB5" i="30"/>
  <c r="DT5" i="30"/>
  <c r="DL5" i="30"/>
  <c r="DD5" i="30"/>
  <c r="CV5" i="30"/>
  <c r="CN5" i="30"/>
  <c r="CF5" i="30"/>
  <c r="BX5" i="30"/>
  <c r="BP5" i="30"/>
  <c r="BH5" i="30"/>
  <c r="AZ5" i="30"/>
  <c r="AR5" i="30"/>
  <c r="AJ5" i="30"/>
  <c r="AB5" i="30"/>
  <c r="T5" i="30"/>
  <c r="L5" i="30"/>
  <c r="D5" i="30"/>
  <c r="ET4" i="30"/>
  <c r="EL4" i="30"/>
  <c r="ED4" i="30"/>
  <c r="DV4" i="30"/>
  <c r="DN4" i="30"/>
  <c r="DF4" i="30"/>
  <c r="CX4" i="30"/>
  <c r="CP4" i="30"/>
  <c r="CH4" i="30"/>
  <c r="BZ4" i="30"/>
  <c r="BR4" i="30"/>
  <c r="BJ4" i="30"/>
  <c r="BB4" i="30"/>
  <c r="AT4" i="30"/>
  <c r="AL4" i="30"/>
  <c r="AD4" i="30"/>
  <c r="V4" i="30"/>
  <c r="N4" i="30"/>
  <c r="F4" i="30"/>
  <c r="EV5" i="29"/>
  <c r="EN5" i="29"/>
  <c r="EF5" i="29"/>
  <c r="DX5" i="29"/>
  <c r="DP5" i="29"/>
  <c r="DH5" i="29"/>
  <c r="CZ5" i="29"/>
  <c r="CR5" i="29"/>
  <c r="CJ5" i="29"/>
  <c r="FF5" i="31"/>
  <c r="EX5" i="31"/>
  <c r="EP5" i="31"/>
  <c r="EH5" i="31"/>
  <c r="DZ5" i="31"/>
  <c r="DR5" i="31"/>
  <c r="DJ5" i="31"/>
  <c r="DB5" i="31"/>
  <c r="CT5" i="31"/>
  <c r="CL5" i="31"/>
  <c r="CD5" i="31"/>
  <c r="BV5" i="31"/>
  <c r="BN5" i="31"/>
  <c r="BF5" i="31"/>
  <c r="AX5" i="31"/>
  <c r="AP5" i="31"/>
  <c r="AH5" i="31"/>
  <c r="Z5" i="31"/>
  <c r="R5" i="31"/>
  <c r="J5" i="31"/>
  <c r="B5" i="31"/>
  <c r="FE4" i="31"/>
  <c r="EW4" i="31"/>
  <c r="EO4" i="31"/>
  <c r="EG4" i="31"/>
  <c r="DY4" i="31"/>
  <c r="DQ4" i="31"/>
  <c r="DI4" i="31"/>
  <c r="DA4" i="31"/>
  <c r="CS4" i="31"/>
  <c r="CK4" i="31"/>
  <c r="CC4" i="31"/>
  <c r="BU4" i="31"/>
  <c r="BM4" i="31"/>
  <c r="BE4" i="31"/>
  <c r="AW4" i="31"/>
  <c r="AO4" i="31"/>
  <c r="AG4" i="31"/>
  <c r="Y4" i="31"/>
  <c r="Q4" i="31"/>
  <c r="I4" i="31"/>
  <c r="FE5" i="31"/>
  <c r="EW5" i="31"/>
  <c r="EO5" i="31"/>
  <c r="EG5" i="31"/>
  <c r="DY5" i="31"/>
  <c r="DQ5" i="31"/>
  <c r="DI5" i="31"/>
  <c r="DA5" i="31"/>
  <c r="CS5" i="31"/>
  <c r="CK5" i="31"/>
  <c r="CC5" i="31"/>
  <c r="BU5" i="31"/>
  <c r="BM5" i="31"/>
  <c r="BE5" i="31"/>
  <c r="AW5" i="31"/>
  <c r="AO5" i="31"/>
  <c r="AG5" i="31"/>
  <c r="Y5" i="31"/>
  <c r="Q5" i="31"/>
  <c r="I5" i="31"/>
  <c r="A5" i="31"/>
  <c r="FD4" i="31"/>
  <c r="EV4" i="31"/>
  <c r="EN4" i="31"/>
  <c r="EF4" i="31"/>
  <c r="DX4" i="31"/>
  <c r="DP4" i="31"/>
  <c r="DH4" i="31"/>
  <c r="CZ4" i="31"/>
  <c r="CR4" i="31"/>
  <c r="CJ4" i="31"/>
  <c r="CB4" i="31"/>
  <c r="BT4" i="31"/>
  <c r="BL4" i="31"/>
  <c r="BD4" i="31"/>
  <c r="AV4" i="31"/>
  <c r="AN4" i="31"/>
  <c r="AF4" i="31"/>
  <c r="X4" i="31"/>
  <c r="P4" i="31"/>
  <c r="H4" i="31"/>
  <c r="EX5" i="30"/>
  <c r="EP5" i="30"/>
  <c r="EH5" i="30"/>
  <c r="DZ5" i="30"/>
  <c r="DR5" i="30"/>
  <c r="DJ5" i="30"/>
  <c r="DB5" i="30"/>
  <c r="CT5" i="30"/>
  <c r="CL5" i="30"/>
  <c r="CD5" i="30"/>
  <c r="BV5" i="30"/>
  <c r="BN5" i="30"/>
  <c r="BF5" i="30"/>
  <c r="AX5" i="30"/>
  <c r="AP5" i="30"/>
  <c r="AH5" i="30"/>
  <c r="Z5" i="30"/>
  <c r="R5" i="30"/>
  <c r="J5" i="30"/>
  <c r="B5" i="30"/>
  <c r="ER4" i="30"/>
  <c r="EJ4" i="30"/>
  <c r="EB4" i="30"/>
  <c r="DT4" i="30"/>
  <c r="DL4" i="30"/>
  <c r="DD4" i="30"/>
  <c r="CV4" i="30"/>
  <c r="CN4" i="30"/>
  <c r="CF4" i="30"/>
  <c r="BX4" i="30"/>
  <c r="BP4" i="30"/>
  <c r="BH4" i="30"/>
  <c r="AZ4" i="30"/>
  <c r="AR4" i="30"/>
  <c r="AJ4" i="30"/>
  <c r="AB4" i="30"/>
  <c r="T4" i="30"/>
  <c r="L4" i="30"/>
  <c r="D4" i="30"/>
  <c r="ET5" i="29"/>
  <c r="EL5" i="29"/>
  <c r="ED5" i="29"/>
  <c r="DV5" i="29"/>
  <c r="DN5" i="29"/>
  <c r="DF5" i="29"/>
  <c r="CX5" i="29"/>
  <c r="CP5" i="29"/>
  <c r="CH5" i="29"/>
  <c r="BZ5" i="29"/>
  <c r="BR5" i="29"/>
  <c r="BJ5" i="29"/>
  <c r="BB5" i="29"/>
  <c r="AT5" i="29"/>
  <c r="AL5" i="29"/>
  <c r="AD5" i="29"/>
  <c r="V5" i="29"/>
  <c r="N5" i="29"/>
  <c r="F5" i="29"/>
  <c r="EV4" i="29"/>
  <c r="EN4" i="29"/>
  <c r="EF4" i="29"/>
  <c r="DX4" i="29"/>
  <c r="DP4" i="29"/>
  <c r="DH4" i="29"/>
  <c r="CZ4" i="29"/>
  <c r="CR4" i="29"/>
  <c r="CJ4" i="29"/>
  <c r="CB4" i="29"/>
  <c r="BT4" i="29"/>
  <c r="BL4" i="29"/>
  <c r="BD4" i="29"/>
  <c r="AV4" i="29"/>
  <c r="AN4" i="29"/>
  <c r="AF4" i="29"/>
  <c r="X4" i="29"/>
  <c r="P4" i="29"/>
  <c r="H4" i="29"/>
  <c r="EX5" i="28"/>
  <c r="EP5" i="28"/>
  <c r="EH5" i="28"/>
  <c r="DZ5" i="28"/>
  <c r="DR5" i="28"/>
  <c r="DJ5" i="28"/>
  <c r="DB5" i="28"/>
  <c r="CT5" i="28"/>
  <c r="CL5" i="28"/>
  <c r="FD5" i="31"/>
  <c r="EV5" i="31"/>
  <c r="EN5" i="31"/>
  <c r="EF5" i="31"/>
  <c r="DX5" i="31"/>
  <c r="DP5" i="31"/>
  <c r="DH5" i="31"/>
  <c r="CZ5" i="31"/>
  <c r="CR5" i="31"/>
  <c r="CJ5" i="31"/>
  <c r="CB5" i="31"/>
  <c r="BT5" i="31"/>
  <c r="BL5" i="31"/>
  <c r="BD5" i="31"/>
  <c r="AV5" i="31"/>
  <c r="AN5" i="31"/>
  <c r="AF5" i="31"/>
  <c r="X5" i="31"/>
  <c r="P5" i="31"/>
  <c r="H5" i="31"/>
  <c r="FK4" i="31"/>
  <c r="FC4" i="31"/>
  <c r="EU4" i="31"/>
  <c r="EM4" i="31"/>
  <c r="EE4" i="31"/>
  <c r="DW4" i="31"/>
  <c r="DO4" i="31"/>
  <c r="DG4" i="31"/>
  <c r="CY4" i="31"/>
  <c r="CQ4" i="31"/>
  <c r="CI4" i="31"/>
  <c r="CA4" i="31"/>
  <c r="BS4" i="31"/>
  <c r="BK4" i="31"/>
  <c r="BC4" i="31"/>
  <c r="AU4" i="31"/>
  <c r="AM4" i="31"/>
  <c r="AE4" i="31"/>
  <c r="W4" i="31"/>
  <c r="O4" i="31"/>
  <c r="G4" i="31"/>
  <c r="EW5" i="30"/>
  <c r="EO5" i="30"/>
  <c r="EG5" i="30"/>
  <c r="DY5" i="30"/>
  <c r="DQ5" i="30"/>
  <c r="DI5" i="30"/>
  <c r="DA5" i="30"/>
  <c r="CS5" i="30"/>
  <c r="CK5" i="30"/>
  <c r="CC5" i="30"/>
  <c r="BU5" i="30"/>
  <c r="BM5" i="30"/>
  <c r="BE5" i="30"/>
  <c r="AW5" i="30"/>
  <c r="AO5" i="30"/>
  <c r="AG5" i="30"/>
  <c r="Y5" i="30"/>
  <c r="Q5" i="30"/>
  <c r="I5" i="30"/>
  <c r="A5" i="30"/>
  <c r="EQ4" i="30"/>
  <c r="EI4" i="30"/>
  <c r="EA4" i="30"/>
  <c r="DS4" i="30"/>
  <c r="DK4" i="30"/>
  <c r="DC4" i="30"/>
  <c r="CU4" i="30"/>
  <c r="CM4" i="30"/>
  <c r="CE4" i="30"/>
  <c r="BW4" i="30"/>
  <c r="BO4" i="30"/>
  <c r="BG4" i="30"/>
  <c r="AY4" i="30"/>
  <c r="AQ4" i="30"/>
  <c r="AI4" i="30"/>
  <c r="AA4" i="30"/>
  <c r="S4" i="30"/>
  <c r="K4" i="30"/>
  <c r="C4" i="30"/>
  <c r="ES5" i="29"/>
  <c r="EK5" i="29"/>
  <c r="EC5" i="29"/>
  <c r="DU5" i="29"/>
  <c r="DM5" i="29"/>
  <c r="DE5" i="29"/>
  <c r="CW5" i="29"/>
  <c r="CO5" i="29"/>
  <c r="CG5" i="29"/>
  <c r="BY5" i="29"/>
  <c r="BQ5" i="29"/>
  <c r="BI5" i="29"/>
  <c r="BA5" i="29"/>
  <c r="AS5" i="29"/>
  <c r="AK5" i="29"/>
  <c r="AC5" i="29"/>
  <c r="U5" i="29"/>
  <c r="M5" i="29"/>
  <c r="E5" i="29"/>
  <c r="EU4" i="29"/>
  <c r="EM4" i="29"/>
  <c r="EE4" i="29"/>
  <c r="DW4" i="29"/>
  <c r="DO4" i="29"/>
  <c r="DG4" i="29"/>
  <c r="CY4" i="29"/>
  <c r="CQ4" i="29"/>
  <c r="CI4" i="29"/>
  <c r="CA4" i="29"/>
  <c r="BS4" i="29"/>
  <c r="BK4" i="29"/>
  <c r="BC4" i="29"/>
  <c r="AU4" i="29"/>
  <c r="AM4" i="29"/>
  <c r="AE4" i="29"/>
  <c r="W4" i="29"/>
  <c r="O4" i="29"/>
  <c r="G4" i="29"/>
  <c r="EW5" i="28"/>
  <c r="EO5" i="28"/>
  <c r="EG5" i="28"/>
  <c r="DY5" i="28"/>
  <c r="DQ5" i="28"/>
  <c r="DI5" i="28"/>
  <c r="DA5" i="28"/>
  <c r="CS5" i="28"/>
  <c r="EQ5" i="30"/>
  <c r="CE5" i="30"/>
  <c r="AQ5" i="30"/>
  <c r="K5" i="30"/>
  <c r="EO4" i="30"/>
  <c r="EC4" i="30"/>
  <c r="DP4" i="30"/>
  <c r="DB4" i="30"/>
  <c r="CQ4" i="30"/>
  <c r="CC4" i="30"/>
  <c r="BQ4" i="30"/>
  <c r="BD4" i="30"/>
  <c r="AP4" i="30"/>
  <c r="AE4" i="30"/>
  <c r="Q4" i="30"/>
  <c r="E4" i="30"/>
  <c r="EP5" i="29"/>
  <c r="EB5" i="29"/>
  <c r="DQ5" i="29"/>
  <c r="DC5" i="29"/>
  <c r="CQ5" i="29"/>
  <c r="CD5" i="29"/>
  <c r="BT5" i="29"/>
  <c r="BH5" i="29"/>
  <c r="AX5" i="29"/>
  <c r="AN5" i="29"/>
  <c r="AB5" i="29"/>
  <c r="R5" i="29"/>
  <c r="H5" i="29"/>
  <c r="ET4" i="29"/>
  <c r="EJ4" i="29"/>
  <c r="DZ4" i="29"/>
  <c r="DN4" i="29"/>
  <c r="DD4" i="29"/>
  <c r="CT4" i="29"/>
  <c r="CH4" i="29"/>
  <c r="BX4" i="29"/>
  <c r="BN4" i="29"/>
  <c r="BB4" i="29"/>
  <c r="AR4" i="29"/>
  <c r="AH4" i="29"/>
  <c r="V4" i="29"/>
  <c r="L4" i="29"/>
  <c r="B4" i="29"/>
  <c r="EN5" i="28"/>
  <c r="ED5" i="28"/>
  <c r="DT5" i="28"/>
  <c r="DH5" i="28"/>
  <c r="CX5" i="28"/>
  <c r="CN5" i="28"/>
  <c r="CE5" i="28"/>
  <c r="BW5" i="28"/>
  <c r="BO5" i="28"/>
  <c r="BG5" i="28"/>
  <c r="AY5" i="28"/>
  <c r="AQ5" i="28"/>
  <c r="AI5" i="28"/>
  <c r="AA5" i="28"/>
  <c r="S5" i="28"/>
  <c r="K5" i="28"/>
  <c r="C5" i="28"/>
  <c r="ES4" i="28"/>
  <c r="EK4" i="28"/>
  <c r="EC4" i="28"/>
  <c r="DU4" i="28"/>
  <c r="DM4" i="28"/>
  <c r="DE4" i="28"/>
  <c r="CW4" i="28"/>
  <c r="CO4" i="28"/>
  <c r="CG4" i="28"/>
  <c r="BY4" i="28"/>
  <c r="BQ4" i="28"/>
  <c r="BI4" i="28"/>
  <c r="BA4" i="28"/>
  <c r="AS4" i="28"/>
  <c r="AK4" i="28"/>
  <c r="AC4" i="28"/>
  <c r="U4" i="28"/>
  <c r="M4" i="28"/>
  <c r="E4" i="28"/>
  <c r="EU5" i="27"/>
  <c r="EM5" i="27"/>
  <c r="EE5" i="27"/>
  <c r="DW5" i="27"/>
  <c r="DO5" i="27"/>
  <c r="DG5" i="27"/>
  <c r="CY5" i="27"/>
  <c r="CQ5" i="27"/>
  <c r="CI5" i="27"/>
  <c r="CA5" i="27"/>
  <c r="BS5" i="27"/>
  <c r="BK5" i="27"/>
  <c r="BC5" i="27"/>
  <c r="AU5" i="27"/>
  <c r="AM5" i="27"/>
  <c r="AE5" i="27"/>
  <c r="W5" i="27"/>
  <c r="O5" i="27"/>
  <c r="G5" i="27"/>
  <c r="EW4" i="27"/>
  <c r="EO4" i="27"/>
  <c r="EG4" i="27"/>
  <c r="DY4" i="27"/>
  <c r="DQ4" i="27"/>
  <c r="DI4" i="27"/>
  <c r="DA4" i="27"/>
  <c r="CS4" i="27"/>
  <c r="CK4" i="27"/>
  <c r="CC4" i="27"/>
  <c r="BU4" i="27"/>
  <c r="BM4" i="27"/>
  <c r="BE4" i="27"/>
  <c r="AW4" i="27"/>
  <c r="AO4" i="27"/>
  <c r="AG4" i="27"/>
  <c r="Y4" i="27"/>
  <c r="Q4" i="27"/>
  <c r="I4" i="27"/>
  <c r="EI5" i="30"/>
  <c r="BW5" i="30"/>
  <c r="AN5" i="30"/>
  <c r="H5" i="30"/>
  <c r="EN4" i="30"/>
  <c r="DZ4" i="30"/>
  <c r="DO4" i="30"/>
  <c r="DA4" i="30"/>
  <c r="CO4" i="30"/>
  <c r="CB4" i="30"/>
  <c r="BN4" i="30"/>
  <c r="BC4" i="30"/>
  <c r="AO4" i="30"/>
  <c r="AC4" i="30"/>
  <c r="P4" i="30"/>
  <c r="B4" i="30"/>
  <c r="EO5" i="29"/>
  <c r="EA5" i="29"/>
  <c r="DO5" i="29"/>
  <c r="DB5" i="29"/>
  <c r="CN5" i="29"/>
  <c r="CC5" i="29"/>
  <c r="BS5" i="29"/>
  <c r="BG5" i="29"/>
  <c r="AW5" i="29"/>
  <c r="AM5" i="29"/>
  <c r="AA5" i="29"/>
  <c r="Q5" i="29"/>
  <c r="G5" i="29"/>
  <c r="ES4" i="29"/>
  <c r="EI4" i="29"/>
  <c r="DY4" i="29"/>
  <c r="DM4" i="29"/>
  <c r="DC4" i="29"/>
  <c r="CS4" i="29"/>
  <c r="CG4" i="29"/>
  <c r="BW4" i="29"/>
  <c r="BM4" i="29"/>
  <c r="BA4" i="29"/>
  <c r="AQ4" i="29"/>
  <c r="AG4" i="29"/>
  <c r="U4" i="29"/>
  <c r="K4" i="29"/>
  <c r="EM5" i="28"/>
  <c r="EC5" i="28"/>
  <c r="DS5" i="28"/>
  <c r="DG5" i="28"/>
  <c r="CW5" i="28"/>
  <c r="CM5" i="28"/>
  <c r="CD5" i="28"/>
  <c r="BV5" i="28"/>
  <c r="BN5" i="28"/>
  <c r="BF5" i="28"/>
  <c r="AX5" i="28"/>
  <c r="AP5" i="28"/>
  <c r="AH5" i="28"/>
  <c r="Z5" i="28"/>
  <c r="R5" i="28"/>
  <c r="J5" i="28"/>
  <c r="B5" i="28"/>
  <c r="ER4" i="28"/>
  <c r="EJ4" i="28"/>
  <c r="EB4" i="28"/>
  <c r="DT4" i="28"/>
  <c r="DL4" i="28"/>
  <c r="DD4" i="28"/>
  <c r="CV4" i="28"/>
  <c r="CN4" i="28"/>
  <c r="CF4" i="28"/>
  <c r="BX4" i="28"/>
  <c r="BP4" i="28"/>
  <c r="BH4" i="28"/>
  <c r="AZ4" i="28"/>
  <c r="AR4" i="28"/>
  <c r="AJ4" i="28"/>
  <c r="AB4" i="28"/>
  <c r="T4" i="28"/>
  <c r="L4" i="28"/>
  <c r="D4" i="28"/>
  <c r="ET5" i="27"/>
  <c r="EL5" i="27"/>
  <c r="ED5" i="27"/>
  <c r="DV5" i="27"/>
  <c r="DN5" i="27"/>
  <c r="DF5" i="27"/>
  <c r="CX5" i="27"/>
  <c r="CP5" i="27"/>
  <c r="CH5" i="27"/>
  <c r="BZ5" i="27"/>
  <c r="BR5" i="27"/>
  <c r="BJ5" i="27"/>
  <c r="BB5" i="27"/>
  <c r="AT5" i="27"/>
  <c r="AL5" i="27"/>
  <c r="AD5" i="27"/>
  <c r="V5" i="27"/>
  <c r="N5" i="27"/>
  <c r="F5" i="27"/>
  <c r="EV4" i="27"/>
  <c r="EN4" i="27"/>
  <c r="EF4" i="27"/>
  <c r="DX4" i="27"/>
  <c r="DP4" i="27"/>
  <c r="DH4" i="27"/>
  <c r="CZ4" i="27"/>
  <c r="CR4" i="27"/>
  <c r="CJ4" i="27"/>
  <c r="CB4" i="27"/>
  <c r="BT4" i="27"/>
  <c r="BL4" i="27"/>
  <c r="BD4" i="27"/>
  <c r="AV4" i="27"/>
  <c r="AN4" i="27"/>
  <c r="AF4" i="27"/>
  <c r="X4" i="27"/>
  <c r="P4" i="27"/>
  <c r="H4" i="27"/>
  <c r="EX5" i="26"/>
  <c r="EP5" i="26"/>
  <c r="EH5" i="26"/>
  <c r="DZ5" i="26"/>
  <c r="DR5" i="26"/>
  <c r="DJ5" i="26"/>
  <c r="DB5" i="26"/>
  <c r="CT5" i="26"/>
  <c r="CL5" i="26"/>
  <c r="EA5" i="30"/>
  <c r="BO5" i="30"/>
  <c r="AI5" i="30"/>
  <c r="C5" i="30"/>
  <c r="EM4" i="30"/>
  <c r="DY4" i="30"/>
  <c r="DM4" i="30"/>
  <c r="CZ4" i="30"/>
  <c r="CL4" i="30"/>
  <c r="CA4" i="30"/>
  <c r="BM4" i="30"/>
  <c r="BA4" i="30"/>
  <c r="AN4" i="30"/>
  <c r="Z4" i="30"/>
  <c r="O4" i="30"/>
  <c r="EM5" i="29"/>
  <c r="DZ5" i="29"/>
  <c r="DL5" i="29"/>
  <c r="DA5" i="29"/>
  <c r="CM5" i="29"/>
  <c r="CB5" i="29"/>
  <c r="BP5" i="29"/>
  <c r="BF5" i="29"/>
  <c r="AV5" i="29"/>
  <c r="AJ5" i="29"/>
  <c r="Z5" i="29"/>
  <c r="P5" i="29"/>
  <c r="D5" i="29"/>
  <c r="ER4" i="29"/>
  <c r="EH4" i="29"/>
  <c r="DV4" i="29"/>
  <c r="DL4" i="29"/>
  <c r="DB4" i="29"/>
  <c r="CP4" i="29"/>
  <c r="CF4" i="29"/>
  <c r="BV4" i="29"/>
  <c r="BJ4" i="29"/>
  <c r="AZ4" i="29"/>
  <c r="AP4" i="29"/>
  <c r="AD4" i="29"/>
  <c r="T4" i="29"/>
  <c r="J4" i="29"/>
  <c r="EV5" i="28"/>
  <c r="EL5" i="28"/>
  <c r="EB5" i="28"/>
  <c r="DP5" i="28"/>
  <c r="DF5" i="28"/>
  <c r="CV5" i="28"/>
  <c r="CK5" i="28"/>
  <c r="CC5" i="28"/>
  <c r="BU5" i="28"/>
  <c r="BM5" i="28"/>
  <c r="BE5" i="28"/>
  <c r="AW5" i="28"/>
  <c r="AO5" i="28"/>
  <c r="AG5" i="28"/>
  <c r="Y5" i="28"/>
  <c r="Q5" i="28"/>
  <c r="I5" i="28"/>
  <c r="A5" i="28"/>
  <c r="EQ4" i="28"/>
  <c r="EI4" i="28"/>
  <c r="EA4" i="28"/>
  <c r="DS4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ES5" i="27"/>
  <c r="EK5" i="27"/>
  <c r="EC5" i="27"/>
  <c r="DU5" i="27"/>
  <c r="DM5" i="27"/>
  <c r="DE5" i="27"/>
  <c r="CW5" i="27"/>
  <c r="CO5" i="27"/>
  <c r="CG5" i="27"/>
  <c r="BY5" i="27"/>
  <c r="BQ5" i="27"/>
  <c r="BI5" i="27"/>
  <c r="BA5" i="27"/>
  <c r="AS5" i="27"/>
  <c r="AK5" i="27"/>
  <c r="AC5" i="27"/>
  <c r="U5" i="27"/>
  <c r="M5" i="27"/>
  <c r="E5" i="27"/>
  <c r="EU4" i="27"/>
  <c r="EM4" i="27"/>
  <c r="EE4" i="27"/>
  <c r="DW4" i="27"/>
  <c r="DO4" i="27"/>
  <c r="DG4" i="27"/>
  <c r="CY4" i="27"/>
  <c r="CQ4" i="27"/>
  <c r="CI4" i="27"/>
  <c r="CA4" i="27"/>
  <c r="BS4" i="27"/>
  <c r="BK4" i="27"/>
  <c r="BC4" i="27"/>
  <c r="AU4" i="27"/>
  <c r="AM4" i="27"/>
  <c r="AE4" i="27"/>
  <c r="W4" i="27"/>
  <c r="O4" i="27"/>
  <c r="G4" i="27"/>
  <c r="EW5" i="26"/>
  <c r="EO5" i="26"/>
  <c r="EG5" i="26"/>
  <c r="DY5" i="26"/>
  <c r="DQ5" i="26"/>
  <c r="DI5" i="26"/>
  <c r="DA5" i="26"/>
  <c r="CS5" i="26"/>
  <c r="CK5" i="26"/>
  <c r="DS5" i="30"/>
  <c r="BL5" i="30"/>
  <c r="AF5" i="30"/>
  <c r="EX4" i="30"/>
  <c r="EK4" i="30"/>
  <c r="DX4" i="30"/>
  <c r="DJ4" i="30"/>
  <c r="CY4" i="30"/>
  <c r="CK4" i="30"/>
  <c r="BY4" i="30"/>
  <c r="BL4" i="30"/>
  <c r="AX4" i="30"/>
  <c r="AM4" i="30"/>
  <c r="Y4" i="30"/>
  <c r="M4" i="30"/>
  <c r="EX5" i="29"/>
  <c r="EJ5" i="29"/>
  <c r="DY5" i="29"/>
  <c r="DK5" i="29"/>
  <c r="CY5" i="29"/>
  <c r="CL5" i="29"/>
  <c r="CA5" i="29"/>
  <c r="BO5" i="29"/>
  <c r="BE5" i="29"/>
  <c r="AU5" i="29"/>
  <c r="AI5" i="29"/>
  <c r="Y5" i="29"/>
  <c r="O5" i="29"/>
  <c r="C5" i="29"/>
  <c r="EQ4" i="29"/>
  <c r="EG4" i="29"/>
  <c r="DU4" i="29"/>
  <c r="DK4" i="29"/>
  <c r="DA4" i="29"/>
  <c r="CO4" i="29"/>
  <c r="CE4" i="29"/>
  <c r="BU4" i="29"/>
  <c r="BI4" i="29"/>
  <c r="AY4" i="29"/>
  <c r="AO4" i="29"/>
  <c r="AC4" i="29"/>
  <c r="S4" i="29"/>
  <c r="I4" i="29"/>
  <c r="EU5" i="28"/>
  <c r="EK5" i="28"/>
  <c r="EA5" i="28"/>
  <c r="DO5" i="28"/>
  <c r="DE5" i="28"/>
  <c r="CU5" i="28"/>
  <c r="CJ5" i="28"/>
  <c r="CB5" i="28"/>
  <c r="BT5" i="28"/>
  <c r="BL5" i="28"/>
  <c r="BD5" i="28"/>
  <c r="AV5" i="28"/>
  <c r="AN5" i="28"/>
  <c r="AF5" i="28"/>
  <c r="X5" i="28"/>
  <c r="P5" i="28"/>
  <c r="H5" i="28"/>
  <c r="EX4" i="28"/>
  <c r="EP4" i="28"/>
  <c r="EH4" i="28"/>
  <c r="DZ4" i="28"/>
  <c r="DR4" i="28"/>
  <c r="DJ4" i="28"/>
  <c r="DB4" i="28"/>
  <c r="CT4" i="28"/>
  <c r="CL4" i="28"/>
  <c r="CD4" i="28"/>
  <c r="BV4" i="28"/>
  <c r="BN4" i="28"/>
  <c r="BF4" i="28"/>
  <c r="AX4" i="28"/>
  <c r="AP4" i="28"/>
  <c r="AH4" i="28"/>
  <c r="Z4" i="28"/>
  <c r="R4" i="28"/>
  <c r="J4" i="28"/>
  <c r="B4" i="28"/>
  <c r="ER5" i="27"/>
  <c r="EJ5" i="27"/>
  <c r="EB5" i="27"/>
  <c r="DT5" i="27"/>
  <c r="DL5" i="27"/>
  <c r="DD5" i="27"/>
  <c r="CV5" i="27"/>
  <c r="CN5" i="27"/>
  <c r="CF5" i="27"/>
  <c r="BX5" i="27"/>
  <c r="BP5" i="27"/>
  <c r="BH5" i="27"/>
  <c r="AZ5" i="27"/>
  <c r="AR5" i="27"/>
  <c r="AJ5" i="27"/>
  <c r="AB5" i="27"/>
  <c r="T5" i="27"/>
  <c r="L5" i="27"/>
  <c r="D5" i="27"/>
  <c r="ET4" i="27"/>
  <c r="EL4" i="27"/>
  <c r="ED4" i="27"/>
  <c r="DV4" i="27"/>
  <c r="DN4" i="27"/>
  <c r="DF4" i="27"/>
  <c r="CX4" i="27"/>
  <c r="CP4" i="27"/>
  <c r="CH4" i="27"/>
  <c r="BZ4" i="27"/>
  <c r="BR4" i="27"/>
  <c r="BJ4" i="27"/>
  <c r="BB4" i="27"/>
  <c r="AT4" i="27"/>
  <c r="AL4" i="27"/>
  <c r="AD4" i="27"/>
  <c r="V4" i="27"/>
  <c r="N4" i="27"/>
  <c r="F4" i="27"/>
  <c r="EV5" i="26"/>
  <c r="EN5" i="26"/>
  <c r="EF5" i="26"/>
  <c r="DX5" i="26"/>
  <c r="DP5" i="26"/>
  <c r="DH5" i="26"/>
  <c r="CZ5" i="26"/>
  <c r="CR5" i="26"/>
  <c r="CJ5" i="26"/>
  <c r="DK5" i="30"/>
  <c r="BG5" i="30"/>
  <c r="AA5" i="30"/>
  <c r="EV4" i="30"/>
  <c r="EH4" i="30"/>
  <c r="DW4" i="30"/>
  <c r="DI4" i="30"/>
  <c r="CW4" i="30"/>
  <c r="CJ4" i="30"/>
  <c r="BV4" i="30"/>
  <c r="BK4" i="30"/>
  <c r="AW4" i="30"/>
  <c r="AK4" i="30"/>
  <c r="X4" i="30"/>
  <c r="J4" i="30"/>
  <c r="EW5" i="29"/>
  <c r="EI5" i="29"/>
  <c r="DW5" i="29"/>
  <c r="DJ5" i="29"/>
  <c r="CV5" i="29"/>
  <c r="CK5" i="29"/>
  <c r="BX5" i="29"/>
  <c r="BN5" i="29"/>
  <c r="BD5" i="29"/>
  <c r="AR5" i="29"/>
  <c r="AH5" i="29"/>
  <c r="X5" i="29"/>
  <c r="L5" i="29"/>
  <c r="B5" i="29"/>
  <c r="EP4" i="29"/>
  <c r="ED4" i="29"/>
  <c r="DT4" i="29"/>
  <c r="DJ4" i="29"/>
  <c r="CX4" i="29"/>
  <c r="CN4" i="29"/>
  <c r="CD4" i="29"/>
  <c r="BR4" i="29"/>
  <c r="BH4" i="29"/>
  <c r="AX4" i="29"/>
  <c r="AL4" i="29"/>
  <c r="AB4" i="29"/>
  <c r="R4" i="29"/>
  <c r="F4" i="29"/>
  <c r="ET5" i="28"/>
  <c r="EJ5" i="28"/>
  <c r="DX5" i="28"/>
  <c r="DN5" i="28"/>
  <c r="DD5" i="28"/>
  <c r="CR5" i="28"/>
  <c r="CI5" i="28"/>
  <c r="CA5" i="28"/>
  <c r="BS5" i="28"/>
  <c r="BK5" i="28"/>
  <c r="BC5" i="28"/>
  <c r="AU5" i="28"/>
  <c r="AM5" i="28"/>
  <c r="AE5" i="28"/>
  <c r="W5" i="28"/>
  <c r="O5" i="28"/>
  <c r="G5" i="28"/>
  <c r="EW4" i="28"/>
  <c r="EO4" i="28"/>
  <c r="EG4" i="28"/>
  <c r="DY4" i="28"/>
  <c r="DQ4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EQ5" i="27"/>
  <c r="EI5" i="27"/>
  <c r="EA5" i="27"/>
  <c r="DS5" i="27"/>
  <c r="DK5" i="27"/>
  <c r="DC5" i="27"/>
  <c r="CU5" i="27"/>
  <c r="CM5" i="27"/>
  <c r="CE5" i="27"/>
  <c r="BW5" i="27"/>
  <c r="BO5" i="27"/>
  <c r="BG5" i="27"/>
  <c r="AY5" i="27"/>
  <c r="AQ5" i="27"/>
  <c r="AI5" i="27"/>
  <c r="AA5" i="27"/>
  <c r="S5" i="27"/>
  <c r="K5" i="27"/>
  <c r="C5" i="27"/>
  <c r="ES4" i="27"/>
  <c r="EK4" i="27"/>
  <c r="EC4" i="27"/>
  <c r="DU4" i="27"/>
  <c r="DM4" i="27"/>
  <c r="DE4" i="27"/>
  <c r="CW4" i="27"/>
  <c r="CO4" i="27"/>
  <c r="CG4" i="27"/>
  <c r="BY4" i="27"/>
  <c r="BQ4" i="27"/>
  <c r="BI4" i="27"/>
  <c r="BA4" i="27"/>
  <c r="AS4" i="27"/>
  <c r="AK4" i="27"/>
  <c r="AC4" i="27"/>
  <c r="U4" i="27"/>
  <c r="M4" i="27"/>
  <c r="E4" i="27"/>
  <c r="EU5" i="26"/>
  <c r="EM5" i="26"/>
  <c r="EE5" i="26"/>
  <c r="DW5" i="26"/>
  <c r="DC5" i="30"/>
  <c r="BD5" i="30"/>
  <c r="X5" i="30"/>
  <c r="EU4" i="30"/>
  <c r="EG4" i="30"/>
  <c r="DU4" i="30"/>
  <c r="DH4" i="30"/>
  <c r="CT4" i="30"/>
  <c r="CI4" i="30"/>
  <c r="BU4" i="30"/>
  <c r="BI4" i="30"/>
  <c r="AV4" i="30"/>
  <c r="AH4" i="30"/>
  <c r="W4" i="30"/>
  <c r="I4" i="30"/>
  <c r="EU5" i="29"/>
  <c r="EH5" i="29"/>
  <c r="DT5" i="29"/>
  <c r="DI5" i="29"/>
  <c r="CU5" i="29"/>
  <c r="CI5" i="29"/>
  <c r="BW5" i="29"/>
  <c r="BM5" i="29"/>
  <c r="BC5" i="29"/>
  <c r="AQ5" i="29"/>
  <c r="AG5" i="29"/>
  <c r="W5" i="29"/>
  <c r="K5" i="29"/>
  <c r="A5" i="29"/>
  <c r="EO4" i="29"/>
  <c r="EC4" i="29"/>
  <c r="DS4" i="29"/>
  <c r="DI4" i="29"/>
  <c r="CW4" i="29"/>
  <c r="CM4" i="29"/>
  <c r="CC4" i="29"/>
  <c r="BQ4" i="29"/>
  <c r="BG4" i="29"/>
  <c r="AW4" i="29"/>
  <c r="AK4" i="29"/>
  <c r="AA4" i="29"/>
  <c r="Q4" i="29"/>
  <c r="E4" i="29"/>
  <c r="ES5" i="28"/>
  <c r="EI5" i="28"/>
  <c r="DW5" i="28"/>
  <c r="DM5" i="28"/>
  <c r="DC5" i="28"/>
  <c r="CQ5" i="28"/>
  <c r="CH5" i="28"/>
  <c r="BZ5" i="28"/>
  <c r="BR5" i="28"/>
  <c r="BJ5" i="28"/>
  <c r="BB5" i="28"/>
  <c r="AT5" i="28"/>
  <c r="AL5" i="28"/>
  <c r="AD5" i="28"/>
  <c r="V5" i="28"/>
  <c r="N5" i="28"/>
  <c r="F5" i="28"/>
  <c r="EV4" i="28"/>
  <c r="EN4" i="28"/>
  <c r="EF4" i="28"/>
  <c r="DX4" i="28"/>
  <c r="DP4" i="28"/>
  <c r="DH4" i="28"/>
  <c r="CZ4" i="28"/>
  <c r="CR4" i="28"/>
  <c r="CJ4" i="28"/>
  <c r="CB4" i="28"/>
  <c r="BT4" i="28"/>
  <c r="BL4" i="28"/>
  <c r="BD4" i="28"/>
  <c r="AV4" i="28"/>
  <c r="AN4" i="28"/>
  <c r="AF4" i="28"/>
  <c r="X4" i="28"/>
  <c r="P4" i="28"/>
  <c r="H4" i="28"/>
  <c r="EX5" i="27"/>
  <c r="EP5" i="27"/>
  <c r="EH5" i="27"/>
  <c r="DZ5" i="27"/>
  <c r="DR5" i="27"/>
  <c r="DJ5" i="27"/>
  <c r="DB5" i="27"/>
  <c r="CT5" i="27"/>
  <c r="CL5" i="27"/>
  <c r="CD5" i="27"/>
  <c r="BV5" i="27"/>
  <c r="BN5" i="27"/>
  <c r="BF5" i="27"/>
  <c r="AX5" i="27"/>
  <c r="AP5" i="27"/>
  <c r="AH5" i="27"/>
  <c r="Z5" i="27"/>
  <c r="R5" i="27"/>
  <c r="J5" i="27"/>
  <c r="B5" i="27"/>
  <c r="ER4" i="27"/>
  <c r="EJ4" i="27"/>
  <c r="EB4" i="27"/>
  <c r="DT4" i="27"/>
  <c r="DL4" i="27"/>
  <c r="DD4" i="27"/>
  <c r="CV4" i="27"/>
  <c r="CN4" i="27"/>
  <c r="CF4" i="27"/>
  <c r="BX4" i="27"/>
  <c r="BP4" i="27"/>
  <c r="BH4" i="27"/>
  <c r="AZ4" i="27"/>
  <c r="AR4" i="27"/>
  <c r="AJ4" i="27"/>
  <c r="AB4" i="27"/>
  <c r="T4" i="27"/>
  <c r="L4" i="27"/>
  <c r="D4" i="27"/>
  <c r="ET5" i="26"/>
  <c r="EL5" i="26"/>
  <c r="ED5" i="26"/>
  <c r="DV5" i="26"/>
  <c r="DN5" i="26"/>
  <c r="DF5" i="26"/>
  <c r="CX5" i="26"/>
  <c r="CP5" i="26"/>
  <c r="CH5" i="26"/>
  <c r="CU5" i="30"/>
  <c r="AY5" i="30"/>
  <c r="S5" i="30"/>
  <c r="ES4" i="30"/>
  <c r="EF4" i="30"/>
  <c r="DR4" i="30"/>
  <c r="DG4" i="30"/>
  <c r="CS4" i="30"/>
  <c r="CG4" i="30"/>
  <c r="BT4" i="30"/>
  <c r="BF4" i="30"/>
  <c r="AU4" i="30"/>
  <c r="AG4" i="30"/>
  <c r="U4" i="30"/>
  <c r="H4" i="30"/>
  <c r="ER5" i="29"/>
  <c r="EG5" i="29"/>
  <c r="DS5" i="29"/>
  <c r="DG5" i="29"/>
  <c r="CT5" i="29"/>
  <c r="CF5" i="29"/>
  <c r="BV5" i="29"/>
  <c r="BL5" i="29"/>
  <c r="AZ5" i="29"/>
  <c r="AP5" i="29"/>
  <c r="AF5" i="29"/>
  <c r="T5" i="29"/>
  <c r="J5" i="29"/>
  <c r="EX4" i="29"/>
  <c r="EL4" i="29"/>
  <c r="EB4" i="29"/>
  <c r="DR4" i="29"/>
  <c r="DF4" i="29"/>
  <c r="CV4" i="29"/>
  <c r="CL4" i="29"/>
  <c r="BZ4" i="29"/>
  <c r="BP4" i="29"/>
  <c r="BF4" i="29"/>
  <c r="AT4" i="29"/>
  <c r="AJ4" i="29"/>
  <c r="Z4" i="29"/>
  <c r="N4" i="29"/>
  <c r="D4" i="29"/>
  <c r="ER5" i="28"/>
  <c r="EF5" i="28"/>
  <c r="DV5" i="28"/>
  <c r="DL5" i="28"/>
  <c r="CZ5" i="28"/>
  <c r="CP5" i="28"/>
  <c r="CG5" i="28"/>
  <c r="BY5" i="28"/>
  <c r="BQ5" i="28"/>
  <c r="BI5" i="28"/>
  <c r="BA5" i="28"/>
  <c r="AS5" i="28"/>
  <c r="AK5" i="28"/>
  <c r="AC5" i="28"/>
  <c r="U5" i="28"/>
  <c r="M5" i="28"/>
  <c r="E5" i="28"/>
  <c r="EU4" i="28"/>
  <c r="EM4" i="28"/>
  <c r="EE4" i="28"/>
  <c r="DW4" i="28"/>
  <c r="DO4" i="28"/>
  <c r="DG4" i="28"/>
  <c r="CY4" i="28"/>
  <c r="CQ4" i="28"/>
  <c r="CI4" i="28"/>
  <c r="CA4" i="28"/>
  <c r="BS4" i="28"/>
  <c r="BK4" i="28"/>
  <c r="BC4" i="28"/>
  <c r="AU4" i="28"/>
  <c r="AM4" i="28"/>
  <c r="AE4" i="28"/>
  <c r="W4" i="28"/>
  <c r="O4" i="28"/>
  <c r="G4" i="28"/>
  <c r="EW5" i="27"/>
  <c r="EO5" i="27"/>
  <c r="EG5" i="27"/>
  <c r="DY5" i="27"/>
  <c r="DQ5" i="27"/>
  <c r="DI5" i="27"/>
  <c r="DA5" i="27"/>
  <c r="CS5" i="27"/>
  <c r="CK5" i="27"/>
  <c r="CC5" i="27"/>
  <c r="BU5" i="27"/>
  <c r="BM5" i="27"/>
  <c r="BE5" i="27"/>
  <c r="AW5" i="27"/>
  <c r="AO5" i="27"/>
  <c r="AG5" i="27"/>
  <c r="Y5" i="27"/>
  <c r="Q5" i="27"/>
  <c r="I5" i="27"/>
  <c r="A5" i="27"/>
  <c r="EQ4" i="27"/>
  <c r="EI4" i="27"/>
  <c r="EA4" i="27"/>
  <c r="DS4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ES5" i="26"/>
  <c r="EK5" i="26"/>
  <c r="EC5" i="26"/>
  <c r="DU5" i="26"/>
  <c r="DM5" i="26"/>
  <c r="DE5" i="26"/>
  <c r="CW5" i="26"/>
  <c r="CO5" i="26"/>
  <c r="CG5" i="26"/>
  <c r="BY5" i="26"/>
  <c r="CM5" i="30"/>
  <c r="AV5" i="30"/>
  <c r="P5" i="30"/>
  <c r="EP4" i="30"/>
  <c r="EE4" i="30"/>
  <c r="DQ4" i="30"/>
  <c r="DE4" i="30"/>
  <c r="CR4" i="30"/>
  <c r="CD4" i="30"/>
  <c r="BS4" i="30"/>
  <c r="BE4" i="30"/>
  <c r="AS4" i="30"/>
  <c r="AF4" i="30"/>
  <c r="R4" i="30"/>
  <c r="G4" i="30"/>
  <c r="EQ5" i="29"/>
  <c r="EE5" i="29"/>
  <c r="DR5" i="29"/>
  <c r="DD5" i="29"/>
  <c r="CS5" i="29"/>
  <c r="CE5" i="29"/>
  <c r="BU5" i="29"/>
  <c r="BK5" i="29"/>
  <c r="AY5" i="29"/>
  <c r="AO5" i="29"/>
  <c r="AE5" i="29"/>
  <c r="S5" i="29"/>
  <c r="I5" i="29"/>
  <c r="EW4" i="29"/>
  <c r="EK4" i="29"/>
  <c r="EA4" i="29"/>
  <c r="DQ4" i="29"/>
  <c r="DE4" i="29"/>
  <c r="CU4" i="29"/>
  <c r="CK4" i="29"/>
  <c r="BY4" i="29"/>
  <c r="BO4" i="29"/>
  <c r="BE4" i="29"/>
  <c r="AS4" i="29"/>
  <c r="AI4" i="29"/>
  <c r="Y4" i="29"/>
  <c r="M4" i="29"/>
  <c r="C4" i="29"/>
  <c r="EQ5" i="28"/>
  <c r="EE5" i="28"/>
  <c r="DU5" i="28"/>
  <c r="DK5" i="28"/>
  <c r="CY5" i="28"/>
  <c r="CO5" i="28"/>
  <c r="CF5" i="28"/>
  <c r="BX5" i="28"/>
  <c r="BP5" i="28"/>
  <c r="BH5" i="28"/>
  <c r="AZ5" i="28"/>
  <c r="AR5" i="28"/>
  <c r="AJ5" i="28"/>
  <c r="AB5" i="28"/>
  <c r="T5" i="28"/>
  <c r="L5" i="28"/>
  <c r="D5" i="28"/>
  <c r="ET4" i="28"/>
  <c r="EL4" i="28"/>
  <c r="ED4" i="28"/>
  <c r="DV4" i="28"/>
  <c r="DN4" i="28"/>
  <c r="DF4" i="28"/>
  <c r="CX4" i="28"/>
  <c r="CP4" i="28"/>
  <c r="CH4" i="28"/>
  <c r="BZ4" i="28"/>
  <c r="BR4" i="28"/>
  <c r="BJ4" i="28"/>
  <c r="BB4" i="28"/>
  <c r="AT4" i="28"/>
  <c r="AL4" i="28"/>
  <c r="AD4" i="28"/>
  <c r="V4" i="28"/>
  <c r="N4" i="28"/>
  <c r="F4" i="28"/>
  <c r="EV5" i="27"/>
  <c r="EN5" i="27"/>
  <c r="EF5" i="27"/>
  <c r="DX5" i="27"/>
  <c r="DP5" i="27"/>
  <c r="DH5" i="27"/>
  <c r="CZ5" i="27"/>
  <c r="CR5" i="27"/>
  <c r="CJ5" i="27"/>
  <c r="CB5" i="27"/>
  <c r="BT5" i="27"/>
  <c r="BL5" i="27"/>
  <c r="BD5" i="27"/>
  <c r="AV5" i="27"/>
  <c r="AN5" i="27"/>
  <c r="AF5" i="27"/>
  <c r="X5" i="27"/>
  <c r="P5" i="27"/>
  <c r="H5" i="27"/>
  <c r="EX4" i="27"/>
  <c r="EP4" i="27"/>
  <c r="EH4" i="27"/>
  <c r="DZ4" i="27"/>
  <c r="DR4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ER5" i="26"/>
  <c r="EJ5" i="26"/>
  <c r="EB5" i="26"/>
  <c r="DT5" i="26"/>
  <c r="DL5" i="26"/>
  <c r="DD5" i="26"/>
  <c r="CV5" i="26"/>
  <c r="CN5" i="26"/>
  <c r="CF5" i="26"/>
  <c r="EQ5" i="26"/>
  <c r="CY5" i="26"/>
  <c r="CB5" i="26"/>
  <c r="BS5" i="26"/>
  <c r="BK5" i="26"/>
  <c r="BC5" i="26"/>
  <c r="AU5" i="26"/>
  <c r="AM5" i="26"/>
  <c r="AE5" i="26"/>
  <c r="W5" i="26"/>
  <c r="O5" i="26"/>
  <c r="G5" i="26"/>
  <c r="EW4" i="26"/>
  <c r="EO4" i="26"/>
  <c r="EG4" i="26"/>
  <c r="DY4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EQ5" i="25"/>
  <c r="EI5" i="25"/>
  <c r="EA5" i="25"/>
  <c r="DS5" i="25"/>
  <c r="DK5" i="25"/>
  <c r="DC5" i="25"/>
  <c r="CU5" i="25"/>
  <c r="CM5" i="25"/>
  <c r="CE5" i="25"/>
  <c r="BW5" i="25"/>
  <c r="BO5" i="25"/>
  <c r="BG5" i="25"/>
  <c r="AY5" i="25"/>
  <c r="AQ5" i="25"/>
  <c r="AI5" i="25"/>
  <c r="AA5" i="25"/>
  <c r="S5" i="25"/>
  <c r="K5" i="25"/>
  <c r="C5" i="25"/>
  <c r="ES4" i="25"/>
  <c r="EK4" i="25"/>
  <c r="EC4" i="25"/>
  <c r="DU4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EU5" i="24"/>
  <c r="EM5" i="24"/>
  <c r="EE5" i="24"/>
  <c r="DW5" i="24"/>
  <c r="DO5" i="24"/>
  <c r="DG5" i="24"/>
  <c r="CY5" i="24"/>
  <c r="CQ5" i="24"/>
  <c r="CI5" i="24"/>
  <c r="CA5" i="24"/>
  <c r="BS5" i="24"/>
  <c r="BK5" i="24"/>
  <c r="BC5" i="24"/>
  <c r="AU5" i="24"/>
  <c r="AM5" i="24"/>
  <c r="AE5" i="24"/>
  <c r="W5" i="24"/>
  <c r="O5" i="24"/>
  <c r="G5" i="24"/>
  <c r="EW4" i="24"/>
  <c r="EO4" i="24"/>
  <c r="EG4" i="24"/>
  <c r="DY4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EI5" i="26"/>
  <c r="CU5" i="26"/>
  <c r="CA5" i="26"/>
  <c r="BR5" i="26"/>
  <c r="BJ5" i="26"/>
  <c r="BB5" i="26"/>
  <c r="AT5" i="26"/>
  <c r="AL5" i="26"/>
  <c r="AD5" i="26"/>
  <c r="V5" i="26"/>
  <c r="N5" i="26"/>
  <c r="F5" i="26"/>
  <c r="EV4" i="26"/>
  <c r="EN4" i="26"/>
  <c r="EF4" i="26"/>
  <c r="DX4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EX5" i="25"/>
  <c r="EP5" i="25"/>
  <c r="EH5" i="25"/>
  <c r="DZ5" i="25"/>
  <c r="DR5" i="25"/>
  <c r="DJ5" i="25"/>
  <c r="DB5" i="25"/>
  <c r="CT5" i="25"/>
  <c r="CL5" i="25"/>
  <c r="CD5" i="25"/>
  <c r="BV5" i="25"/>
  <c r="BN5" i="25"/>
  <c r="BF5" i="25"/>
  <c r="AX5" i="25"/>
  <c r="AP5" i="25"/>
  <c r="AH5" i="25"/>
  <c r="Z5" i="25"/>
  <c r="R5" i="25"/>
  <c r="J5" i="25"/>
  <c r="B5" i="25"/>
  <c r="ER4" i="25"/>
  <c r="EJ4" i="25"/>
  <c r="EB4" i="25"/>
  <c r="DT4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ET5" i="24"/>
  <c r="EL5" i="24"/>
  <c r="ED5" i="24"/>
  <c r="DV5" i="24"/>
  <c r="DN5" i="24"/>
  <c r="DF5" i="24"/>
  <c r="CX5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EV4" i="24"/>
  <c r="EN4" i="24"/>
  <c r="EF4" i="24"/>
  <c r="DX4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EA5" i="26"/>
  <c r="CQ5" i="26"/>
  <c r="BZ5" i="26"/>
  <c r="BQ5" i="26"/>
  <c r="BI5" i="26"/>
  <c r="BA5" i="26"/>
  <c r="AS5" i="26"/>
  <c r="AK5" i="26"/>
  <c r="AC5" i="26"/>
  <c r="U5" i="26"/>
  <c r="M5" i="26"/>
  <c r="E5" i="26"/>
  <c r="EU4" i="26"/>
  <c r="EM4" i="26"/>
  <c r="EE4" i="26"/>
  <c r="DW4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EW5" i="25"/>
  <c r="EO5" i="25"/>
  <c r="EG5" i="25"/>
  <c r="DY5" i="25"/>
  <c r="DQ5" i="25"/>
  <c r="DI5" i="25"/>
  <c r="DA5" i="25"/>
  <c r="CS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EQ4" i="25"/>
  <c r="EI4" i="25"/>
  <c r="EA4" i="25"/>
  <c r="DS4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EU4" i="24"/>
  <c r="EM4" i="24"/>
  <c r="EE4" i="24"/>
  <c r="DW4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EW5" i="23"/>
  <c r="EO5" i="23"/>
  <c r="EG5" i="23"/>
  <c r="DY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I5" i="23"/>
  <c r="DS5" i="26"/>
  <c r="CM5" i="26"/>
  <c r="BX5" i="26"/>
  <c r="BP5" i="26"/>
  <c r="BH5" i="26"/>
  <c r="AZ5" i="26"/>
  <c r="AR5" i="26"/>
  <c r="AJ5" i="26"/>
  <c r="AB5" i="26"/>
  <c r="T5" i="26"/>
  <c r="L5" i="26"/>
  <c r="D5" i="26"/>
  <c r="ET4" i="26"/>
  <c r="EL4" i="26"/>
  <c r="ED4" i="26"/>
  <c r="DV4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EV5" i="25"/>
  <c r="EN5" i="25"/>
  <c r="EF5" i="25"/>
  <c r="DX5" i="25"/>
  <c r="DP5" i="25"/>
  <c r="DH5" i="25"/>
  <c r="CZ5" i="25"/>
  <c r="CR5" i="25"/>
  <c r="CJ5" i="25"/>
  <c r="CB5" i="25"/>
  <c r="BT5" i="25"/>
  <c r="BL5" i="25"/>
  <c r="BD5" i="25"/>
  <c r="AV5" i="25"/>
  <c r="AN5" i="25"/>
  <c r="AF5" i="25"/>
  <c r="X5" i="25"/>
  <c r="P5" i="25"/>
  <c r="H5" i="25"/>
  <c r="EX4" i="25"/>
  <c r="EP4" i="25"/>
  <c r="EH4" i="25"/>
  <c r="DZ4" i="25"/>
  <c r="DR4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AR5" i="24"/>
  <c r="AJ5" i="24"/>
  <c r="AB5" i="24"/>
  <c r="T5" i="24"/>
  <c r="L5" i="24"/>
  <c r="D5" i="24"/>
  <c r="ET4" i="24"/>
  <c r="EL4" i="24"/>
  <c r="ED4" i="24"/>
  <c r="DV4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EV5" i="23"/>
  <c r="EN5" i="23"/>
  <c r="EF5" i="23"/>
  <c r="DX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DO5" i="26"/>
  <c r="CI5" i="26"/>
  <c r="BW5" i="26"/>
  <c r="BO5" i="26"/>
  <c r="BG5" i="26"/>
  <c r="AY5" i="26"/>
  <c r="AQ5" i="26"/>
  <c r="AI5" i="26"/>
  <c r="AA5" i="26"/>
  <c r="S5" i="26"/>
  <c r="K5" i="26"/>
  <c r="C5" i="26"/>
  <c r="ES4" i="26"/>
  <c r="EK4" i="26"/>
  <c r="EC4" i="26"/>
  <c r="DU4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EU5" i="25"/>
  <c r="EM5" i="25"/>
  <c r="EE5" i="25"/>
  <c r="DW5" i="25"/>
  <c r="DO5" i="25"/>
  <c r="DG5" i="25"/>
  <c r="CY5" i="25"/>
  <c r="CQ5" i="25"/>
  <c r="CI5" i="25"/>
  <c r="CA5" i="25"/>
  <c r="BS5" i="25"/>
  <c r="BK5" i="25"/>
  <c r="BC5" i="25"/>
  <c r="AU5" i="25"/>
  <c r="AM5" i="25"/>
  <c r="AE5" i="25"/>
  <c r="W5" i="25"/>
  <c r="O5" i="25"/>
  <c r="G5" i="25"/>
  <c r="EW4" i="25"/>
  <c r="EO4" i="25"/>
  <c r="EG4" i="25"/>
  <c r="DY4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EQ5" i="24"/>
  <c r="EI5" i="24"/>
  <c r="EA5" i="24"/>
  <c r="DS5" i="24"/>
  <c r="DK5" i="24"/>
  <c r="DC5" i="24"/>
  <c r="CU5" i="24"/>
  <c r="CM5" i="24"/>
  <c r="CE5" i="24"/>
  <c r="BW5" i="24"/>
  <c r="BO5" i="24"/>
  <c r="BG5" i="24"/>
  <c r="AY5" i="24"/>
  <c r="AQ5" i="24"/>
  <c r="AI5" i="24"/>
  <c r="AA5" i="24"/>
  <c r="S5" i="24"/>
  <c r="K5" i="24"/>
  <c r="C5" i="24"/>
  <c r="ES4" i="24"/>
  <c r="EK4" i="24"/>
  <c r="EC4" i="24"/>
  <c r="DU4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E4" i="24"/>
  <c r="EU5" i="23"/>
  <c r="EM5" i="23"/>
  <c r="EE5" i="23"/>
  <c r="DW5" i="23"/>
  <c r="DO5" i="23"/>
  <c r="DG5" i="23"/>
  <c r="CY5" i="23"/>
  <c r="CQ5" i="23"/>
  <c r="CI5" i="23"/>
  <c r="CA5" i="23"/>
  <c r="BS5" i="23"/>
  <c r="BK5" i="23"/>
  <c r="BC5" i="23"/>
  <c r="AU5" i="23"/>
  <c r="AM5" i="23"/>
  <c r="AE5" i="23"/>
  <c r="W5" i="23"/>
  <c r="O5" i="23"/>
  <c r="G5" i="23"/>
  <c r="DK5" i="26"/>
  <c r="CE5" i="26"/>
  <c r="BV5" i="26"/>
  <c r="BN5" i="26"/>
  <c r="BF5" i="26"/>
  <c r="AX5" i="26"/>
  <c r="AP5" i="26"/>
  <c r="AH5" i="26"/>
  <c r="Z5" i="26"/>
  <c r="R5" i="26"/>
  <c r="J5" i="26"/>
  <c r="B5" i="26"/>
  <c r="ER4" i="26"/>
  <c r="EJ4" i="26"/>
  <c r="EB4" i="26"/>
  <c r="DT4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ET5" i="25"/>
  <c r="EL5" i="25"/>
  <c r="ED5" i="25"/>
  <c r="DV5" i="25"/>
  <c r="DN5" i="25"/>
  <c r="DF5" i="25"/>
  <c r="CX5" i="25"/>
  <c r="CP5" i="25"/>
  <c r="CH5" i="25"/>
  <c r="BZ5" i="25"/>
  <c r="BR5" i="25"/>
  <c r="BJ5" i="25"/>
  <c r="BB5" i="25"/>
  <c r="AT5" i="25"/>
  <c r="AL5" i="25"/>
  <c r="AD5" i="25"/>
  <c r="V5" i="25"/>
  <c r="N5" i="25"/>
  <c r="F5" i="25"/>
  <c r="EV4" i="25"/>
  <c r="EN4" i="25"/>
  <c r="EF4" i="25"/>
  <c r="DX4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EX5" i="24"/>
  <c r="EP5" i="24"/>
  <c r="EH5" i="24"/>
  <c r="DZ5" i="24"/>
  <c r="DR5" i="24"/>
  <c r="DJ5" i="24"/>
  <c r="DB5" i="24"/>
  <c r="CT5" i="24"/>
  <c r="CL5" i="24"/>
  <c r="CD5" i="24"/>
  <c r="BV5" i="24"/>
  <c r="BN5" i="24"/>
  <c r="BF5" i="24"/>
  <c r="AX5" i="24"/>
  <c r="AP5" i="24"/>
  <c r="AH5" i="24"/>
  <c r="Z5" i="24"/>
  <c r="R5" i="24"/>
  <c r="J5" i="24"/>
  <c r="B5" i="24"/>
  <c r="ER4" i="24"/>
  <c r="EJ4" i="24"/>
  <c r="EB4" i="24"/>
  <c r="DT4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ET5" i="23"/>
  <c r="EL5" i="23"/>
  <c r="ED5" i="23"/>
  <c r="DV5" i="23"/>
  <c r="DN5" i="23"/>
  <c r="DF5" i="23"/>
  <c r="CX5" i="23"/>
  <c r="CP5" i="23"/>
  <c r="CH5" i="23"/>
  <c r="BZ5" i="23"/>
  <c r="BR5" i="23"/>
  <c r="BJ5" i="23"/>
  <c r="BB5" i="23"/>
  <c r="AT5" i="23"/>
  <c r="AL5" i="23"/>
  <c r="AD5" i="23"/>
  <c r="V5" i="23"/>
  <c r="N5" i="23"/>
  <c r="F5" i="23"/>
  <c r="DG5" i="26"/>
  <c r="CD5" i="26"/>
  <c r="BU5" i="26"/>
  <c r="BM5" i="26"/>
  <c r="BE5" i="26"/>
  <c r="AW5" i="26"/>
  <c r="AO5" i="26"/>
  <c r="AG5" i="26"/>
  <c r="Y5" i="26"/>
  <c r="Q5" i="26"/>
  <c r="I5" i="26"/>
  <c r="A5" i="26"/>
  <c r="EQ4" i="26"/>
  <c r="EI4" i="26"/>
  <c r="EA4" i="26"/>
  <c r="DS4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ES5" i="25"/>
  <c r="EK5" i="25"/>
  <c r="EC5" i="25"/>
  <c r="DU5" i="25"/>
  <c r="DM5" i="25"/>
  <c r="DE5" i="25"/>
  <c r="CW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EU4" i="25"/>
  <c r="EM4" i="25"/>
  <c r="EE4" i="25"/>
  <c r="DW4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EQ4" i="24"/>
  <c r="EI4" i="24"/>
  <c r="EA4" i="24"/>
  <c r="DS4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S4" i="24"/>
  <c r="K4" i="24"/>
  <c r="C4" i="24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DC5" i="26"/>
  <c r="CC5" i="26"/>
  <c r="BT5" i="26"/>
  <c r="BL5" i="26"/>
  <c r="BD5" i="26"/>
  <c r="AV5" i="26"/>
  <c r="AN5" i="26"/>
  <c r="AF5" i="26"/>
  <c r="X5" i="26"/>
  <c r="P5" i="26"/>
  <c r="H5" i="26"/>
  <c r="EX4" i="26"/>
  <c r="EP4" i="26"/>
  <c r="EH4" i="26"/>
  <c r="DZ4" i="26"/>
  <c r="DR4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ER5" i="25"/>
  <c r="EJ5" i="25"/>
  <c r="EB5" i="25"/>
  <c r="DT5" i="25"/>
  <c r="DL5" i="25"/>
  <c r="DD5" i="25"/>
  <c r="CV5" i="25"/>
  <c r="CN5" i="25"/>
  <c r="CF5" i="25"/>
  <c r="BX5" i="25"/>
  <c r="BP5" i="25"/>
  <c r="BH5" i="25"/>
  <c r="AZ5" i="25"/>
  <c r="AR5" i="25"/>
  <c r="AJ5" i="25"/>
  <c r="AB5" i="25"/>
  <c r="T5" i="25"/>
  <c r="L5" i="25"/>
  <c r="D5" i="25"/>
  <c r="ET4" i="25"/>
  <c r="EL4" i="25"/>
  <c r="ED4" i="25"/>
  <c r="DV4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EV5" i="24"/>
  <c r="EN5" i="24"/>
  <c r="EF5" i="24"/>
  <c r="DX5" i="24"/>
  <c r="DP5" i="24"/>
  <c r="DH5" i="24"/>
  <c r="CZ5" i="24"/>
  <c r="CR5" i="24"/>
  <c r="CJ5" i="24"/>
  <c r="CB5" i="24"/>
  <c r="BT5" i="24"/>
  <c r="BL5" i="24"/>
  <c r="BD5" i="24"/>
  <c r="AV5" i="24"/>
  <c r="AN5" i="24"/>
  <c r="AF5" i="24"/>
  <c r="X5" i="24"/>
  <c r="P5" i="24"/>
  <c r="H5" i="24"/>
  <c r="EX4" i="24"/>
  <c r="EP4" i="24"/>
  <c r="EH4" i="24"/>
  <c r="DZ4" i="24"/>
  <c r="DR4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K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ES4" i="22"/>
  <c r="EK4" i="22"/>
  <c r="EC4" i="22"/>
  <c r="DU4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S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BQ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BP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BO4" i="20"/>
  <c r="BE4" i="20"/>
  <c r="AW4" i="20"/>
  <c r="AO4" i="20"/>
  <c r="AG4" i="20"/>
  <c r="Y4" i="20"/>
  <c r="Q4" i="20"/>
  <c r="I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BM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BI4" i="20"/>
  <c r="BA4" i="20"/>
  <c r="AS4" i="20"/>
  <c r="AK4" i="20"/>
  <c r="AC4" i="20"/>
  <c r="U4" i="20"/>
  <c r="M4" i="20"/>
  <c r="E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EI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EA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DZ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DY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DX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DV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DU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T4" i="16"/>
  <c r="DF5" i="15"/>
  <c r="AT5" i="15"/>
  <c r="EF4" i="15"/>
  <c r="BT4" i="15"/>
  <c r="H4" i="15"/>
  <c r="CT5" i="14"/>
  <c r="AH5" i="14"/>
  <c r="DT4" i="14"/>
  <c r="BH4" i="14"/>
  <c r="ET5" i="13"/>
  <c r="CH5" i="13"/>
  <c r="AK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L4" i="16"/>
  <c r="CX5" i="15"/>
  <c r="AL5" i="15"/>
  <c r="DX4" i="15"/>
  <c r="BL4" i="15"/>
  <c r="EX5" i="14"/>
  <c r="CL5" i="14"/>
  <c r="Z5" i="14"/>
  <c r="DL4" i="14"/>
  <c r="AZ4" i="14"/>
  <c r="EL5" i="13"/>
  <c r="BZ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D4" i="16"/>
  <c r="CP5" i="15"/>
  <c r="AD5" i="15"/>
  <c r="DP4" i="15"/>
  <c r="BD4" i="15"/>
  <c r="EP5" i="14"/>
  <c r="CD5" i="14"/>
  <c r="R5" i="14"/>
  <c r="DD4" i="14"/>
  <c r="AR4" i="14"/>
  <c r="ED5" i="13"/>
  <c r="BR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ET5" i="15"/>
  <c r="CH5" i="15"/>
  <c r="V5" i="15"/>
  <c r="DH4" i="15"/>
  <c r="AV4" i="15"/>
  <c r="EH5" i="14"/>
  <c r="BV5" i="14"/>
  <c r="J5" i="14"/>
  <c r="CV4" i="14"/>
  <c r="AJ4" i="14"/>
  <c r="DV5" i="13"/>
  <c r="BJ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EL5" i="15"/>
  <c r="BZ5" i="15"/>
  <c r="N5" i="15"/>
  <c r="CZ4" i="15"/>
  <c r="AN4" i="15"/>
  <c r="DZ5" i="14"/>
  <c r="BN5" i="14"/>
  <c r="B5" i="14"/>
  <c r="CN4" i="14"/>
  <c r="AB4" i="14"/>
  <c r="DN5" i="13"/>
  <c r="BB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ED5" i="15"/>
  <c r="BR5" i="15"/>
  <c r="F5" i="15"/>
  <c r="CR4" i="15"/>
  <c r="AF4" i="15"/>
  <c r="DR5" i="14"/>
  <c r="BF5" i="14"/>
  <c r="ER4" i="14"/>
  <c r="CF4" i="14"/>
  <c r="T4" i="14"/>
  <c r="DF5" i="13"/>
  <c r="AT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DV5" i="15"/>
  <c r="BJ5" i="15"/>
  <c r="EV4" i="15"/>
  <c r="CJ4" i="15"/>
  <c r="X4" i="15"/>
  <c r="DJ5" i="14"/>
  <c r="AX5" i="14"/>
  <c r="EJ4" i="14"/>
  <c r="BX4" i="14"/>
  <c r="L4" i="14"/>
  <c r="CX5" i="13"/>
  <c r="AP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DN5" i="15"/>
  <c r="BB5" i="15"/>
  <c r="EN4" i="15"/>
  <c r="CB4" i="15"/>
  <c r="P4" i="15"/>
  <c r="DB5" i="14"/>
  <c r="AP5" i="14"/>
  <c r="EB4" i="14"/>
  <c r="BP4" i="14"/>
  <c r="D4" i="14"/>
  <c r="CP5" i="13"/>
  <c r="AL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Q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EH5" i="7"/>
  <c r="BV5" i="7"/>
  <c r="J5" i="7"/>
  <c r="CX4" i="7"/>
  <c r="CN4" i="7"/>
  <c r="CF4" i="7"/>
  <c r="BX4" i="7"/>
  <c r="BP4" i="7"/>
  <c r="BH4" i="7"/>
  <c r="AZ4" i="7"/>
  <c r="AR4" i="7"/>
  <c r="AJ4" i="7"/>
  <c r="AB4" i="7"/>
  <c r="T4" i="7"/>
  <c r="L4" i="7"/>
  <c r="D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DZ5" i="7"/>
  <c r="BN5" i="7"/>
  <c r="B5" i="7"/>
  <c r="CW4" i="7"/>
  <c r="CM4" i="7"/>
  <c r="CE4" i="7"/>
  <c r="BW4" i="7"/>
  <c r="BO4" i="7"/>
  <c r="BG4" i="7"/>
  <c r="AY4" i="7"/>
  <c r="AQ4" i="7"/>
  <c r="AI4" i="7"/>
  <c r="AA4" i="7"/>
  <c r="S4" i="7"/>
  <c r="K4" i="7"/>
  <c r="C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DR5" i="7"/>
  <c r="BF5" i="7"/>
  <c r="ER4" i="7"/>
  <c r="CV4" i="7"/>
  <c r="CL4" i="7"/>
  <c r="CD4" i="7"/>
  <c r="BV4" i="7"/>
  <c r="BN4" i="7"/>
  <c r="BF4" i="7"/>
  <c r="AX4" i="7"/>
  <c r="AP4" i="7"/>
  <c r="AH4" i="7"/>
  <c r="Z4" i="7"/>
  <c r="R4" i="7"/>
  <c r="J4" i="7"/>
  <c r="B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J5" i="7"/>
  <c r="AX5" i="7"/>
  <c r="EJ4" i="7"/>
  <c r="CU4" i="7"/>
  <c r="CK4" i="7"/>
  <c r="CC4" i="7"/>
  <c r="BU4" i="7"/>
  <c r="BM4" i="7"/>
  <c r="BE4" i="7"/>
  <c r="AW4" i="7"/>
  <c r="AO4" i="7"/>
  <c r="AG4" i="7"/>
  <c r="Y4" i="7"/>
  <c r="Q4" i="7"/>
  <c r="I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DB5" i="7"/>
  <c r="AP5" i="7"/>
  <c r="EB4" i="7"/>
  <c r="CS4" i="7"/>
  <c r="CJ4" i="7"/>
  <c r="CB4" i="7"/>
  <c r="BT4" i="7"/>
  <c r="BL4" i="7"/>
  <c r="BD4" i="7"/>
  <c r="AV4" i="7"/>
  <c r="AN4" i="7"/>
  <c r="AF4" i="7"/>
  <c r="X4" i="7"/>
  <c r="P4" i="7"/>
  <c r="H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CT5" i="7"/>
  <c r="AH5" i="7"/>
  <c r="DT4" i="7"/>
  <c r="CQ4" i="7"/>
  <c r="CI4" i="7"/>
  <c r="CA4" i="7"/>
  <c r="BS4" i="7"/>
  <c r="BK4" i="7"/>
  <c r="BC4" i="7"/>
  <c r="AU4" i="7"/>
  <c r="AM4" i="7"/>
  <c r="AE4" i="7"/>
  <c r="W4" i="7"/>
  <c r="O4" i="7"/>
  <c r="G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CL5" i="7"/>
  <c r="Z5" i="7"/>
  <c r="DL4" i="7"/>
  <c r="CP4" i="7"/>
  <c r="CH4" i="7"/>
  <c r="BZ4" i="7"/>
  <c r="BR4" i="7"/>
  <c r="BJ4" i="7"/>
  <c r="BB4" i="7"/>
  <c r="AT4" i="7"/>
  <c r="AL4" i="7"/>
  <c r="AD4" i="7"/>
  <c r="V4" i="7"/>
  <c r="N4" i="7"/>
  <c r="F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CD5" i="7"/>
  <c r="R5" i="7"/>
  <c r="DD4" i="7"/>
  <c r="CO4" i="7"/>
  <c r="CG4" i="7"/>
  <c r="BY4" i="7"/>
  <c r="BQ4" i="7"/>
  <c r="BI4" i="7"/>
  <c r="BA4" i="7"/>
  <c r="AS4" i="7"/>
  <c r="AK4" i="7"/>
  <c r="AC4" i="7"/>
  <c r="U4" i="7"/>
  <c r="M4" i="7"/>
  <c r="E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A940" i="3"/>
  <c r="E937" i="3"/>
  <c r="I934" i="3"/>
  <c r="A932" i="3"/>
  <c r="E929" i="3"/>
  <c r="I926" i="3"/>
  <c r="A924" i="3"/>
  <c r="E921" i="3"/>
  <c r="A919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F939" i="3"/>
  <c r="J936" i="3"/>
  <c r="B934" i="3"/>
  <c r="F931" i="3"/>
  <c r="J928" i="3"/>
  <c r="B926" i="3"/>
  <c r="F923" i="3"/>
  <c r="J920" i="3"/>
  <c r="J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J942" i="3"/>
  <c r="E939" i="3"/>
  <c r="I936" i="3"/>
  <c r="A934" i="3"/>
  <c r="E931" i="3"/>
  <c r="I928" i="3"/>
  <c r="A926" i="3"/>
  <c r="E923" i="3"/>
  <c r="I920" i="3"/>
  <c r="I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B942" i="3"/>
  <c r="J938" i="3"/>
  <c r="B936" i="3"/>
  <c r="F933" i="3"/>
  <c r="J930" i="3"/>
  <c r="B928" i="3"/>
  <c r="F925" i="3"/>
  <c r="J922" i="3"/>
  <c r="B920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941" i="3"/>
  <c r="I938" i="3"/>
  <c r="A936" i="3"/>
  <c r="E933" i="3"/>
  <c r="I930" i="3"/>
  <c r="A928" i="3"/>
  <c r="E925" i="3"/>
  <c r="I922" i="3"/>
  <c r="A920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J940" i="3"/>
  <c r="B938" i="3"/>
  <c r="F935" i="3"/>
  <c r="J932" i="3"/>
  <c r="B930" i="3"/>
  <c r="F927" i="3"/>
  <c r="J924" i="3"/>
  <c r="B922" i="3"/>
  <c r="F919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I940" i="3"/>
  <c r="A938" i="3"/>
  <c r="E935" i="3"/>
  <c r="I932" i="3"/>
  <c r="A930" i="3"/>
  <c r="E927" i="3"/>
  <c r="I924" i="3"/>
  <c r="A922" i="3"/>
  <c r="E919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B940" i="3"/>
  <c r="F937" i="3"/>
  <c r="J934" i="3"/>
  <c r="B932" i="3"/>
  <c r="F929" i="3"/>
  <c r="J926" i="3"/>
  <c r="B924" i="3"/>
  <c r="F921" i="3"/>
  <c r="B919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D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C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J615" i="3"/>
  <c r="F610" i="3"/>
  <c r="B605" i="3"/>
  <c r="J599" i="3"/>
  <c r="F594" i="3"/>
  <c r="B589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B615" i="3"/>
  <c r="J609" i="3"/>
  <c r="F604" i="3"/>
  <c r="B599" i="3"/>
  <c r="J593" i="3"/>
  <c r="F588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F614" i="3"/>
  <c r="B609" i="3"/>
  <c r="J603" i="3"/>
  <c r="F598" i="3"/>
  <c r="B593" i="3"/>
  <c r="J587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J613" i="3"/>
  <c r="F608" i="3"/>
  <c r="B603" i="3"/>
  <c r="J597" i="3"/>
  <c r="F592" i="3"/>
  <c r="B587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B613" i="3"/>
  <c r="J607" i="3"/>
  <c r="F602" i="3"/>
  <c r="B597" i="3"/>
  <c r="J591" i="3"/>
  <c r="F586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F612" i="3"/>
  <c r="B607" i="3"/>
  <c r="J601" i="3"/>
  <c r="F596" i="3"/>
  <c r="B591" i="3"/>
  <c r="J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J611" i="3"/>
  <c r="F606" i="3"/>
  <c r="B601" i="3"/>
  <c r="J595" i="3"/>
  <c r="F590" i="3"/>
  <c r="B585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B611" i="3"/>
  <c r="J605" i="3"/>
  <c r="F600" i="3"/>
  <c r="B595" i="3"/>
  <c r="J589" i="3"/>
  <c r="A585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I448" i="3"/>
  <c r="E443" i="3"/>
  <c r="A438" i="3"/>
  <c r="I432" i="3"/>
  <c r="C429" i="3"/>
  <c r="D428" i="3"/>
  <c r="G427" i="3"/>
  <c r="J426" i="3"/>
  <c r="A426" i="3"/>
  <c r="D425" i="3"/>
  <c r="G424" i="3"/>
  <c r="J423" i="3"/>
  <c r="L422" i="3"/>
  <c r="C422" i="3"/>
  <c r="F421" i="3"/>
  <c r="I420" i="3"/>
  <c r="L419" i="3"/>
  <c r="C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A448" i="3"/>
  <c r="I442" i="3"/>
  <c r="E437" i="3"/>
  <c r="A432" i="3"/>
  <c r="B429" i="3"/>
  <c r="C428" i="3"/>
  <c r="F427" i="3"/>
  <c r="I426" i="3"/>
  <c r="L425" i="3"/>
  <c r="C425" i="3"/>
  <c r="F424" i="3"/>
  <c r="H423" i="3"/>
  <c r="K422" i="3"/>
  <c r="B422" i="3"/>
  <c r="E421" i="3"/>
  <c r="H420" i="3"/>
  <c r="K419" i="3"/>
  <c r="B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447" i="3"/>
  <c r="A442" i="3"/>
  <c r="I436" i="3"/>
  <c r="E431" i="3"/>
  <c r="L428" i="3"/>
  <c r="B428" i="3"/>
  <c r="E427" i="3"/>
  <c r="H426" i="3"/>
  <c r="K425" i="3"/>
  <c r="B425" i="3"/>
  <c r="D424" i="3"/>
  <c r="G423" i="3"/>
  <c r="J422" i="3"/>
  <c r="A422" i="3"/>
  <c r="D421" i="3"/>
  <c r="G420" i="3"/>
  <c r="J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I446" i="3"/>
  <c r="E441" i="3"/>
  <c r="A436" i="3"/>
  <c r="I430" i="3"/>
  <c r="J428" i="3"/>
  <c r="A428" i="3"/>
  <c r="D427" i="3"/>
  <c r="G426" i="3"/>
  <c r="J425" i="3"/>
  <c r="L424" i="3"/>
  <c r="C424" i="3"/>
  <c r="F423" i="3"/>
  <c r="I422" i="3"/>
  <c r="L421" i="3"/>
  <c r="C421" i="3"/>
  <c r="F420" i="3"/>
  <c r="H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A446" i="3"/>
  <c r="I440" i="3"/>
  <c r="E435" i="3"/>
  <c r="A430" i="3"/>
  <c r="I428" i="3"/>
  <c r="L427" i="3"/>
  <c r="C427" i="3"/>
  <c r="F426" i="3"/>
  <c r="H425" i="3"/>
  <c r="K424" i="3"/>
  <c r="B424" i="3"/>
  <c r="E423" i="3"/>
  <c r="H422" i="3"/>
  <c r="K421" i="3"/>
  <c r="B421" i="3"/>
  <c r="D420" i="3"/>
  <c r="G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E445" i="3"/>
  <c r="A440" i="3"/>
  <c r="I434" i="3"/>
  <c r="F429" i="3"/>
  <c r="H428" i="3"/>
  <c r="K427" i="3"/>
  <c r="B427" i="3"/>
  <c r="D426" i="3"/>
  <c r="G425" i="3"/>
  <c r="J424" i="3"/>
  <c r="A424" i="3"/>
  <c r="D423" i="3"/>
  <c r="G422" i="3"/>
  <c r="J421" i="3"/>
  <c r="L420" i="3"/>
  <c r="C420" i="3"/>
  <c r="F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I444" i="3"/>
  <c r="E439" i="3"/>
  <c r="A434" i="3"/>
  <c r="E429" i="3"/>
  <c r="G428" i="3"/>
  <c r="J427" i="3"/>
  <c r="L426" i="3"/>
  <c r="C426" i="3"/>
  <c r="F425" i="3"/>
  <c r="I424" i="3"/>
  <c r="L423" i="3"/>
  <c r="C423" i="3"/>
  <c r="F422" i="3"/>
  <c r="H421" i="3"/>
  <c r="K420" i="3"/>
  <c r="B420" i="3"/>
  <c r="E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A444" i="3"/>
  <c r="I438" i="3"/>
  <c r="E433" i="3"/>
  <c r="D429" i="3"/>
  <c r="F428" i="3"/>
  <c r="H427" i="3"/>
  <c r="K426" i="3"/>
  <c r="B426" i="3"/>
  <c r="E425" i="3"/>
  <c r="H424" i="3"/>
  <c r="K423" i="3"/>
  <c r="B423" i="3"/>
  <c r="D422" i="3"/>
  <c r="G421" i="3"/>
  <c r="J420" i="3"/>
  <c r="A420" i="3"/>
  <c r="D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C284" i="3"/>
  <c r="K278" i="3"/>
  <c r="G273" i="3"/>
  <c r="C268" i="3"/>
  <c r="K262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G283" i="3"/>
  <c r="C278" i="3"/>
  <c r="K272" i="3"/>
  <c r="G267" i="3"/>
  <c r="C262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282" i="3"/>
  <c r="G277" i="3"/>
  <c r="C272" i="3"/>
  <c r="K266" i="3"/>
  <c r="G261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C282" i="3"/>
  <c r="K276" i="3"/>
  <c r="G271" i="3"/>
  <c r="C266" i="3"/>
  <c r="K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G281" i="3"/>
  <c r="C276" i="3"/>
  <c r="K270" i="3"/>
  <c r="G265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K280" i="3"/>
  <c r="G275" i="3"/>
  <c r="C270" i="3"/>
  <c r="K264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C280" i="3"/>
  <c r="K274" i="3"/>
  <c r="G269" i="3"/>
  <c r="C264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G279" i="3"/>
  <c r="C274" i="3"/>
  <c r="K268" i="3"/>
  <c r="G263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K128" i="3"/>
  <c r="G123" i="3"/>
  <c r="C118" i="3"/>
  <c r="K112" i="3"/>
  <c r="G107" i="3"/>
  <c r="C102" i="3"/>
  <c r="K96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C128" i="3"/>
  <c r="K122" i="3"/>
  <c r="G117" i="3"/>
  <c r="C112" i="3"/>
  <c r="K106" i="3"/>
  <c r="G101" i="3"/>
  <c r="C96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127" i="3"/>
  <c r="C122" i="3"/>
  <c r="K116" i="3"/>
  <c r="G111" i="3"/>
  <c r="C106" i="3"/>
  <c r="K100" i="3"/>
  <c r="G95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K126" i="3"/>
  <c r="G121" i="3"/>
  <c r="C116" i="3"/>
  <c r="K110" i="3"/>
  <c r="G105" i="3"/>
  <c r="C100" i="3"/>
  <c r="K94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C126" i="3"/>
  <c r="K120" i="3"/>
  <c r="G115" i="3"/>
  <c r="C110" i="3"/>
  <c r="K104" i="3"/>
  <c r="G99" i="3"/>
  <c r="C94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G125" i="3"/>
  <c r="C120" i="3"/>
  <c r="K114" i="3"/>
  <c r="G109" i="3"/>
  <c r="C104" i="3"/>
  <c r="K98" i="3"/>
  <c r="K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K124" i="3"/>
  <c r="G119" i="3"/>
  <c r="C114" i="3"/>
  <c r="K108" i="3"/>
  <c r="G103" i="3"/>
  <c r="C98" i="3"/>
  <c r="G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C124" i="3"/>
  <c r="K118" i="3"/>
  <c r="G113" i="3"/>
  <c r="C108" i="3"/>
  <c r="K102" i="3"/>
  <c r="G97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G817" i="1"/>
  <c r="C812" i="1"/>
  <c r="K806" i="1"/>
  <c r="G801" i="1"/>
  <c r="C796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816" i="1"/>
  <c r="G811" i="1"/>
  <c r="C806" i="1"/>
  <c r="K800" i="1"/>
  <c r="G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C816" i="1"/>
  <c r="K810" i="1"/>
  <c r="G805" i="1"/>
  <c r="C800" i="1"/>
  <c r="C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G815" i="1"/>
  <c r="C810" i="1"/>
  <c r="K804" i="1"/>
  <c r="G799" i="1"/>
  <c r="B795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K814" i="1"/>
  <c r="G809" i="1"/>
  <c r="C804" i="1"/>
  <c r="K798" i="1"/>
  <c r="A795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C814" i="1"/>
  <c r="K808" i="1"/>
  <c r="G803" i="1"/>
  <c r="C798" i="1"/>
  <c r="K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G813" i="1"/>
  <c r="C808" i="1"/>
  <c r="K802" i="1"/>
  <c r="G797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K812" i="1"/>
  <c r="G807" i="1"/>
  <c r="C802" i="1"/>
  <c r="K796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K627" i="1"/>
  <c r="B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J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H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G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F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E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D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C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G320" i="1"/>
  <c r="C315" i="1"/>
  <c r="K309" i="1"/>
  <c r="G304" i="1"/>
  <c r="A301" i="1"/>
  <c r="C299" i="1"/>
  <c r="I297" i="1"/>
  <c r="G296" i="1"/>
  <c r="I295" i="1"/>
  <c r="J294" i="1"/>
  <c r="K293" i="1"/>
  <c r="A293" i="1"/>
  <c r="B292" i="1"/>
  <c r="C291" i="1"/>
  <c r="E290" i="1"/>
  <c r="F289" i="1"/>
  <c r="G288" i="1"/>
  <c r="I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K319" i="1"/>
  <c r="G314" i="1"/>
  <c r="C309" i="1"/>
  <c r="K303" i="1"/>
  <c r="I300" i="1"/>
  <c r="A299" i="1"/>
  <c r="G297" i="1"/>
  <c r="F296" i="1"/>
  <c r="G295" i="1"/>
  <c r="I294" i="1"/>
  <c r="J293" i="1"/>
  <c r="K292" i="1"/>
  <c r="A292" i="1"/>
  <c r="B291" i="1"/>
  <c r="C290" i="1"/>
  <c r="E289" i="1"/>
  <c r="F288" i="1"/>
  <c r="G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I28" i="1"/>
  <c r="I24" i="1"/>
  <c r="I22" i="1"/>
  <c r="E21" i="1"/>
  <c r="E19" i="1"/>
  <c r="A18" i="1"/>
  <c r="I16" i="1"/>
  <c r="E15" i="1"/>
  <c r="A14" i="1"/>
  <c r="A12" i="1"/>
  <c r="I10" i="1"/>
  <c r="I8" i="1"/>
  <c r="E7" i="1"/>
  <c r="A6" i="1"/>
  <c r="I4" i="1"/>
  <c r="B41" i="1"/>
  <c r="J29" i="1"/>
  <c r="B25" i="1"/>
  <c r="J21" i="1"/>
  <c r="B19" i="1"/>
  <c r="J15" i="1"/>
  <c r="F12" i="1"/>
  <c r="J9" i="1"/>
  <c r="F6" i="1"/>
  <c r="L28" i="1"/>
  <c r="D14" i="1"/>
  <c r="D4" i="1"/>
  <c r="G169" i="1"/>
  <c r="G167" i="1"/>
  <c r="C166" i="1"/>
  <c r="C162" i="1"/>
  <c r="G157" i="1"/>
  <c r="G153" i="1"/>
  <c r="G149" i="1"/>
  <c r="G145" i="1"/>
  <c r="C142" i="1"/>
  <c r="G139" i="1"/>
  <c r="G135" i="1"/>
  <c r="K130" i="1"/>
  <c r="C126" i="1"/>
  <c r="C122" i="1"/>
  <c r="K118" i="1"/>
  <c r="K116" i="1"/>
  <c r="C112" i="1"/>
  <c r="K106" i="1"/>
  <c r="K100" i="1"/>
  <c r="K94" i="1"/>
  <c r="C90" i="1"/>
  <c r="G85" i="1"/>
  <c r="C80" i="1"/>
  <c r="C72" i="1"/>
  <c r="C66" i="1"/>
  <c r="K60" i="1"/>
  <c r="G55" i="1"/>
  <c r="C50" i="1"/>
  <c r="C319" i="1"/>
  <c r="K313" i="1"/>
  <c r="G308" i="1"/>
  <c r="C303" i="1"/>
  <c r="G300" i="1"/>
  <c r="I298" i="1"/>
  <c r="E297" i="1"/>
  <c r="E296" i="1"/>
  <c r="F295" i="1"/>
  <c r="G294" i="1"/>
  <c r="I293" i="1"/>
  <c r="J292" i="1"/>
  <c r="K291" i="1"/>
  <c r="A291" i="1"/>
  <c r="B290" i="1"/>
  <c r="C289" i="1"/>
  <c r="E288" i="1"/>
  <c r="F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A28" i="1"/>
  <c r="E27" i="1"/>
  <c r="I26" i="1"/>
  <c r="A26" i="1"/>
  <c r="E25" i="1"/>
  <c r="A24" i="1"/>
  <c r="E23" i="1"/>
  <c r="A22" i="1"/>
  <c r="I20" i="1"/>
  <c r="A20" i="1"/>
  <c r="I18" i="1"/>
  <c r="E17" i="1"/>
  <c r="A16" i="1"/>
  <c r="I14" i="1"/>
  <c r="E13" i="1"/>
  <c r="I12" i="1"/>
  <c r="E11" i="1"/>
  <c r="A10" i="1"/>
  <c r="E9" i="1"/>
  <c r="A8" i="1"/>
  <c r="I6" i="1"/>
  <c r="E5" i="1"/>
  <c r="A4" i="1"/>
  <c r="B39" i="1"/>
  <c r="B23" i="1"/>
  <c r="F14" i="1"/>
  <c r="J7" i="1"/>
  <c r="D28" i="1"/>
  <c r="D22" i="1"/>
  <c r="L20" i="1"/>
  <c r="H19" i="1"/>
  <c r="D16" i="1"/>
  <c r="D12" i="1"/>
  <c r="H9" i="1"/>
  <c r="H7" i="1"/>
  <c r="H5" i="1"/>
  <c r="G173" i="1"/>
  <c r="C168" i="1"/>
  <c r="C164" i="1"/>
  <c r="C160" i="1"/>
  <c r="K156" i="1"/>
  <c r="C154" i="1"/>
  <c r="C150" i="1"/>
  <c r="C146" i="1"/>
  <c r="G141" i="1"/>
  <c r="G137" i="1"/>
  <c r="K132" i="1"/>
  <c r="G129" i="1"/>
  <c r="K124" i="1"/>
  <c r="G119" i="1"/>
  <c r="C116" i="1"/>
  <c r="G111" i="1"/>
  <c r="G107" i="1"/>
  <c r="G101" i="1"/>
  <c r="C96" i="1"/>
  <c r="G91" i="1"/>
  <c r="C86" i="1"/>
  <c r="C82" i="1"/>
  <c r="G77" i="1"/>
  <c r="K72" i="1"/>
  <c r="C68" i="1"/>
  <c r="C62" i="1"/>
  <c r="C58" i="1"/>
  <c r="G53" i="1"/>
  <c r="K48" i="1"/>
  <c r="G318" i="1"/>
  <c r="C313" i="1"/>
  <c r="K307" i="1"/>
  <c r="G302" i="1"/>
  <c r="E300" i="1"/>
  <c r="G298" i="1"/>
  <c r="C297" i="1"/>
  <c r="C296" i="1"/>
  <c r="E295" i="1"/>
  <c r="F294" i="1"/>
  <c r="G293" i="1"/>
  <c r="I292" i="1"/>
  <c r="J291" i="1"/>
  <c r="K290" i="1"/>
  <c r="A290" i="1"/>
  <c r="B289" i="1"/>
  <c r="C288" i="1"/>
  <c r="E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13" i="1"/>
  <c r="K11" i="1"/>
  <c r="G10" i="1"/>
  <c r="C9" i="1"/>
  <c r="C7" i="1"/>
  <c r="K5" i="1"/>
  <c r="G4" i="1"/>
  <c r="F96" i="1"/>
  <c r="F82" i="1"/>
  <c r="J77" i="1"/>
  <c r="J73" i="1"/>
  <c r="B71" i="1"/>
  <c r="F68" i="1"/>
  <c r="F66" i="1"/>
  <c r="B63" i="1"/>
  <c r="B61" i="1"/>
  <c r="B59" i="1"/>
  <c r="B57" i="1"/>
  <c r="F54" i="1"/>
  <c r="F52" i="1"/>
  <c r="J49" i="1"/>
  <c r="J47" i="1"/>
  <c r="J45" i="1"/>
  <c r="J43" i="1"/>
  <c r="J41" i="1"/>
  <c r="J37" i="1"/>
  <c r="B35" i="1"/>
  <c r="J31" i="1"/>
  <c r="B29" i="1"/>
  <c r="F26" i="1"/>
  <c r="F22" i="1"/>
  <c r="J19" i="1"/>
  <c r="B15" i="1"/>
  <c r="J11" i="1"/>
  <c r="B9" i="1"/>
  <c r="J5" i="1"/>
  <c r="H29" i="1"/>
  <c r="L14" i="1"/>
  <c r="D6" i="1"/>
  <c r="C170" i="1"/>
  <c r="K166" i="1"/>
  <c r="K164" i="1"/>
  <c r="K160" i="1"/>
  <c r="C156" i="1"/>
  <c r="C152" i="1"/>
  <c r="K148" i="1"/>
  <c r="K144" i="1"/>
  <c r="K140" i="1"/>
  <c r="K138" i="1"/>
  <c r="K134" i="1"/>
  <c r="G131" i="1"/>
  <c r="K126" i="1"/>
  <c r="G123" i="1"/>
  <c r="C118" i="1"/>
  <c r="G115" i="1"/>
  <c r="K110" i="1"/>
  <c r="C106" i="1"/>
  <c r="G103" i="1"/>
  <c r="G99" i="1"/>
  <c r="G97" i="1"/>
  <c r="G93" i="1"/>
  <c r="G89" i="1"/>
  <c r="G83" i="1"/>
  <c r="K78" i="1"/>
  <c r="G71" i="1"/>
  <c r="G65" i="1"/>
  <c r="G61" i="1"/>
  <c r="K56" i="1"/>
  <c r="C52" i="1"/>
  <c r="K317" i="1"/>
  <c r="G312" i="1"/>
  <c r="C307" i="1"/>
  <c r="A302" i="1"/>
  <c r="A300" i="1"/>
  <c r="E298" i="1"/>
  <c r="B297" i="1"/>
  <c r="B296" i="1"/>
  <c r="C295" i="1"/>
  <c r="E294" i="1"/>
  <c r="F293" i="1"/>
  <c r="G292" i="1"/>
  <c r="I291" i="1"/>
  <c r="J290" i="1"/>
  <c r="K289" i="1"/>
  <c r="A289" i="1"/>
  <c r="B288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C13" i="1"/>
  <c r="G12" i="1"/>
  <c r="C11" i="1"/>
  <c r="K9" i="1"/>
  <c r="G8" i="1"/>
  <c r="K7" i="1"/>
  <c r="G6" i="1"/>
  <c r="C5" i="1"/>
  <c r="J97" i="1"/>
  <c r="F84" i="1"/>
  <c r="J81" i="1"/>
  <c r="F80" i="1"/>
  <c r="B79" i="1"/>
  <c r="B77" i="1"/>
  <c r="J75" i="1"/>
  <c r="F74" i="1"/>
  <c r="F72" i="1"/>
  <c r="F70" i="1"/>
  <c r="B69" i="1"/>
  <c r="B67" i="1"/>
  <c r="B65" i="1"/>
  <c r="J63" i="1"/>
  <c r="F62" i="1"/>
  <c r="F60" i="1"/>
  <c r="F58" i="1"/>
  <c r="F56" i="1"/>
  <c r="B55" i="1"/>
  <c r="B53" i="1"/>
  <c r="B51" i="1"/>
  <c r="B49" i="1"/>
  <c r="B47" i="1"/>
  <c r="F44" i="1"/>
  <c r="B43" i="1"/>
  <c r="F40" i="1"/>
  <c r="F38" i="1"/>
  <c r="F36" i="1"/>
  <c r="F34" i="1"/>
  <c r="B33" i="1"/>
  <c r="B31" i="1"/>
  <c r="J27" i="1"/>
  <c r="J25" i="1"/>
  <c r="J23" i="1"/>
  <c r="B21" i="1"/>
  <c r="F18" i="1"/>
  <c r="B17" i="1"/>
  <c r="J13" i="1"/>
  <c r="B11" i="1"/>
  <c r="F8" i="1"/>
  <c r="B5" i="1"/>
  <c r="D26" i="1"/>
  <c r="L16" i="1"/>
  <c r="D10" i="1"/>
  <c r="G171" i="1"/>
  <c r="K162" i="1"/>
  <c r="G159" i="1"/>
  <c r="K152" i="1"/>
  <c r="C148" i="1"/>
  <c r="K142" i="1"/>
  <c r="K136" i="1"/>
  <c r="C132" i="1"/>
  <c r="G127" i="1"/>
  <c r="C124" i="1"/>
  <c r="K120" i="1"/>
  <c r="K114" i="1"/>
  <c r="C110" i="1"/>
  <c r="G105" i="1"/>
  <c r="C102" i="1"/>
  <c r="K98" i="1"/>
  <c r="C94" i="1"/>
  <c r="K90" i="1"/>
  <c r="K86" i="1"/>
  <c r="C84" i="1"/>
  <c r="G79" i="1"/>
  <c r="C76" i="1"/>
  <c r="G73" i="1"/>
  <c r="C70" i="1"/>
  <c r="K66" i="1"/>
  <c r="C64" i="1"/>
  <c r="G59" i="1"/>
  <c r="K54" i="1"/>
  <c r="K50" i="1"/>
  <c r="K46" i="1"/>
  <c r="C317" i="1"/>
  <c r="K311" i="1"/>
  <c r="G306" i="1"/>
  <c r="K301" i="1"/>
  <c r="K299" i="1"/>
  <c r="C298" i="1"/>
  <c r="A297" i="1"/>
  <c r="A296" i="1"/>
  <c r="B295" i="1"/>
  <c r="C294" i="1"/>
  <c r="E293" i="1"/>
  <c r="F292" i="1"/>
  <c r="G291" i="1"/>
  <c r="I290" i="1"/>
  <c r="J289" i="1"/>
  <c r="K288" i="1"/>
  <c r="A288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B97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J83" i="1"/>
  <c r="B83" i="1"/>
  <c r="B81" i="1"/>
  <c r="J79" i="1"/>
  <c r="F78" i="1"/>
  <c r="F76" i="1"/>
  <c r="B75" i="1"/>
  <c r="B73" i="1"/>
  <c r="J71" i="1"/>
  <c r="J69" i="1"/>
  <c r="J67" i="1"/>
  <c r="J65" i="1"/>
  <c r="F64" i="1"/>
  <c r="J61" i="1"/>
  <c r="J59" i="1"/>
  <c r="J57" i="1"/>
  <c r="J55" i="1"/>
  <c r="J53" i="1"/>
  <c r="J51" i="1"/>
  <c r="F50" i="1"/>
  <c r="F48" i="1"/>
  <c r="F46" i="1"/>
  <c r="B45" i="1"/>
  <c r="F42" i="1"/>
  <c r="J39" i="1"/>
  <c r="B37" i="1"/>
  <c r="J35" i="1"/>
  <c r="J33" i="1"/>
  <c r="F32" i="1"/>
  <c r="F30" i="1"/>
  <c r="F28" i="1"/>
  <c r="B27" i="1"/>
  <c r="F24" i="1"/>
  <c r="F20" i="1"/>
  <c r="J17" i="1"/>
  <c r="F16" i="1"/>
  <c r="B13" i="1"/>
  <c r="F10" i="1"/>
  <c r="B7" i="1"/>
  <c r="F4" i="1"/>
  <c r="L26" i="1"/>
  <c r="H17" i="1"/>
  <c r="H11" i="1"/>
  <c r="L4" i="1"/>
  <c r="K170" i="1"/>
  <c r="G163" i="1"/>
  <c r="K158" i="1"/>
  <c r="G151" i="1"/>
  <c r="K146" i="1"/>
  <c r="C140" i="1"/>
  <c r="C134" i="1"/>
  <c r="C130" i="1"/>
  <c r="G125" i="1"/>
  <c r="C120" i="1"/>
  <c r="G113" i="1"/>
  <c r="K108" i="1"/>
  <c r="C104" i="1"/>
  <c r="C98" i="1"/>
  <c r="K92" i="1"/>
  <c r="C88" i="1"/>
  <c r="K84" i="1"/>
  <c r="K80" i="1"/>
  <c r="K76" i="1"/>
  <c r="K74" i="1"/>
  <c r="K70" i="1"/>
  <c r="G67" i="1"/>
  <c r="K64" i="1"/>
  <c r="C60" i="1"/>
  <c r="C56" i="1"/>
  <c r="G51" i="1"/>
  <c r="C48" i="1"/>
  <c r="G316" i="1"/>
  <c r="C311" i="1"/>
  <c r="K305" i="1"/>
  <c r="E301" i="1"/>
  <c r="I299" i="1"/>
  <c r="A298" i="1"/>
  <c r="K296" i="1"/>
  <c r="K295" i="1"/>
  <c r="A295" i="1"/>
  <c r="B294" i="1"/>
  <c r="C293" i="1"/>
  <c r="E292" i="1"/>
  <c r="F291" i="1"/>
  <c r="G290" i="1"/>
  <c r="I289" i="1"/>
  <c r="J288" i="1"/>
  <c r="K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D74" i="1"/>
  <c r="D64" i="1"/>
  <c r="D62" i="1"/>
  <c r="D60" i="1"/>
  <c r="L58" i="1"/>
  <c r="H57" i="1"/>
  <c r="D56" i="1"/>
  <c r="L54" i="1"/>
  <c r="H53" i="1"/>
  <c r="D52" i="1"/>
  <c r="L50" i="1"/>
  <c r="H49" i="1"/>
  <c r="D48" i="1"/>
  <c r="D46" i="1"/>
  <c r="L44" i="1"/>
  <c r="H43" i="1"/>
  <c r="D42" i="1"/>
  <c r="L40" i="1"/>
  <c r="H39" i="1"/>
  <c r="D38" i="1"/>
  <c r="L36" i="1"/>
  <c r="H35" i="1"/>
  <c r="L34" i="1"/>
  <c r="H33" i="1"/>
  <c r="L32" i="1"/>
  <c r="H31" i="1"/>
  <c r="D30" i="1"/>
  <c r="H25" i="1"/>
  <c r="D24" i="1"/>
  <c r="L22" i="1"/>
  <c r="D20" i="1"/>
  <c r="L18" i="1"/>
  <c r="H15" i="1"/>
  <c r="L12" i="1"/>
  <c r="L10" i="1"/>
  <c r="D8" i="1"/>
  <c r="L6" i="1"/>
  <c r="K172" i="1"/>
  <c r="K168" i="1"/>
  <c r="G165" i="1"/>
  <c r="G161" i="1"/>
  <c r="C158" i="1"/>
  <c r="G155" i="1"/>
  <c r="K150" i="1"/>
  <c r="G147" i="1"/>
  <c r="G143" i="1"/>
  <c r="C138" i="1"/>
  <c r="G133" i="1"/>
  <c r="C128" i="1"/>
  <c r="K122" i="1"/>
  <c r="G117" i="1"/>
  <c r="C114" i="1"/>
  <c r="G109" i="1"/>
  <c r="K104" i="1"/>
  <c r="C100" i="1"/>
  <c r="K96" i="1"/>
  <c r="C92" i="1"/>
  <c r="G87" i="1"/>
  <c r="K82" i="1"/>
  <c r="C78" i="1"/>
  <c r="C74" i="1"/>
  <c r="K68" i="1"/>
  <c r="G63" i="1"/>
  <c r="K58" i="1"/>
  <c r="C54" i="1"/>
  <c r="G49" i="1"/>
  <c r="K315" i="1"/>
  <c r="G310" i="1"/>
  <c r="C305" i="1"/>
  <c r="C301" i="1"/>
  <c r="E299" i="1"/>
  <c r="K297" i="1"/>
  <c r="I296" i="1"/>
  <c r="J295" i="1"/>
  <c r="K294" i="1"/>
  <c r="A294" i="1"/>
  <c r="B293" i="1"/>
  <c r="C292" i="1"/>
  <c r="E291" i="1"/>
  <c r="F290" i="1"/>
  <c r="G289" i="1"/>
  <c r="I288" i="1"/>
  <c r="J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H63" i="1"/>
  <c r="L62" i="1"/>
  <c r="H61" i="1"/>
  <c r="L60" i="1"/>
  <c r="H59" i="1"/>
  <c r="D58" i="1"/>
  <c r="L56" i="1"/>
  <c r="H55" i="1"/>
  <c r="D54" i="1"/>
  <c r="L52" i="1"/>
  <c r="H51" i="1"/>
  <c r="D50" i="1"/>
  <c r="L48" i="1"/>
  <c r="H47" i="1"/>
  <c r="L46" i="1"/>
  <c r="H45" i="1"/>
  <c r="D44" i="1"/>
  <c r="L42" i="1"/>
  <c r="H41" i="1"/>
  <c r="D40" i="1"/>
  <c r="L38" i="1"/>
  <c r="H37" i="1"/>
  <c r="D36" i="1"/>
  <c r="D34" i="1"/>
  <c r="D32" i="1"/>
  <c r="L30" i="1"/>
  <c r="H27" i="1"/>
  <c r="L24" i="1"/>
  <c r="H23" i="1"/>
  <c r="H21" i="1"/>
  <c r="D18" i="1"/>
  <c r="H13" i="1"/>
  <c r="L8" i="1"/>
  <c r="C172" i="1"/>
  <c r="K154" i="1"/>
  <c r="C144" i="1"/>
  <c r="C136" i="1"/>
  <c r="K128" i="1"/>
  <c r="G121" i="1"/>
  <c r="K112" i="1"/>
  <c r="C108" i="1"/>
  <c r="K102" i="1"/>
  <c r="G95" i="1"/>
  <c r="K88" i="1"/>
  <c r="G81" i="1"/>
  <c r="G75" i="1"/>
  <c r="G69" i="1"/>
  <c r="K62" i="1"/>
  <c r="G57" i="1"/>
  <c r="K52" i="1"/>
  <c r="G47" i="1"/>
  <c r="G41" i="1"/>
  <c r="C36" i="1"/>
  <c r="K30" i="1"/>
  <c r="G25" i="1"/>
  <c r="C20" i="1"/>
  <c r="K14" i="1"/>
  <c r="G9" i="1"/>
  <c r="C4" i="1"/>
  <c r="G23" i="1"/>
  <c r="K12" i="1"/>
  <c r="G27" i="1"/>
  <c r="K36" i="1"/>
  <c r="K4" i="1"/>
  <c r="C46" i="1"/>
  <c r="K40" i="1"/>
  <c r="G35" i="1"/>
  <c r="C30" i="1"/>
  <c r="K24" i="1"/>
  <c r="G19" i="1"/>
  <c r="C14" i="1"/>
  <c r="K8" i="1"/>
  <c r="C8" i="1"/>
  <c r="K28" i="1"/>
  <c r="G7" i="1"/>
  <c r="K16" i="1"/>
  <c r="C42" i="1"/>
  <c r="C10" i="1"/>
  <c r="G45" i="1"/>
  <c r="C40" i="1"/>
  <c r="K34" i="1"/>
  <c r="G29" i="1"/>
  <c r="C24" i="1"/>
  <c r="K18" i="1"/>
  <c r="G13" i="1"/>
  <c r="G39" i="1"/>
  <c r="C18" i="1"/>
  <c r="C22" i="1"/>
  <c r="G31" i="1"/>
  <c r="K44" i="1"/>
  <c r="C34" i="1"/>
  <c r="C38" i="1"/>
  <c r="C6" i="1"/>
  <c r="G15" i="1"/>
  <c r="C44" i="1"/>
  <c r="K38" i="1"/>
  <c r="G33" i="1"/>
  <c r="C28" i="1"/>
  <c r="K22" i="1"/>
  <c r="G17" i="1"/>
  <c r="C12" i="1"/>
  <c r="K6" i="1"/>
  <c r="K32" i="1"/>
  <c r="G5" i="1"/>
  <c r="K20" i="1"/>
  <c r="G43" i="1"/>
  <c r="G11" i="1"/>
  <c r="K42" i="1"/>
  <c r="G37" i="1"/>
  <c r="C32" i="1"/>
  <c r="K26" i="1"/>
  <c r="G21" i="1"/>
  <c r="C16" i="1"/>
  <c r="K10" i="1"/>
  <c r="C26" i="1"/>
  <c r="J2" i="31" l="1"/>
  <c r="J2" i="27"/>
  <c r="J2" i="29"/>
  <c r="J2" i="30"/>
  <c r="J2" i="28"/>
  <c r="J2" i="26"/>
  <c r="J2" i="24"/>
  <c r="J2" i="25"/>
  <c r="J2" i="22"/>
  <c r="J2" i="23"/>
  <c r="J2" i="21"/>
  <c r="J2" i="20"/>
  <c r="J2" i="18"/>
  <c r="J2" i="19"/>
  <c r="J2" i="17"/>
  <c r="J2" i="15"/>
  <c r="J2" i="16"/>
  <c r="J2" i="14"/>
  <c r="J2" i="12"/>
  <c r="J2" i="13"/>
  <c r="J2" i="11"/>
  <c r="J2" i="10"/>
  <c r="J2" i="8"/>
  <c r="J2" i="9"/>
  <c r="J2" i="6"/>
  <c r="J2" i="4"/>
  <c r="J2" i="7"/>
  <c r="J2" i="5"/>
</calcChain>
</file>

<file path=xl/sharedStrings.xml><?xml version="1.0" encoding="utf-8"?>
<sst xmlns="http://schemas.openxmlformats.org/spreadsheetml/2006/main" count="405" uniqueCount="64">
  <si>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</si>
  <si>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</si>
  <si>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</si>
  <si>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</si>
  <si>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</si>
  <si>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</si>
  <si>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</si>
  <si>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</si>
  <si>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</si>
  <si>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</si>
  <si>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</si>
  <si>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</si>
  <si>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</si>
  <si>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</si>
  <si>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</si>
  <si>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</si>
  <si>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</si>
  <si>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</si>
  <si>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</si>
  <si>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DailyValuation</t>
  </si>
  <si>
    <t>GetDailyCash</t>
  </si>
  <si>
    <t>UpdateDailyCash</t>
  </si>
  <si>
    <t>USD</t>
  </si>
  <si>
    <t>TradingTicket</t>
  </si>
  <si>
    <t>CreateDoneAwayOrder</t>
  </si>
  <si>
    <t>MSFT</t>
  </si>
  <si>
    <t>Buy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</si>
  <si>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</si>
  <si>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</si>
  <si>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</si>
  <si>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</si>
  <si>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</si>
  <si>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</si>
  <si>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</si>
  <si>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</si>
  <si>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</si>
  <si>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</si>
  <si>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</si>
  <si>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</si>
  <si>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</si>
  <si>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</si>
  <si>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</si>
  <si>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</si>
  <si>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CreateLiveOrder</t>
  </si>
  <si>
    <t>Simulator</t>
  </si>
  <si>
    <t>AcknowledgeTrade</t>
  </si>
  <si>
    <t>SelectTrade</t>
  </si>
  <si>
    <t>ExecuteTrade</t>
  </si>
  <si>
    <t>VerifyOrder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</si>
  <si>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</si>
  <si>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</si>
  <si>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</si>
  <si>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</si>
  <si>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</si>
  <si>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</si>
  <si>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</si>
  <si>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</si>
  <si>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</si>
  <si>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</si>
  <si>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</si>
  <si>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</si>
  <si>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</si>
  <si>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 xml:space="preserve"> 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</si>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</sst>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13" fillId="0" borderId="5" xfId="0" applyFont="1" applyBorder="1" applyAlignment="1"/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3" fontId="2" fillId="0" borderId="0" xfId="0" applyNumberFormat="1" applyFont="1" applyAlignment="1"/>
    <xf numFmtId="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horizontal="right"/>
    </xf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51" t="s">
        <v>0</v>
      </c>
      <c r="B1" s="52"/>
      <c r="C1" s="52"/>
      <c r="D1" s="52"/>
      <c r="E1" s="52"/>
      <c r="F1" s="53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4" t="s">
        <v>2</v>
      </c>
      <c r="B1" s="52"/>
      <c r="C1" s="5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1" t="s">
        <v>7</v>
      </c>
      <c r="B1" s="52"/>
      <c r="C1" s="52"/>
      <c r="D1" s="52"/>
      <c r="E1" s="52"/>
      <c r="F1" s="5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6">
        <f t="shared" ref="B6:C6" ca="1" si="0">TODAY()-1</f>
        <v>44411</v>
      </c>
      <c r="C6" s="26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7" t="s">
        <v>17</v>
      </c>
      <c r="C6" s="28" t="s">
        <v>22</v>
      </c>
      <c r="D6" s="29">
        <v>10000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30" t="s">
        <v>18</v>
      </c>
      <c r="C7" s="30" t="s">
        <v>22</v>
      </c>
      <c r="D7" s="31">
        <v>10000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25</v>
      </c>
      <c r="C6" s="7" t="s">
        <v>26</v>
      </c>
      <c r="D6" s="7">
        <v>1000</v>
      </c>
      <c r="E6" s="7">
        <v>1000</v>
      </c>
      <c r="F6" s="7" t="s">
        <v>17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25</v>
      </c>
      <c r="C7" s="7" t="s">
        <v>26</v>
      </c>
      <c r="D7" s="7">
        <v>1000</v>
      </c>
      <c r="E7" s="7">
        <v>1000</v>
      </c>
      <c r="F7" s="7" t="s">
        <v>18</v>
      </c>
      <c r="G7" s="5"/>
      <c r="H7" s="5"/>
      <c r="I7" s="5"/>
      <c r="J7" s="7">
        <v>10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E1" workbookViewId="0">
      <selection activeCell="P5" sqref="P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 t="str">
        <f ca="1">IFERROR(__xludf.DUMMYFUNCTION("""COMPUTED_VALUE"""),"")</f>
        <v/>
      </c>
      <c r="G4" s="19" t="str">
        <f ca="1">IFERROR(__xludf.DUMMYFUNCTION("""COMPUTED_VALUE"""),"")</f>
        <v/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25</v>
      </c>
      <c r="C6" s="7">
        <v>10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IFERROR(__xludf.DUMMYFUNCTION("""COMPUTED_VALUE"""),"Account/Groups")</f>
        <v>Account/Groups</v>
      </c>
      <c r="C5" s="22" t="str">
        <f ca="1">IFERROR(__xludf.DUMMYFUNCTION("""COMPUTED_VALUE"""),"Account Positions")</f>
        <v>Account Positions</v>
      </c>
      <c r="D5" s="22" t="str">
        <f ca="1">IFERROR(__xludf.DUMMYFUNCTION("""COMPUTED_VALUE"""),"Calculation Level")</f>
        <v>Calculation Level</v>
      </c>
      <c r="E5" s="22" t="str">
        <f ca="1">IFERROR(__xludf.DUMMYFUNCTION("""COMPUTED_VALUE"""),"Refresh")</f>
        <v>Refresh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2"/>
      <c r="B6" s="33" t="s">
        <v>30</v>
      </c>
      <c r="C6" s="34" t="s">
        <v>31</v>
      </c>
      <c r="D6" s="33" t="s">
        <v>32</v>
      </c>
      <c r="E6" s="34" t="s">
        <v>33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IFERROR(__xludf.DUMMYFUNCTION("""COMPUTED_VALUE"""),"Cash Flow(USD)")</f>
        <v>Cash Flow(USD)</v>
      </c>
      <c r="C5" s="22" t="str">
        <f ca="1">IFERROR(__xludf.DUMMYFUNCTION("""COMPUTED_VALUE"""),"Cash Flow Impact on NAV")</f>
        <v>Cash Flow Impact on NAV</v>
      </c>
      <c r="D5" s="22" t="str">
        <f ca="1">IFERROR(__xludf.DUMMYFUNCTION("""COMPUTED_VALUE"""),"Select Model")</f>
        <v>Select Model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1000</v>
      </c>
      <c r="C6" s="28" t="s">
        <v>35</v>
      </c>
      <c r="D6" s="33" t="s">
        <v>36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IFERROR(__xludf.DUMMYFUNCTION("""COMPUTED_VALUE"""),"Rounding Type")</f>
        <v>Rounding Type</v>
      </c>
      <c r="C5" s="22" t="str">
        <f ca="1">IFERROR(__xludf.DUMMYFUNCTION("""COMPUTED_VALUE"""),"Rebalance")</f>
        <v>Rebalance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6" t="s">
        <v>38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IFERROR(__xludf.DUMMYFUNCTION("""COMPUTED_VALUE"""),"Side")</f>
        <v>Side</v>
      </c>
      <c r="D5" s="22" t="str">
        <f ca="1">IFERROR(__xludf.DUMMYFUNCTION("""COMPUTED_VALUE"""),"Symbol")</f>
        <v>Symbol</v>
      </c>
      <c r="E5" s="22" t="str">
        <f ca="1">IFERROR(__xludf.DUMMYFUNCTION("""COMPUTED_VALUE"""),"Quantity")</f>
        <v>Quantity</v>
      </c>
      <c r="F5" s="23" t="str">
        <f ca="1">IFERROR(__xludf.DUMMYFUNCTION("""COMPUTED_VALUE"""),"Price")</f>
        <v>Price</v>
      </c>
      <c r="G5" s="22" t="str">
        <f ca="1">IFERROR(__xludf.DUMMYFUNCTION("""COMPUTED_VALUE"""),"Buy/Sell Value")</f>
        <v>Buy/Sell Value</v>
      </c>
      <c r="H5" s="22" t="str">
        <f ca="1">IFERROR(__xludf.DUMMYFUNCTION("""COMPUTED_VALUE"""),"Comments")</f>
        <v>Comments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37" t="s">
        <v>17</v>
      </c>
      <c r="C6" s="38" t="s">
        <v>26</v>
      </c>
      <c r="D6" s="38" t="s">
        <v>25</v>
      </c>
      <c r="E6" s="39">
        <v>50</v>
      </c>
      <c r="F6" s="40">
        <v>10</v>
      </c>
      <c r="G6" s="39">
        <v>500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5">
      <c r="A7" s="5"/>
      <c r="B7" s="41" t="s">
        <v>18</v>
      </c>
      <c r="C7" s="42" t="s">
        <v>26</v>
      </c>
      <c r="D7" s="42" t="s">
        <v>25</v>
      </c>
      <c r="E7" s="43">
        <v>50</v>
      </c>
      <c r="F7" s="44">
        <v>10</v>
      </c>
      <c r="G7" s="43">
        <v>500</v>
      </c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25</v>
      </c>
      <c r="AK6" s="6" t="s">
        <v>42</v>
      </c>
      <c r="AL6" s="6">
        <v>100</v>
      </c>
      <c r="AP6" s="6">
        <v>100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25</v>
      </c>
      <c r="C6" s="7" t="s">
        <v>26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26</v>
      </c>
      <c r="C6" s="7" t="s">
        <v>25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26</v>
      </c>
      <c r="C6" s="7" t="s">
        <v>25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IFERROR(__xludf.DUMMYFUNCTION("""COMPUTED_VALUE"""),"Account/Groups")</f>
        <v>Account/Groups</v>
      </c>
      <c r="C5" s="22" t="str">
        <f ca="1">IFERROR(__xludf.DUMMYFUNCTION("""COMPUTED_VALUE"""),"Account Positions")</f>
        <v>Account Positions</v>
      </c>
      <c r="D5" s="22" t="str">
        <f ca="1">IFERROR(__xludf.DUMMYFUNCTION("""COMPUTED_VALUE"""),"Calculation Level")</f>
        <v>Calculation Level</v>
      </c>
      <c r="E5" s="22" t="str">
        <f ca="1">IFERROR(__xludf.DUMMYFUNCTION("""COMPUTED_VALUE"""),"Refresh")</f>
        <v>Refresh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2"/>
      <c r="B6" s="33" t="s">
        <v>30</v>
      </c>
      <c r="C6" s="34" t="s">
        <v>31</v>
      </c>
      <c r="D6" s="33" t="s">
        <v>32</v>
      </c>
      <c r="E6" s="34" t="s">
        <v>33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IFERROR(__xludf.DUMMYFUNCTION("""COMPUTED_VALUE"""),"Cash Flow(USD)")</f>
        <v>Cash Flow(USD)</v>
      </c>
      <c r="C5" s="22" t="str">
        <f ca="1">IFERROR(__xludf.DUMMYFUNCTION("""COMPUTED_VALUE"""),"Cash Flow Impact on NAV")</f>
        <v>Cash Flow Impact on NAV</v>
      </c>
      <c r="D5" s="22" t="str">
        <f ca="1">IFERROR(__xludf.DUMMYFUNCTION("""COMPUTED_VALUE"""),"Select Model")</f>
        <v>Select Model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1000</v>
      </c>
      <c r="C6" s="28" t="s">
        <v>35</v>
      </c>
      <c r="D6" s="33" t="s">
        <v>36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IFERROR(__xludf.DUMMYFUNCTION("""COMPUTED_VALUE"""),"Rounding Type")</f>
        <v>Rounding Type</v>
      </c>
      <c r="C5" s="22" t="str">
        <f ca="1">IFERROR(__xludf.DUMMYFUNCTION("""COMPUTED_VALUE"""),"Rebalance")</f>
        <v>Rebalance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6" t="s">
        <v>38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IFERROR(__xludf.DUMMYFUNCTION("IF(C3="""","""",Transpose(IMPORTRANGE('_Settings'!$B$3,C3&amp;""!A4:A1000"")))"),"FetchAccountPositions")</f>
        <v>FetchAccountPositions</v>
      </c>
      <c r="C4" s="19" t="str">
        <f ca="1">IFERROR(__xludf.DUMMYFUNCTION("""COMPUTED_VALUE"""),"AddCash")</f>
        <v>AddCash</v>
      </c>
      <c r="D4" s="19" t="str">
        <f ca="1">IFERROR(__xludf.DUMMYFUNCTION("""COMPUTED_VALUE"""),"VerifyGridData")</f>
        <v>VerifyGridData</v>
      </c>
      <c r="E4" s="19" t="str">
        <f ca="1">IFERROR(__xludf.DUMMYFUNCTION("""COMPUTED_VALUE"""),"RunRebalance")</f>
        <v>RunRebalance</v>
      </c>
      <c r="F4" s="19" t="str">
        <f ca="1">IFERROR(__xludf.DUMMYFUNCTION("""COMPUTED_VALUE"""),"RebalanceAcrossSecurities")</f>
        <v>RebalanceAcrossSecurities</v>
      </c>
      <c r="G4" s="19" t="str">
        <f ca="1">IFERROR(__xludf.DUMMYFUNCTION("""COMPUTED_VALUE"""),"ModifyRebalance")</f>
        <v>ModifyRebalance</v>
      </c>
      <c r="H4" s="19" t="str">
        <f ca="1">IFERROR(__xludf.DUMMYFUNCTION("""COMPUTED_VALUE"""),"ClearCalculations")</f>
        <v>ClearCalculations</v>
      </c>
      <c r="I4" s="19" t="str">
        <f ca="1">IFERROR(__xludf.DUMMYFUNCTION("""COMPUTED_VALUE"""),"ModelPortfolio")</f>
        <v>ModelPortfolio</v>
      </c>
      <c r="J4" s="19" t="str">
        <f ca="1">IFERROR(__xludf.DUMMYFUNCTION("""COMPUTED_VALUE"""),"LockandUnlockGridData")</f>
        <v>LockandUnlockGridData</v>
      </c>
      <c r="K4" s="19" t="str">
        <f ca="1">IFERROR(__xludf.DUMMYFUNCTION("""COMPUTED_VALUE"""),"RefreshGridData")</f>
        <v>RefreshGridData</v>
      </c>
      <c r="L4" s="19" t="str">
        <f ca="1">IFERROR(__xludf.DUMMYFUNCTION("""COMPUTED_VALUE"""),"SendtoStaging")</f>
        <v>SendtoStaging</v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IFERROR(__xludf.DUMMYFUNCTION("""COMPUTED_VALUE"""),"Side")</f>
        <v>Side</v>
      </c>
      <c r="D5" s="22" t="str">
        <f ca="1">IFERROR(__xludf.DUMMYFUNCTION("""COMPUTED_VALUE"""),"Symbol")</f>
        <v>Symbol</v>
      </c>
      <c r="E5" s="22" t="str">
        <f ca="1">IFERROR(__xludf.DUMMYFUNCTION("""COMPUTED_VALUE"""),"Quantity")</f>
        <v>Quantity</v>
      </c>
      <c r="F5" s="23" t="str">
        <f ca="1">IFERROR(__xludf.DUMMYFUNCTION("""COMPUTED_VALUE"""),"Price")</f>
        <v>Price</v>
      </c>
      <c r="G5" s="22" t="str">
        <f ca="1">IFERROR(__xludf.DUMMYFUNCTION("""COMPUTED_VALUE"""),"Buy/Sell Value")</f>
        <v>Buy/Sell Value</v>
      </c>
      <c r="H5" s="22" t="str">
        <f ca="1">IFERROR(__xludf.DUMMYFUNCTION("""COMPUTED_VALUE"""),"Comments")</f>
        <v>Comments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37" t="s">
        <v>17</v>
      </c>
      <c r="C6" s="38" t="s">
        <v>26</v>
      </c>
      <c r="D6" s="38" t="s">
        <v>25</v>
      </c>
      <c r="E6" s="39">
        <v>52</v>
      </c>
      <c r="F6" s="40">
        <v>10</v>
      </c>
      <c r="G6" s="39">
        <v>520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5">
      <c r="A7" s="5"/>
      <c r="B7" s="41" t="s">
        <v>18</v>
      </c>
      <c r="C7" s="42" t="s">
        <v>26</v>
      </c>
      <c r="D7" s="42" t="s">
        <v>25</v>
      </c>
      <c r="E7" s="43">
        <v>52</v>
      </c>
      <c r="F7" s="44">
        <v>10</v>
      </c>
      <c r="G7" s="43">
        <v>520</v>
      </c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25</v>
      </c>
      <c r="AK6" s="6" t="s">
        <v>42</v>
      </c>
      <c r="AL6" s="6">
        <v>104</v>
      </c>
      <c r="AP6" s="6">
        <v>104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25</v>
      </c>
      <c r="C6" s="7" t="s">
        <v>26</v>
      </c>
      <c r="D6" s="7">
        <v>104</v>
      </c>
      <c r="E6" s="7">
        <v>104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26</v>
      </c>
      <c r="C6" s="7" t="s">
        <v>25</v>
      </c>
      <c r="D6" s="7"/>
      <c r="E6" s="25"/>
      <c r="F6" s="5"/>
      <c r="G6" s="7">
        <v>104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26</v>
      </c>
      <c r="C6" s="7" t="s">
        <v>25</v>
      </c>
      <c r="D6" s="7"/>
      <c r="E6" s="25"/>
      <c r="F6" s="5"/>
      <c r="G6" s="7">
        <v>104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</v>
      </c>
      <c r="C6" s="7">
        <v>104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40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49</v>
      </c>
      <c r="AI6" s="6" t="s">
        <v>25</v>
      </c>
      <c r="AJ6" s="6" t="s">
        <v>26</v>
      </c>
      <c r="AK6" s="6" t="s">
        <v>50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51</v>
      </c>
      <c r="AT6" s="6" t="s">
        <v>52</v>
      </c>
      <c r="AU6" s="6" t="s">
        <v>53</v>
      </c>
      <c r="AV6" s="45">
        <v>1000</v>
      </c>
      <c r="AW6" s="45">
        <v>1000</v>
      </c>
      <c r="AZ6" s="6">
        <v>0</v>
      </c>
    </row>
    <row r="7" spans="1:154" ht="15.75" customHeight="1" x14ac:dyDescent="0.2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H7" s="6" t="s">
        <v>49</v>
      </c>
      <c r="AI7" s="6" t="s">
        <v>25</v>
      </c>
      <c r="AJ7" s="6" t="s">
        <v>26</v>
      </c>
      <c r="AK7" s="6" t="s">
        <v>50</v>
      </c>
      <c r="AL7" s="45">
        <v>1000</v>
      </c>
      <c r="AM7" s="45">
        <v>1000</v>
      </c>
      <c r="AN7" s="6">
        <v>100</v>
      </c>
      <c r="AO7" s="45">
        <v>1000</v>
      </c>
      <c r="AQ7" s="6">
        <v>10</v>
      </c>
      <c r="AR7" s="6">
        <v>10</v>
      </c>
      <c r="AS7" s="6" t="s">
        <v>51</v>
      </c>
      <c r="AT7" s="6" t="s">
        <v>17</v>
      </c>
      <c r="AU7" s="6" t="s">
        <v>53</v>
      </c>
      <c r="AV7" s="45">
        <v>10000</v>
      </c>
      <c r="AW7" s="45">
        <v>10000</v>
      </c>
      <c r="AY7" s="45"/>
      <c r="AZ7" s="6">
        <v>0</v>
      </c>
    </row>
    <row r="8" spans="1:154" ht="15.75" customHeight="1" x14ac:dyDescent="0.2">
      <c r="A8" s="5"/>
      <c r="B8" s="5"/>
      <c r="C8" s="5"/>
      <c r="D8" s="7">
        <v>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H8" s="6" t="s">
        <v>49</v>
      </c>
      <c r="AI8" s="6" t="s">
        <v>25</v>
      </c>
      <c r="AJ8" s="6" t="s">
        <v>26</v>
      </c>
      <c r="AK8" s="6" t="s">
        <v>50</v>
      </c>
      <c r="AL8" s="45">
        <v>1000</v>
      </c>
      <c r="AM8" s="45">
        <v>1000</v>
      </c>
      <c r="AN8" s="6">
        <v>100</v>
      </c>
      <c r="AO8" s="45">
        <v>1000</v>
      </c>
      <c r="AQ8" s="6">
        <v>10</v>
      </c>
      <c r="AR8" s="6">
        <v>10</v>
      </c>
      <c r="AS8" s="6" t="s">
        <v>51</v>
      </c>
      <c r="AT8" s="6" t="s">
        <v>18</v>
      </c>
      <c r="AU8" s="6" t="s">
        <v>53</v>
      </c>
      <c r="AV8" s="45">
        <v>10000</v>
      </c>
      <c r="AW8" s="45">
        <v>10000</v>
      </c>
      <c r="AY8" s="45"/>
      <c r="AZ8" s="6">
        <v>0</v>
      </c>
    </row>
    <row r="9" spans="1:154" ht="15.75" customHeight="1" x14ac:dyDescent="0.2">
      <c r="A9" s="5"/>
      <c r="B9" s="5"/>
      <c r="C9" s="5"/>
      <c r="D9" s="7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AH9" s="6" t="s">
        <v>49</v>
      </c>
      <c r="AI9" s="6" t="s">
        <v>25</v>
      </c>
      <c r="AJ9" s="6" t="s">
        <v>26</v>
      </c>
      <c r="AK9" s="6" t="s">
        <v>50</v>
      </c>
      <c r="AL9" s="6">
        <v>104</v>
      </c>
      <c r="AM9" s="6">
        <v>104</v>
      </c>
      <c r="AN9" s="6">
        <v>100</v>
      </c>
      <c r="AO9" s="6">
        <v>104</v>
      </c>
      <c r="AQ9" s="6">
        <v>10</v>
      </c>
      <c r="AR9" s="6">
        <v>10</v>
      </c>
      <c r="AS9" s="6" t="s">
        <v>51</v>
      </c>
      <c r="AT9" s="6" t="s">
        <v>52</v>
      </c>
      <c r="AU9" s="6" t="s">
        <v>53</v>
      </c>
      <c r="AV9" s="45">
        <v>1040</v>
      </c>
      <c r="AW9" s="45">
        <v>1040</v>
      </c>
      <c r="AZ9" s="6">
        <v>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7" t="s">
        <v>17</v>
      </c>
      <c r="C6" s="5"/>
      <c r="D6" s="7"/>
      <c r="E6" s="46">
        <v>1000</v>
      </c>
      <c r="F6" s="5"/>
      <c r="G6" s="7" t="s">
        <v>49</v>
      </c>
      <c r="H6" s="7">
        <v>4</v>
      </c>
      <c r="I6" s="7">
        <v>5</v>
      </c>
      <c r="J6" s="7">
        <v>1</v>
      </c>
      <c r="K6" s="7">
        <v>10</v>
      </c>
      <c r="L6" s="7">
        <v>10</v>
      </c>
      <c r="M6" s="5"/>
      <c r="N6" s="5"/>
      <c r="O6" s="7" t="s">
        <v>51</v>
      </c>
      <c r="Q6" s="6">
        <v>3</v>
      </c>
      <c r="R6" s="6">
        <v>0</v>
      </c>
      <c r="S6" s="6" t="s">
        <v>57</v>
      </c>
      <c r="T6" s="6">
        <v>0</v>
      </c>
      <c r="Z6" s="6" t="s">
        <v>22</v>
      </c>
      <c r="AE6" s="46">
        <v>1000</v>
      </c>
      <c r="AI6" s="6">
        <v>1</v>
      </c>
      <c r="AT6" s="47">
        <v>10014.0056</v>
      </c>
      <c r="AU6" s="47">
        <v>10014.0056</v>
      </c>
      <c r="AW6" s="6">
        <v>0</v>
      </c>
      <c r="AY6" s="6" t="s">
        <v>53</v>
      </c>
      <c r="AZ6" s="6">
        <v>0</v>
      </c>
      <c r="BC6" s="6">
        <v>0</v>
      </c>
      <c r="BE6" s="46">
        <v>10000</v>
      </c>
      <c r="BF6" s="46">
        <v>10000</v>
      </c>
      <c r="BJ6" s="46">
        <v>1000</v>
      </c>
      <c r="BO6" s="6" t="s">
        <v>26</v>
      </c>
      <c r="BP6" s="6">
        <v>0</v>
      </c>
      <c r="BT6" s="6" t="s">
        <v>25</v>
      </c>
      <c r="BU6" s="6">
        <v>3</v>
      </c>
      <c r="BV6" s="6">
        <v>0</v>
      </c>
      <c r="BX6" s="6">
        <v>0</v>
      </c>
      <c r="CI6" s="48" t="s">
        <v>26</v>
      </c>
      <c r="CJ6" s="6">
        <v>0</v>
      </c>
      <c r="CM6" s="6" t="s">
        <v>25</v>
      </c>
    </row>
    <row r="7" spans="1:154" ht="15.75" customHeight="1" x14ac:dyDescent="0.25">
      <c r="A7" s="5"/>
      <c r="B7" s="7" t="s">
        <v>18</v>
      </c>
      <c r="C7" s="5"/>
      <c r="D7" s="5"/>
      <c r="E7" s="46">
        <v>1000</v>
      </c>
      <c r="F7" s="5"/>
      <c r="G7" s="7" t="s">
        <v>49</v>
      </c>
      <c r="H7" s="7">
        <v>4</v>
      </c>
      <c r="I7" s="7">
        <v>5</v>
      </c>
      <c r="J7" s="7">
        <v>1</v>
      </c>
      <c r="K7" s="7">
        <v>10</v>
      </c>
      <c r="L7" s="7">
        <v>10</v>
      </c>
      <c r="M7" s="5"/>
      <c r="N7" s="5"/>
      <c r="O7" s="7" t="s">
        <v>51</v>
      </c>
      <c r="Q7" s="6">
        <v>3</v>
      </c>
      <c r="R7" s="6">
        <v>0</v>
      </c>
      <c r="S7" s="6" t="s">
        <v>57</v>
      </c>
      <c r="T7" s="6">
        <v>0</v>
      </c>
      <c r="Z7" s="6" t="s">
        <v>22</v>
      </c>
      <c r="AE7" s="46">
        <v>1000</v>
      </c>
      <c r="AI7" s="6">
        <v>1</v>
      </c>
      <c r="AT7" s="47">
        <v>10014.0056</v>
      </c>
      <c r="AU7" s="47">
        <v>10014.0056</v>
      </c>
      <c r="AW7" s="6">
        <v>0</v>
      </c>
      <c r="AY7" s="6" t="s">
        <v>53</v>
      </c>
      <c r="AZ7" s="6">
        <v>0</v>
      </c>
      <c r="BC7" s="6">
        <v>0</v>
      </c>
      <c r="BE7" s="46">
        <v>10000</v>
      </c>
      <c r="BF7" s="46">
        <v>10000</v>
      </c>
      <c r="BJ7" s="46">
        <v>1000</v>
      </c>
      <c r="BO7" s="6" t="s">
        <v>26</v>
      </c>
      <c r="BP7" s="6">
        <v>0</v>
      </c>
      <c r="BT7" s="6" t="s">
        <v>25</v>
      </c>
      <c r="BU7" s="6">
        <v>3</v>
      </c>
      <c r="BV7" s="6">
        <v>0</v>
      </c>
      <c r="BX7" s="6">
        <v>0</v>
      </c>
      <c r="CI7" s="48" t="s">
        <v>26</v>
      </c>
      <c r="CJ7" s="6">
        <v>0</v>
      </c>
      <c r="CM7" s="6" t="s">
        <v>25</v>
      </c>
    </row>
    <row r="8" spans="1:154" ht="15.75" customHeight="1" x14ac:dyDescent="0.25">
      <c r="A8" s="5"/>
      <c r="B8" s="7" t="s">
        <v>52</v>
      </c>
      <c r="C8" s="5"/>
      <c r="D8" s="5"/>
      <c r="E8" s="49">
        <v>100</v>
      </c>
      <c r="F8" s="5"/>
      <c r="G8" s="7" t="s">
        <v>49</v>
      </c>
      <c r="H8" s="7">
        <v>4</v>
      </c>
      <c r="I8" s="7">
        <v>5</v>
      </c>
      <c r="J8" s="7">
        <v>1</v>
      </c>
      <c r="K8" s="7">
        <v>10</v>
      </c>
      <c r="L8" s="7">
        <v>10</v>
      </c>
      <c r="M8" s="5"/>
      <c r="N8" s="5"/>
      <c r="O8" s="7" t="s">
        <v>51</v>
      </c>
      <c r="Q8" s="6">
        <v>2</v>
      </c>
      <c r="R8" s="6">
        <v>0</v>
      </c>
      <c r="S8" s="6" t="s">
        <v>57</v>
      </c>
      <c r="T8" s="6">
        <v>0</v>
      </c>
      <c r="Z8" s="6" t="s">
        <v>22</v>
      </c>
      <c r="AE8" s="49">
        <v>100</v>
      </c>
      <c r="AI8" s="6">
        <v>1</v>
      </c>
      <c r="AT8" s="47">
        <v>1014.0006</v>
      </c>
      <c r="AU8" s="47">
        <v>1014.0006</v>
      </c>
      <c r="AW8" s="6">
        <v>0</v>
      </c>
      <c r="AY8" s="6" t="s">
        <v>53</v>
      </c>
      <c r="AZ8" s="6">
        <v>0</v>
      </c>
      <c r="BC8" s="6">
        <v>0</v>
      </c>
      <c r="BE8" s="49">
        <v>1000</v>
      </c>
      <c r="BF8" s="49">
        <v>1000</v>
      </c>
      <c r="BJ8" s="49">
        <v>100</v>
      </c>
      <c r="BO8" s="6" t="s">
        <v>26</v>
      </c>
      <c r="BP8" s="6">
        <v>0</v>
      </c>
      <c r="BT8" s="6" t="s">
        <v>25</v>
      </c>
      <c r="BU8" s="6">
        <v>3</v>
      </c>
      <c r="BV8" s="6">
        <v>0</v>
      </c>
      <c r="BX8" s="6">
        <v>0</v>
      </c>
      <c r="CI8" s="48" t="s">
        <v>26</v>
      </c>
      <c r="CJ8" s="6">
        <v>0</v>
      </c>
      <c r="CM8" s="6" t="s">
        <v>25</v>
      </c>
    </row>
    <row r="9" spans="1:154" ht="15.75" customHeight="1" x14ac:dyDescent="0.25">
      <c r="A9" s="5"/>
      <c r="B9" s="7" t="s">
        <v>52</v>
      </c>
      <c r="C9" s="5"/>
      <c r="D9" s="5"/>
      <c r="E9" s="49">
        <v>104</v>
      </c>
      <c r="F9" s="5"/>
      <c r="G9" s="7" t="s">
        <v>49</v>
      </c>
      <c r="H9" s="7">
        <v>4</v>
      </c>
      <c r="I9" s="7">
        <v>5</v>
      </c>
      <c r="J9" s="7">
        <v>1</v>
      </c>
      <c r="K9" s="7">
        <v>10</v>
      </c>
      <c r="L9" s="7">
        <v>10</v>
      </c>
      <c r="M9" s="5"/>
      <c r="N9" s="5"/>
      <c r="O9" s="7" t="s">
        <v>51</v>
      </c>
      <c r="Q9" s="6">
        <v>2</v>
      </c>
      <c r="R9" s="6">
        <v>0</v>
      </c>
      <c r="S9" s="6" t="s">
        <v>57</v>
      </c>
      <c r="T9" s="6">
        <v>0</v>
      </c>
      <c r="Z9" s="6" t="s">
        <v>22</v>
      </c>
      <c r="AE9" s="49">
        <v>104</v>
      </c>
      <c r="AI9" s="6">
        <v>1</v>
      </c>
      <c r="AT9" s="47">
        <v>1054.0006000000001</v>
      </c>
      <c r="AU9" s="47">
        <v>1054.0006000000001</v>
      </c>
      <c r="AW9" s="6">
        <v>0</v>
      </c>
      <c r="AY9" s="6" t="s">
        <v>53</v>
      </c>
      <c r="AZ9" s="6">
        <v>0</v>
      </c>
      <c r="BC9" s="6">
        <v>0</v>
      </c>
      <c r="BE9" s="49">
        <v>1040</v>
      </c>
      <c r="BF9" s="49">
        <v>1040</v>
      </c>
      <c r="BJ9" s="49">
        <v>104</v>
      </c>
      <c r="BO9" s="6" t="s">
        <v>26</v>
      </c>
      <c r="BP9" s="6">
        <v>0</v>
      </c>
      <c r="BT9" s="6" t="s">
        <v>25</v>
      </c>
      <c r="BU9" s="6">
        <v>3</v>
      </c>
      <c r="BV9" s="6">
        <v>0</v>
      </c>
      <c r="BX9" s="6">
        <v>0</v>
      </c>
      <c r="CI9" s="48" t="s">
        <v>26</v>
      </c>
      <c r="CJ9" s="6">
        <v>0</v>
      </c>
      <c r="CM9" s="6" t="s">
        <v>25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58</v>
      </c>
      <c r="D3" s="2" t="s">
        <v>9</v>
      </c>
      <c r="E3" s="17" t="s">
        <v>59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63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25</v>
      </c>
      <c r="D6" s="50">
        <v>1000</v>
      </c>
      <c r="E6" s="7" t="s">
        <v>17</v>
      </c>
      <c r="F6" s="5"/>
      <c r="G6" s="7">
        <v>10</v>
      </c>
      <c r="H6" s="7" t="s">
        <v>60</v>
      </c>
      <c r="I6" s="5"/>
      <c r="J6" s="5"/>
      <c r="K6" s="7">
        <v>10000</v>
      </c>
      <c r="L6" s="5"/>
      <c r="M6" s="5"/>
      <c r="N6" s="50">
        <v>0</v>
      </c>
      <c r="O6" s="5"/>
      <c r="Q6" s="50">
        <v>0</v>
      </c>
      <c r="T6" s="6" t="s">
        <v>49</v>
      </c>
      <c r="U6" s="6" t="s">
        <v>61</v>
      </c>
      <c r="W6" s="6" t="s">
        <v>22</v>
      </c>
      <c r="Y6" s="6">
        <v>1</v>
      </c>
      <c r="AB6" s="6">
        <v>0</v>
      </c>
      <c r="AC6" s="6">
        <v>0</v>
      </c>
      <c r="AD6" s="50">
        <v>10000</v>
      </c>
      <c r="AE6" s="50">
        <v>10000</v>
      </c>
      <c r="AF6" s="50">
        <v>1000</v>
      </c>
      <c r="AG6" s="7">
        <v>10000</v>
      </c>
      <c r="AH6" s="50">
        <v>10000</v>
      </c>
      <c r="AI6" s="50">
        <v>10000</v>
      </c>
      <c r="AJ6" s="7"/>
      <c r="AK6" s="6">
        <v>0</v>
      </c>
      <c r="AL6" s="6">
        <v>1</v>
      </c>
      <c r="AM6" s="6">
        <v>1</v>
      </c>
      <c r="AN6" s="6" t="s">
        <v>26</v>
      </c>
      <c r="AP6" s="6" t="s">
        <v>60</v>
      </c>
      <c r="AQ6" s="6" t="s">
        <v>25</v>
      </c>
      <c r="AV6" s="6">
        <v>1</v>
      </c>
      <c r="AW6" s="6">
        <v>0</v>
      </c>
      <c r="AX6" s="6">
        <v>0</v>
      </c>
      <c r="AY6" s="6">
        <v>0</v>
      </c>
      <c r="AZ6" s="7">
        <v>10000</v>
      </c>
      <c r="BA6" s="6">
        <v>0</v>
      </c>
      <c r="BD6" s="7">
        <v>-10000</v>
      </c>
      <c r="BJ6" s="6">
        <v>0</v>
      </c>
      <c r="BK6" s="6">
        <v>0</v>
      </c>
      <c r="BL6" s="6">
        <v>0</v>
      </c>
      <c r="BM6" s="6">
        <v>0</v>
      </c>
      <c r="BP6" s="6">
        <v>0</v>
      </c>
      <c r="BR6" s="6" t="s">
        <v>51</v>
      </c>
      <c r="BS6" s="6">
        <v>0</v>
      </c>
      <c r="BT6" s="6">
        <v>0</v>
      </c>
      <c r="BU6" s="6" t="s">
        <v>49</v>
      </c>
      <c r="BW6" s="6">
        <v>0</v>
      </c>
      <c r="BX6" s="7">
        <v>10000</v>
      </c>
      <c r="BY6" s="7">
        <v>10000</v>
      </c>
      <c r="BZ6" s="6">
        <v>10</v>
      </c>
      <c r="CA6" s="6">
        <v>10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I6" s="6">
        <v>0</v>
      </c>
      <c r="CJ6" s="6">
        <v>0</v>
      </c>
      <c r="DA6" s="50">
        <v>10000</v>
      </c>
      <c r="DE6" s="6">
        <v>0</v>
      </c>
      <c r="DF6" s="6">
        <v>0</v>
      </c>
      <c r="DG6" s="6">
        <v>0</v>
      </c>
      <c r="DJ6" s="6" t="s">
        <v>26</v>
      </c>
      <c r="DM6" s="6">
        <v>1</v>
      </c>
    </row>
    <row r="7" spans="1:167" ht="15.75" customHeight="1" x14ac:dyDescent="0.2">
      <c r="A7" s="5"/>
      <c r="B7" s="5"/>
      <c r="C7" s="7" t="s">
        <v>25</v>
      </c>
      <c r="D7" s="7">
        <v>50</v>
      </c>
      <c r="E7" s="7" t="s">
        <v>17</v>
      </c>
      <c r="F7" s="5"/>
      <c r="G7" s="7">
        <v>10</v>
      </c>
      <c r="H7" s="7" t="s">
        <v>60</v>
      </c>
      <c r="I7" s="5"/>
      <c r="J7" s="5"/>
      <c r="K7" s="7">
        <v>500</v>
      </c>
      <c r="L7" s="5"/>
      <c r="M7" s="5"/>
      <c r="N7" s="50">
        <v>0</v>
      </c>
      <c r="O7" s="5"/>
      <c r="Q7" s="50">
        <v>0</v>
      </c>
      <c r="T7" s="6" t="s">
        <v>49</v>
      </c>
      <c r="U7" s="6" t="s">
        <v>61</v>
      </c>
      <c r="W7" s="6" t="s">
        <v>22</v>
      </c>
      <c r="Y7" s="6">
        <v>1</v>
      </c>
      <c r="AB7" s="6">
        <v>0</v>
      </c>
      <c r="AC7" s="6">
        <v>0</v>
      </c>
      <c r="AD7" s="7">
        <v>500</v>
      </c>
      <c r="AE7" s="7">
        <v>500</v>
      </c>
      <c r="AF7" s="7">
        <v>50</v>
      </c>
      <c r="AG7" s="7">
        <v>500</v>
      </c>
      <c r="AH7" s="7">
        <v>500</v>
      </c>
      <c r="AI7" s="7">
        <v>500</v>
      </c>
      <c r="AJ7" s="7"/>
      <c r="AK7" s="6">
        <v>0</v>
      </c>
      <c r="AL7" s="6">
        <v>1</v>
      </c>
      <c r="AM7" s="6">
        <v>1</v>
      </c>
      <c r="AN7" s="6" t="s">
        <v>26</v>
      </c>
      <c r="AP7" s="6" t="s">
        <v>60</v>
      </c>
      <c r="AQ7" s="6" t="s">
        <v>25</v>
      </c>
      <c r="AV7" s="6">
        <v>1</v>
      </c>
      <c r="AW7" s="6">
        <v>0</v>
      </c>
      <c r="AX7" s="6">
        <v>0</v>
      </c>
      <c r="AY7" s="6">
        <v>0</v>
      </c>
      <c r="AZ7" s="7">
        <v>500</v>
      </c>
      <c r="BA7" s="6">
        <v>0</v>
      </c>
      <c r="BD7" s="7">
        <v>-500</v>
      </c>
      <c r="BJ7" s="6">
        <v>0</v>
      </c>
      <c r="BK7" s="6">
        <v>0</v>
      </c>
      <c r="BL7" s="6">
        <v>0</v>
      </c>
      <c r="BM7" s="6">
        <v>0</v>
      </c>
      <c r="BP7" s="6">
        <v>0</v>
      </c>
      <c r="BR7" s="6" t="s">
        <v>51</v>
      </c>
      <c r="BS7" s="6">
        <v>0</v>
      </c>
      <c r="BT7" s="6">
        <v>0</v>
      </c>
      <c r="BU7" s="6" t="s">
        <v>49</v>
      </c>
      <c r="BW7" s="6">
        <v>0</v>
      </c>
      <c r="BX7" s="7">
        <v>500</v>
      </c>
      <c r="BY7" s="7">
        <v>500</v>
      </c>
      <c r="BZ7" s="6">
        <v>10</v>
      </c>
      <c r="CA7" s="6">
        <v>10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I7" s="6">
        <v>0</v>
      </c>
      <c r="CJ7" s="6">
        <v>0</v>
      </c>
      <c r="DA7" s="7">
        <v>500</v>
      </c>
      <c r="DE7" s="6">
        <v>0</v>
      </c>
      <c r="DF7" s="6">
        <v>0</v>
      </c>
      <c r="DG7" s="6">
        <v>0</v>
      </c>
      <c r="DJ7" s="6" t="s">
        <v>26</v>
      </c>
      <c r="DM7" s="6">
        <v>1</v>
      </c>
    </row>
    <row r="8" spans="1:167" ht="15.75" customHeight="1" x14ac:dyDescent="0.2">
      <c r="A8" s="5"/>
      <c r="B8" s="5"/>
      <c r="C8" s="7" t="s">
        <v>25</v>
      </c>
      <c r="D8" s="7">
        <v>52</v>
      </c>
      <c r="E8" s="7" t="s">
        <v>17</v>
      </c>
      <c r="F8" s="5"/>
      <c r="G8" s="7">
        <v>10</v>
      </c>
      <c r="H8" s="7" t="s">
        <v>60</v>
      </c>
      <c r="I8" s="5"/>
      <c r="J8" s="5"/>
      <c r="K8" s="7">
        <v>520</v>
      </c>
      <c r="L8" s="5"/>
      <c r="M8" s="5"/>
      <c r="N8" s="50">
        <v>0</v>
      </c>
      <c r="O8" s="5"/>
      <c r="Q8" s="50">
        <v>0</v>
      </c>
      <c r="T8" s="6" t="s">
        <v>49</v>
      </c>
      <c r="U8" s="6" t="s">
        <v>61</v>
      </c>
      <c r="W8" s="6" t="s">
        <v>22</v>
      </c>
      <c r="Y8" s="6">
        <v>1</v>
      </c>
      <c r="AB8" s="6">
        <v>0</v>
      </c>
      <c r="AC8" s="6">
        <v>0</v>
      </c>
      <c r="AD8" s="7">
        <v>520</v>
      </c>
      <c r="AE8" s="7">
        <v>520</v>
      </c>
      <c r="AF8" s="7">
        <v>52</v>
      </c>
      <c r="AG8" s="7">
        <v>520</v>
      </c>
      <c r="AH8" s="7">
        <v>520</v>
      </c>
      <c r="AI8" s="7">
        <v>520</v>
      </c>
      <c r="AJ8" s="7"/>
      <c r="AK8" s="6">
        <v>0</v>
      </c>
      <c r="AL8" s="6">
        <v>1</v>
      </c>
      <c r="AM8" s="6">
        <v>1</v>
      </c>
      <c r="AN8" s="6" t="s">
        <v>26</v>
      </c>
      <c r="AP8" s="6" t="s">
        <v>60</v>
      </c>
      <c r="AQ8" s="6" t="s">
        <v>25</v>
      </c>
      <c r="AV8" s="6">
        <v>1</v>
      </c>
      <c r="AW8" s="6">
        <v>0</v>
      </c>
      <c r="AX8" s="6">
        <v>0</v>
      </c>
      <c r="AY8" s="6">
        <v>0</v>
      </c>
      <c r="AZ8" s="7">
        <v>520</v>
      </c>
      <c r="BA8" s="6">
        <v>0</v>
      </c>
      <c r="BD8" s="7">
        <v>-520</v>
      </c>
      <c r="BJ8" s="6">
        <v>0</v>
      </c>
      <c r="BK8" s="6">
        <v>0</v>
      </c>
      <c r="BL8" s="6">
        <v>0</v>
      </c>
      <c r="BM8" s="6">
        <v>0</v>
      </c>
      <c r="BP8" s="6">
        <v>0</v>
      </c>
      <c r="BR8" s="6" t="s">
        <v>51</v>
      </c>
      <c r="BS8" s="6">
        <v>0</v>
      </c>
      <c r="BT8" s="6">
        <v>0</v>
      </c>
      <c r="BU8" s="6" t="s">
        <v>49</v>
      </c>
      <c r="BW8" s="6">
        <v>0</v>
      </c>
      <c r="BX8" s="7">
        <v>520</v>
      </c>
      <c r="BY8" s="7">
        <v>520</v>
      </c>
      <c r="BZ8" s="6">
        <v>10</v>
      </c>
      <c r="CA8" s="6">
        <v>10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I8" s="6">
        <v>0</v>
      </c>
      <c r="CJ8" s="6">
        <v>0</v>
      </c>
      <c r="DA8" s="7">
        <v>520</v>
      </c>
      <c r="DE8" s="6">
        <v>0</v>
      </c>
      <c r="DF8" s="6">
        <v>0</v>
      </c>
      <c r="DG8" s="6">
        <v>0</v>
      </c>
      <c r="DJ8" s="6" t="s">
        <v>26</v>
      </c>
      <c r="DM8" s="6">
        <v>1</v>
      </c>
    </row>
    <row r="9" spans="1:167" ht="15.75" customHeight="1" x14ac:dyDescent="0.2">
      <c r="A9" s="5"/>
      <c r="B9" s="5"/>
      <c r="C9" s="7" t="s">
        <v>25</v>
      </c>
      <c r="D9" s="50">
        <v>1000</v>
      </c>
      <c r="E9" s="7" t="s">
        <v>18</v>
      </c>
      <c r="F9" s="5"/>
      <c r="G9" s="7">
        <v>10</v>
      </c>
      <c r="H9" s="7" t="s">
        <v>60</v>
      </c>
      <c r="I9" s="5"/>
      <c r="J9" s="5"/>
      <c r="K9" s="7">
        <v>10000</v>
      </c>
      <c r="L9" s="5"/>
      <c r="M9" s="5"/>
      <c r="N9" s="50">
        <v>0</v>
      </c>
      <c r="O9" s="5"/>
      <c r="Q9" s="50">
        <v>0</v>
      </c>
      <c r="T9" s="6" t="s">
        <v>49</v>
      </c>
      <c r="U9" s="6" t="s">
        <v>61</v>
      </c>
      <c r="W9" s="6" t="s">
        <v>22</v>
      </c>
      <c r="Y9" s="6">
        <v>1</v>
      </c>
      <c r="AB9" s="6">
        <v>0</v>
      </c>
      <c r="AC9" s="6">
        <v>0</v>
      </c>
      <c r="AD9" s="50">
        <v>10000</v>
      </c>
      <c r="AE9" s="50">
        <v>10000</v>
      </c>
      <c r="AF9" s="50">
        <v>1000</v>
      </c>
      <c r="AG9" s="7">
        <v>10000</v>
      </c>
      <c r="AH9" s="50">
        <v>10000</v>
      </c>
      <c r="AI9" s="50">
        <v>10000</v>
      </c>
      <c r="AJ9" s="7"/>
      <c r="AK9" s="6">
        <v>0</v>
      </c>
      <c r="AL9" s="6">
        <v>1</v>
      </c>
      <c r="AM9" s="6">
        <v>1</v>
      </c>
      <c r="AN9" s="6" t="s">
        <v>26</v>
      </c>
      <c r="AP9" s="6" t="s">
        <v>60</v>
      </c>
      <c r="AQ9" s="6" t="s">
        <v>25</v>
      </c>
      <c r="AV9" s="6">
        <v>1</v>
      </c>
      <c r="AW9" s="6">
        <v>0</v>
      </c>
      <c r="AX9" s="6">
        <v>0</v>
      </c>
      <c r="AY9" s="6">
        <v>0</v>
      </c>
      <c r="AZ9" s="7">
        <v>10000</v>
      </c>
      <c r="BA9" s="6">
        <v>0</v>
      </c>
      <c r="BD9" s="7">
        <v>-10000</v>
      </c>
      <c r="BJ9" s="6">
        <v>0</v>
      </c>
      <c r="BK9" s="6">
        <v>0</v>
      </c>
      <c r="BL9" s="6">
        <v>0</v>
      </c>
      <c r="BM9" s="6">
        <v>0</v>
      </c>
      <c r="BP9" s="6">
        <v>0</v>
      </c>
      <c r="BR9" s="6" t="s">
        <v>51</v>
      </c>
      <c r="BS9" s="6">
        <v>0</v>
      </c>
      <c r="BT9" s="6">
        <v>0</v>
      </c>
      <c r="BU9" s="6" t="s">
        <v>49</v>
      </c>
      <c r="BW9" s="6">
        <v>0</v>
      </c>
      <c r="BX9" s="7">
        <v>10000</v>
      </c>
      <c r="BY9" s="7">
        <v>10000</v>
      </c>
      <c r="BZ9" s="6">
        <v>10</v>
      </c>
      <c r="CA9" s="6">
        <v>10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I9" s="6">
        <v>0</v>
      </c>
      <c r="CJ9" s="6">
        <v>0</v>
      </c>
      <c r="DA9" s="50">
        <v>10000</v>
      </c>
      <c r="DE9" s="6">
        <v>0</v>
      </c>
      <c r="DF9" s="6">
        <v>0</v>
      </c>
      <c r="DG9" s="6">
        <v>0</v>
      </c>
      <c r="DJ9" s="6" t="s">
        <v>26</v>
      </c>
      <c r="DM9" s="6">
        <v>1</v>
      </c>
    </row>
    <row r="10" spans="1:167" ht="15.75" customHeight="1" x14ac:dyDescent="0.2">
      <c r="A10" s="5"/>
      <c r="B10" s="5"/>
      <c r="C10" s="7" t="s">
        <v>25</v>
      </c>
      <c r="D10" s="7">
        <v>50</v>
      </c>
      <c r="E10" s="7" t="s">
        <v>18</v>
      </c>
      <c r="F10" s="5"/>
      <c r="G10" s="7">
        <v>10</v>
      </c>
      <c r="H10" s="7" t="s">
        <v>60</v>
      </c>
      <c r="I10" s="5"/>
      <c r="J10" s="5"/>
      <c r="K10" s="7">
        <v>500</v>
      </c>
      <c r="L10" s="5"/>
      <c r="M10" s="5"/>
      <c r="N10" s="50">
        <v>0</v>
      </c>
      <c r="O10" s="5"/>
      <c r="Q10" s="50">
        <v>0</v>
      </c>
      <c r="T10" s="6" t="s">
        <v>49</v>
      </c>
      <c r="U10" s="6" t="s">
        <v>61</v>
      </c>
      <c r="W10" s="6" t="s">
        <v>22</v>
      </c>
      <c r="Y10" s="6">
        <v>1</v>
      </c>
      <c r="AB10" s="6">
        <v>0</v>
      </c>
      <c r="AC10" s="6">
        <v>0</v>
      </c>
      <c r="AD10" s="7">
        <v>500</v>
      </c>
      <c r="AE10" s="7">
        <v>500</v>
      </c>
      <c r="AF10" s="7">
        <v>50</v>
      </c>
      <c r="AG10" s="7">
        <v>500</v>
      </c>
      <c r="AH10" s="7">
        <v>500</v>
      </c>
      <c r="AI10" s="7">
        <v>500</v>
      </c>
      <c r="AJ10" s="7"/>
      <c r="AK10" s="6">
        <v>0</v>
      </c>
      <c r="AL10" s="6">
        <v>1</v>
      </c>
      <c r="AM10" s="6">
        <v>1</v>
      </c>
      <c r="AN10" s="6" t="s">
        <v>26</v>
      </c>
      <c r="AP10" s="6" t="s">
        <v>60</v>
      </c>
      <c r="AQ10" s="6" t="s">
        <v>25</v>
      </c>
      <c r="AV10" s="6">
        <v>1</v>
      </c>
      <c r="AW10" s="6">
        <v>0</v>
      </c>
      <c r="AX10" s="6">
        <v>0</v>
      </c>
      <c r="AY10" s="6">
        <v>0</v>
      </c>
      <c r="AZ10" s="7">
        <v>500</v>
      </c>
      <c r="BA10" s="6">
        <v>0</v>
      </c>
      <c r="BD10" s="7">
        <v>-500</v>
      </c>
      <c r="BJ10" s="6">
        <v>0</v>
      </c>
      <c r="BK10" s="6">
        <v>0</v>
      </c>
      <c r="BL10" s="6">
        <v>0</v>
      </c>
      <c r="BM10" s="6">
        <v>0</v>
      </c>
      <c r="BP10" s="6">
        <v>0</v>
      </c>
      <c r="BR10" s="6" t="s">
        <v>51</v>
      </c>
      <c r="BS10" s="6">
        <v>0</v>
      </c>
      <c r="BT10" s="6">
        <v>0</v>
      </c>
      <c r="BU10" s="6" t="s">
        <v>49</v>
      </c>
      <c r="BW10" s="6">
        <v>0</v>
      </c>
      <c r="BX10" s="7">
        <v>500</v>
      </c>
      <c r="BY10" s="7">
        <v>500</v>
      </c>
      <c r="BZ10" s="6">
        <v>10</v>
      </c>
      <c r="CA10" s="6">
        <v>10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I10" s="6">
        <v>0</v>
      </c>
      <c r="CJ10" s="6">
        <v>0</v>
      </c>
      <c r="DA10" s="7">
        <v>500</v>
      </c>
      <c r="DE10" s="6">
        <v>0</v>
      </c>
      <c r="DF10" s="6">
        <v>0</v>
      </c>
      <c r="DG10" s="6">
        <v>0</v>
      </c>
      <c r="DJ10" s="6" t="s">
        <v>26</v>
      </c>
      <c r="DM10" s="6">
        <v>1</v>
      </c>
    </row>
    <row r="11" spans="1:167" ht="15.75" customHeight="1" x14ac:dyDescent="0.2">
      <c r="A11" s="5"/>
      <c r="B11" s="5"/>
      <c r="C11" s="7" t="s">
        <v>25</v>
      </c>
      <c r="D11" s="7">
        <v>52</v>
      </c>
      <c r="E11" s="7" t="s">
        <v>18</v>
      </c>
      <c r="F11" s="5"/>
      <c r="G11" s="7">
        <v>10</v>
      </c>
      <c r="H11" s="7" t="s">
        <v>60</v>
      </c>
      <c r="I11" s="5"/>
      <c r="J11" s="5"/>
      <c r="K11" s="7">
        <v>520</v>
      </c>
      <c r="L11" s="5"/>
      <c r="M11" s="5"/>
      <c r="N11" s="50">
        <v>0</v>
      </c>
      <c r="O11" s="5"/>
      <c r="Q11" s="50">
        <v>0</v>
      </c>
      <c r="T11" s="6" t="s">
        <v>49</v>
      </c>
      <c r="U11" s="6" t="s">
        <v>61</v>
      </c>
      <c r="W11" s="6" t="s">
        <v>22</v>
      </c>
      <c r="Y11" s="6">
        <v>1</v>
      </c>
      <c r="AB11" s="6">
        <v>0</v>
      </c>
      <c r="AC11" s="6">
        <v>0</v>
      </c>
      <c r="AD11" s="7">
        <v>520</v>
      </c>
      <c r="AE11" s="7">
        <v>520</v>
      </c>
      <c r="AF11" s="7">
        <v>52</v>
      </c>
      <c r="AG11" s="7">
        <v>520</v>
      </c>
      <c r="AH11" s="7">
        <v>520</v>
      </c>
      <c r="AI11" s="7">
        <v>520</v>
      </c>
      <c r="AJ11" s="7"/>
      <c r="AK11" s="6">
        <v>0</v>
      </c>
      <c r="AL11" s="6">
        <v>1</v>
      </c>
      <c r="AM11" s="6">
        <v>1</v>
      </c>
      <c r="AN11" s="6" t="s">
        <v>26</v>
      </c>
      <c r="AP11" s="6" t="s">
        <v>60</v>
      </c>
      <c r="AQ11" s="6" t="s">
        <v>25</v>
      </c>
      <c r="AV11" s="6">
        <v>1</v>
      </c>
      <c r="AW11" s="6">
        <v>0</v>
      </c>
      <c r="AX11" s="6">
        <v>0</v>
      </c>
      <c r="AY11" s="6">
        <v>0</v>
      </c>
      <c r="AZ11" s="7">
        <v>520</v>
      </c>
      <c r="BA11" s="6">
        <v>0</v>
      </c>
      <c r="BD11" s="7">
        <v>-520</v>
      </c>
      <c r="BJ11" s="6">
        <v>0</v>
      </c>
      <c r="BK11" s="6">
        <v>0</v>
      </c>
      <c r="BL11" s="6">
        <v>0</v>
      </c>
      <c r="BM11" s="6">
        <v>0</v>
      </c>
      <c r="BP11" s="6">
        <v>0</v>
      </c>
      <c r="BR11" s="6" t="s">
        <v>51</v>
      </c>
      <c r="BS11" s="6">
        <v>0</v>
      </c>
      <c r="BT11" s="6">
        <v>0</v>
      </c>
      <c r="BU11" s="6" t="s">
        <v>49</v>
      </c>
      <c r="BW11" s="6">
        <v>0</v>
      </c>
      <c r="BX11" s="7">
        <v>520</v>
      </c>
      <c r="BY11" s="7">
        <v>520</v>
      </c>
      <c r="BZ11" s="6">
        <v>10</v>
      </c>
      <c r="CA11" s="6">
        <v>10</v>
      </c>
      <c r="CB11" s="6" t="s">
        <v>62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I11" s="6">
        <v>0</v>
      </c>
      <c r="CJ11" s="6">
        <v>0</v>
      </c>
      <c r="DA11" s="7">
        <v>520</v>
      </c>
      <c r="DE11" s="6">
        <v>0</v>
      </c>
      <c r="DF11" s="6">
        <v>0</v>
      </c>
      <c r="DG11" s="6">
        <v>0</v>
      </c>
      <c r="DJ11" s="6" t="s">
        <v>26</v>
      </c>
      <c r="DM11" s="6">
        <v>1</v>
      </c>
    </row>
    <row r="12" spans="1:167" ht="15.75" customHeight="1" x14ac:dyDescent="0.2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_Modules</vt:lpstr>
      <vt:lpstr>_Settings</vt:lpstr>
      <vt:lpstr>_MasterData</vt:lpstr>
      <vt:lpstr>SetAutoGroupingPreferences</vt:lpstr>
      <vt:lpstr>SetAutoGroupingAccount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RunRebalance</vt:lpstr>
      <vt:lpstr>SendtoStaging</vt:lpstr>
      <vt:lpstr>TradeNewSubOrder</vt:lpstr>
      <vt:lpstr>CreateLiveOrder</vt:lpstr>
      <vt:lpstr>AcknowledgeTrade</vt:lpstr>
      <vt:lpstr>SelectTrade</vt:lpstr>
      <vt:lpstr>ExecuteTrade</vt:lpstr>
      <vt:lpstr>FetchAccountPositions1</vt:lpstr>
      <vt:lpstr>AddCash1</vt:lpstr>
      <vt:lpstr>RunRebalance1</vt:lpstr>
      <vt:lpstr>SendtoStaging1</vt:lpstr>
      <vt:lpstr>TradeNewSubOrder1</vt:lpstr>
      <vt:lpstr>CreateLiveOrder1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2021-08-04T10:12:53Z</dcterms:modified>
</cp:coreProperties>
</file>