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DailyCash" sheetId="4" r:id="rId6"/>
    <sheet state="visible" name="UpdateMultipleDailyCash" sheetId="5" r:id="rId7"/>
    <sheet state="visible" name="CreateDoneAwayOrder" sheetId="6" r:id="rId8"/>
    <sheet state="visible" name="PricingInput" sheetId="7" r:id="rId9"/>
    <sheet state="visible" name="FetchAccountPositions" sheetId="8" r:id="rId10"/>
    <sheet state="visible" name="AddCash" sheetId="9" r:id="rId11"/>
    <sheet state="visible" name="LockandUnlockGridData" sheetId="10" r:id="rId12"/>
    <sheet state="visible" name="RunRebalance" sheetId="11" r:id="rId13"/>
    <sheet state="visible" name="VerifyGridData" sheetId="12" r:id="rId14"/>
    <sheet state="visible" name="SendtoStaging" sheetId="13" r:id="rId15"/>
    <sheet state="visible" name="VerifyOrder" sheetId="14" r:id="rId16"/>
    <sheet state="visible" name="UpdateRoundLot" sheetId="15" r:id="rId17"/>
  </sheets>
  <definedNames/>
  <calcPr/>
</workbook>
</file>

<file path=xl/sharedStrings.xml><?xml version="1.0" encoding="utf-8"?>
<sst xmlns="http://schemas.openxmlformats.org/spreadsheetml/2006/main" count="215" uniqueCount="56">
  <si>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</si>
  <si>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</si>
  <si>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</si>
  <si>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</si>
  <si>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</si>
  <si>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</si>
  <si>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</si>
  <si>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</si>
  <si>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</si>
  <si>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</si>
  <si>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</si>
  <si>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</si>
  <si>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DailyValuation</t>
  </si>
  <si>
    <t>GetDailyCash</t>
  </si>
  <si>
    <t>Data Format</t>
  </si>
  <si>
    <t>Input Format</t>
  </si>
  <si>
    <t>UpdateMultipleDailyCash</t>
  </si>
  <si>
    <t>Allocation1</t>
  </si>
  <si>
    <t>USD</t>
  </si>
  <si>
    <t>TradingTicket</t>
  </si>
  <si>
    <t>CreateDoneAwayOrder</t>
  </si>
  <si>
    <t>FB</t>
  </si>
  <si>
    <t>Buy</t>
  </si>
  <si>
    <t>MS</t>
  </si>
  <si>
    <t>DY</t>
  </si>
  <si>
    <t>ZAYO</t>
  </si>
  <si>
    <t>Sell</t>
  </si>
  <si>
    <t>LSCC</t>
  </si>
  <si>
    <t>PricingInput</t>
  </si>
  <si>
    <t>Rebalancer</t>
  </si>
  <si>
    <t>FetchAccountPositions</t>
  </si>
  <si>
    <t>Real-Time Positions</t>
  </si>
  <si>
    <t>Account</t>
  </si>
  <si>
    <t>Positions</t>
  </si>
  <si>
    <t>AddCash</t>
  </si>
  <si>
    <t>Impact NAV</t>
  </si>
  <si>
    <t>None</t>
  </si>
  <si>
    <t>LockandUnlockGridData</t>
  </si>
  <si>
    <t>Cash</t>
  </si>
  <si>
    <t>Long</t>
  </si>
  <si>
    <t>RunRebalance</t>
  </si>
  <si>
    <t>Round Down</t>
  </si>
  <si>
    <t>VerifyGridData</t>
  </si>
  <si>
    <t>Equity</t>
  </si>
  <si>
    <t>Short</t>
  </si>
  <si>
    <t>SendtoStaging</t>
  </si>
  <si>
    <t>SellShort</t>
  </si>
  <si>
    <t>Blotter</t>
  </si>
  <si>
    <t>VerifyOrder</t>
  </si>
  <si>
    <t>NASDAQ</t>
  </si>
  <si>
    <t>M</t>
  </si>
  <si>
    <t>Filled</t>
  </si>
  <si>
    <t>New</t>
  </si>
  <si>
    <t>Sell short</t>
  </si>
  <si>
    <t>Admin</t>
  </si>
  <si>
    <t>UpdateRoundLot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</si>
</sst>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  <font>
      <sz val="9.0"/>
      <color rgb="FFFF8000"/>
      <name val="&quot;Segoe UI&quot;"/>
    </font>
    <font>
      <sz val="9.0"/>
      <color rgb="FFFF8000"/>
      <name val="Arial"/>
    </font>
    <font>
      <sz val="9.0"/>
      <color rgb="FF00BFFF"/>
      <name val="&quot;Segoe UI&quot;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</fills>
  <borders count="9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1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5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6" fillId="0" fontId="5" numFmtId="0" xfId="0" applyAlignment="1" applyBorder="1" applyFont="1">
      <alignment horizontal="right" vertical="bottom"/>
    </xf>
    <xf borderId="0" fillId="0" fontId="14" numFmtId="0" xfId="0" applyAlignment="1" applyFont="1">
      <alignment vertical="bottom"/>
    </xf>
    <xf borderId="0" fillId="0" fontId="14" numFmtId="0" xfId="0" applyAlignment="1" applyFont="1">
      <alignment vertical="bottom"/>
    </xf>
    <xf borderId="0" fillId="0" fontId="14" numFmtId="0" xfId="0" applyAlignment="1" applyFont="1">
      <alignment horizontal="right" vertical="bottom"/>
    </xf>
    <xf borderId="0" fillId="0" fontId="14" numFmtId="0" xfId="0" applyAlignment="1" applyFont="1">
      <alignment horizontal="right" readingOrder="0" vertical="bottom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3" xfId="0" applyAlignment="1" applyFont="1" applyNumberFormat="1">
      <alignment horizontal="right" readingOrder="0" shrinkToFit="0" vertical="bottom" wrapText="0"/>
    </xf>
    <xf borderId="0" fillId="0" fontId="14" numFmtId="0" xfId="0" applyAlignment="1" applyFont="1">
      <alignment shrinkToFit="0" vertical="bottom" wrapText="0"/>
    </xf>
    <xf borderId="7" fillId="6" fontId="15" numFmtId="0" xfId="0" applyAlignment="1" applyBorder="1" applyFill="1" applyFont="1">
      <alignment horizontal="right" vertical="top"/>
    </xf>
    <xf borderId="7" fillId="6" fontId="15" numFmtId="0" xfId="0" applyAlignment="1" applyBorder="1" applyFont="1">
      <alignment horizontal="right" vertical="top"/>
    </xf>
    <xf borderId="0" fillId="0" fontId="3" numFmtId="0" xfId="0" applyAlignment="1" applyFont="1">
      <alignment horizontal="right" vertical="bottom"/>
    </xf>
    <xf borderId="7" fillId="7" fontId="15" numFmtId="0" xfId="0" applyAlignment="1" applyBorder="1" applyFill="1" applyFont="1">
      <alignment horizontal="right" vertical="top"/>
    </xf>
    <xf borderId="7" fillId="7" fontId="16" numFmtId="0" xfId="0" applyAlignment="1" applyBorder="1" applyFont="1">
      <alignment horizontal="right" vertical="top"/>
    </xf>
    <xf borderId="8" fillId="6" fontId="15" numFmtId="0" xfId="0" applyAlignment="1" applyBorder="1" applyFont="1">
      <alignment horizontal="right" readingOrder="0" shrinkToFit="0" vertical="top" wrapText="0"/>
    </xf>
    <xf borderId="8" fillId="7" fontId="17" numFmtId="0" xfId="0" applyAlignment="1" applyBorder="1" applyFont="1">
      <alignment horizontal="right" readingOrder="0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>
        <f>Today()-1</f>
        <v>45039</v>
      </c>
      <c r="C6" s="32">
        <f>Today()</f>
        <v>45040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18</v>
      </c>
      <c r="D6" s="34">
        <v>173627.0</v>
      </c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5" t="s">
        <v>21</v>
      </c>
      <c r="C6" s="36" t="s">
        <v>22</v>
      </c>
      <c r="D6" s="34">
        <v>600.0</v>
      </c>
      <c r="E6" s="37">
        <v>600.0</v>
      </c>
      <c r="F6" s="36" t="s">
        <v>17</v>
      </c>
      <c r="G6" s="36" t="s">
        <v>23</v>
      </c>
      <c r="H6" s="36"/>
      <c r="I6" s="36"/>
      <c r="J6" s="37">
        <v>194.32</v>
      </c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6" t="s">
        <v>24</v>
      </c>
      <c r="C7" s="36" t="s">
        <v>22</v>
      </c>
      <c r="D7" s="37">
        <v>100.0</v>
      </c>
      <c r="E7" s="37">
        <v>100.0</v>
      </c>
      <c r="F7" s="36" t="s">
        <v>17</v>
      </c>
      <c r="G7" s="36" t="s">
        <v>23</v>
      </c>
      <c r="H7" s="36"/>
      <c r="I7" s="36"/>
      <c r="J7" s="37">
        <v>94.51</v>
      </c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6"/>
      <c r="B8" s="36" t="s">
        <v>25</v>
      </c>
      <c r="C8" s="36" t="s">
        <v>26</v>
      </c>
      <c r="D8" s="37">
        <v>100.0</v>
      </c>
      <c r="E8" s="37">
        <v>100.0</v>
      </c>
      <c r="F8" s="36" t="s">
        <v>17</v>
      </c>
      <c r="G8" s="36" t="s">
        <v>23</v>
      </c>
      <c r="H8" s="36"/>
      <c r="I8" s="36"/>
      <c r="J8" s="37">
        <v>36.48</v>
      </c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36"/>
      <c r="B9" s="36" t="s">
        <v>27</v>
      </c>
      <c r="C9" s="36" t="s">
        <v>22</v>
      </c>
      <c r="D9" s="37">
        <v>600.0</v>
      </c>
      <c r="E9" s="37">
        <v>600.0</v>
      </c>
      <c r="F9" s="36" t="s">
        <v>17</v>
      </c>
      <c r="G9" s="36" t="s">
        <v>23</v>
      </c>
      <c r="H9" s="36"/>
      <c r="I9" s="36"/>
      <c r="J9" s="37">
        <v>6.56</v>
      </c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5" t="s">
        <v>21</v>
      </c>
      <c r="C6" s="37">
        <v>194.32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6" t="s">
        <v>24</v>
      </c>
      <c r="C7" s="37">
        <v>94.51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6" t="s">
        <v>25</v>
      </c>
      <c r="C8" s="37">
        <v>36.48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6" t="s">
        <v>27</v>
      </c>
      <c r="C9" s="37">
        <v>6.56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5" t="s">
        <v>17</v>
      </c>
      <c r="C6" s="38" t="s">
        <v>31</v>
      </c>
      <c r="D6" s="39" t="s">
        <v>32</v>
      </c>
      <c r="E6" s="40" t="s">
        <v>33</v>
      </c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FetchAccountPositions!$4:$4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1"/>
      <c r="B6" s="42">
        <v>16633.0</v>
      </c>
      <c r="C6" s="40" t="s">
        <v>35</v>
      </c>
      <c r="D6" s="39" t="s">
        <v>36</v>
      </c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AddCash!$4:$4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IFERROR(__xludf.DUMMYFUNCTION("""COMPUTED_VALUE"""),"Lock/Unlock")</f>
        <v>Lock/Unlock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IFERROR(__xludf.DUMMYFUNCTION("""COMPUTED_VALUE"""),"Asset")</f>
        <v>Asset</v>
      </c>
      <c r="F5" s="29" t="str">
        <f>IFERROR(__xludf.DUMMYFUNCTION("""COMPUTED_VALUE"""),"Side")</f>
        <v>Side</v>
      </c>
      <c r="G5" s="28" t="str">
        <f>IFERROR(__xludf.DUMMYFUNCTION("""COMPUTED_VALUE"""),"Price (Local)")</f>
        <v>Price (Local)</v>
      </c>
      <c r="H5" s="28" t="str">
        <f>IFERROR(__xludf.DUMMYFUNCTION("""COMPUTED_VALUE"""),"Price (Base)")</f>
        <v>Price (Base)</v>
      </c>
      <c r="I5" s="28" t="str">
        <f>IFERROR(__xludf.DUMMYFUNCTION("""COMPUTED_VALUE"""),"FX Rate")</f>
        <v>FX Rate</v>
      </c>
      <c r="J5" s="28" t="str">
        <f>IFERROR(__xludf.DUMMYFUNCTION("""COMPUTED_VALUE"""),"Current %")</f>
        <v>Current %</v>
      </c>
      <c r="K5" s="28" t="str">
        <f>IFERROR(__xludf.DUMMYFUNCTION("""COMPUTED_VALUE"""),"Current Position")</f>
        <v>Current Position</v>
      </c>
      <c r="L5" s="28" t="str">
        <f>IFERROR(__xludf.DUMMYFUNCTION("""COMPUTED_VALUE"""),"Current Market Value (Local)")</f>
        <v>Current Market Value (Local)</v>
      </c>
      <c r="M5" s="28" t="str">
        <f>IFERROR(__xludf.DUMMYFUNCTION("""COMPUTED_VALUE"""),"Current Market Value")</f>
        <v>Current Market Value</v>
      </c>
      <c r="N5" s="28" t="str">
        <f>IFERROR(__xludf.DUMMYFUNCTION("""COMPUTED_VALUE"""),"Target %")</f>
        <v>Target %</v>
      </c>
      <c r="O5" s="28" t="str">
        <f>IFERROR(__xludf.DUMMYFUNCTION("""COMPUTED_VALUE"""),"Target Position")</f>
        <v>Target Position</v>
      </c>
      <c r="P5" s="28" t="str">
        <f>IFERROR(__xludf.DUMMYFUNCTION("""COMPUTED_VALUE"""),"Target Market Value (Local)")</f>
        <v>Target Market Value (Local)</v>
      </c>
      <c r="Q5" s="28" t="str">
        <f>IFERROR(__xludf.DUMMYFUNCTION("""COMPUTED_VALUE"""),"Target Market Value")</f>
        <v>Target Market Value</v>
      </c>
      <c r="R5" s="28" t="str">
        <f>IFERROR(__xludf.DUMMYFUNCTION("""COMPUTED_VALUE"""),"Buy/Sell Qty")</f>
        <v>Buy/Sell Qty</v>
      </c>
      <c r="S5" s="28" t="str">
        <f>IFERROR(__xludf.DUMMYFUNCTION("""COMPUTED_VALUE"""),"Buy/Sell Value")</f>
        <v>Buy/Sell Value</v>
      </c>
      <c r="T5" s="30" t="str">
        <f>IFERROR(__xludf.DUMMYFUNCTION("""COMPUTED_VALUE"""),"Sector")</f>
        <v>Sector</v>
      </c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5"/>
      <c r="C6" s="35" t="s">
        <v>17</v>
      </c>
      <c r="D6" s="35" t="s">
        <v>38</v>
      </c>
      <c r="E6" s="43" t="s">
        <v>38</v>
      </c>
      <c r="F6" s="44" t="s">
        <v>39</v>
      </c>
      <c r="G6" s="45">
        <v>1.0</v>
      </c>
      <c r="H6" s="36"/>
      <c r="I6" s="45">
        <v>1.0</v>
      </c>
      <c r="J6" s="36"/>
      <c r="K6" s="46">
        <v>47296.0</v>
      </c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LockandUnlockGridData!$4:$4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41</v>
      </c>
      <c r="C6" s="8"/>
      <c r="D6" s="13" t="b">
        <v>1</v>
      </c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IFERROR(__xludf.DUMMYFUNCTION("""COMPUTED_VALUE"""),"Lock/Unlock")</f>
        <v>Lock/Unlock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IFERROR(__xludf.DUMMYFUNCTION("""COMPUTED_VALUE"""),"Asset")</f>
        <v>Asset</v>
      </c>
      <c r="F5" s="29" t="str">
        <f>IFERROR(__xludf.DUMMYFUNCTION("""COMPUTED_VALUE"""),"Side")</f>
        <v>Side</v>
      </c>
      <c r="G5" s="28" t="str">
        <f>IFERROR(__xludf.DUMMYFUNCTION("""COMPUTED_VALUE"""),"Price (Local)")</f>
        <v>Price (Local)</v>
      </c>
      <c r="H5" s="28" t="str">
        <f>IFERROR(__xludf.DUMMYFUNCTION("""COMPUTED_VALUE"""),"Price (Base)")</f>
        <v>Price (Base)</v>
      </c>
      <c r="I5" s="28" t="str">
        <f>IFERROR(__xludf.DUMMYFUNCTION("""COMPUTED_VALUE"""),"FX Rate")</f>
        <v>FX Rate</v>
      </c>
      <c r="J5" s="28" t="str">
        <f>IFERROR(__xludf.DUMMYFUNCTION("""COMPUTED_VALUE"""),"Current %")</f>
        <v>Current %</v>
      </c>
      <c r="K5" s="28" t="str">
        <f>IFERROR(__xludf.DUMMYFUNCTION("""COMPUTED_VALUE"""),"Current Position")</f>
        <v>Current Position</v>
      </c>
      <c r="L5" s="28" t="str">
        <f>IFERROR(__xludf.DUMMYFUNCTION("""COMPUTED_VALUE"""),"Current Market Value (Local)")</f>
        <v>Current Market Value (Local)</v>
      </c>
      <c r="M5" s="28" t="str">
        <f>IFERROR(__xludf.DUMMYFUNCTION("""COMPUTED_VALUE"""),"Current Market Value")</f>
        <v>Current Market Value</v>
      </c>
      <c r="N5" s="28" t="str">
        <f>IFERROR(__xludf.DUMMYFUNCTION("""COMPUTED_VALUE"""),"Target %")</f>
        <v>Target %</v>
      </c>
      <c r="O5" s="28" t="str">
        <f>IFERROR(__xludf.DUMMYFUNCTION("""COMPUTED_VALUE"""),"Target Position")</f>
        <v>Target Position</v>
      </c>
      <c r="P5" s="28" t="str">
        <f>IFERROR(__xludf.DUMMYFUNCTION("""COMPUTED_VALUE"""),"Target Market Value (Local)")</f>
        <v>Target Market Value (Local)</v>
      </c>
      <c r="Q5" s="28" t="str">
        <f>IFERROR(__xludf.DUMMYFUNCTION("""COMPUTED_VALUE"""),"Target Market Value")</f>
        <v>Target Market Value</v>
      </c>
      <c r="R5" s="28" t="str">
        <f>IFERROR(__xludf.DUMMYFUNCTION("""COMPUTED_VALUE"""),"Buy/Sell Qty")</f>
        <v>Buy/Sell Qty</v>
      </c>
      <c r="S5" s="28" t="str">
        <f>IFERROR(__xludf.DUMMYFUNCTION("""COMPUTED_VALUE"""),"Buy/Sell Value")</f>
        <v>Buy/Sell Value</v>
      </c>
      <c r="T5" s="30" t="str">
        <f>IFERROR(__xludf.DUMMYFUNCTION("""COMPUTED_VALUE"""),"Sector")</f>
        <v>Sector</v>
      </c>
      <c r="U5" s="30" t="str">
        <f>IFERROR(__xludf.DUMMYFUNCTION("""COMPUTED_VALUE"""),"FactSet Symbol")</f>
        <v>FactSet Symbol</v>
      </c>
      <c r="V5" s="30" t="str">
        <f>IFERROR(__xludf.DUMMYFUNCTION("""COMPUTED_VALUE"""),"ACTIV Symbol")</f>
        <v>ACTIV Symbol</v>
      </c>
      <c r="W5" s="30" t="str">
        <f>IFERROR(__xludf.DUMMYFUNCTION("""COMPUTED_VALUE"""),"Round Lot")</f>
        <v>Round Lot</v>
      </c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47" t="s">
        <v>17</v>
      </c>
      <c r="D6" s="47" t="s">
        <v>24</v>
      </c>
      <c r="E6" s="47" t="s">
        <v>43</v>
      </c>
      <c r="F6" s="47" t="s">
        <v>39</v>
      </c>
      <c r="G6" s="48">
        <v>94.51</v>
      </c>
      <c r="H6" s="8"/>
      <c r="I6" s="48">
        <v>1.0</v>
      </c>
      <c r="J6" s="8"/>
      <c r="K6" s="48">
        <v>100.0</v>
      </c>
      <c r="L6" s="8"/>
      <c r="M6" s="8"/>
      <c r="N6" s="8"/>
      <c r="O6" s="48">
        <v>110.0</v>
      </c>
      <c r="R6" s="48">
        <v>10.0</v>
      </c>
      <c r="S6" s="48">
        <v>945.0</v>
      </c>
      <c r="W6" s="48">
        <v>10.0</v>
      </c>
    </row>
    <row r="7" ht="15.75" customHeight="1">
      <c r="A7" s="8"/>
      <c r="B7" s="8"/>
      <c r="C7" s="47" t="s">
        <v>17</v>
      </c>
      <c r="D7" s="47" t="s">
        <v>21</v>
      </c>
      <c r="E7" s="47" t="s">
        <v>43</v>
      </c>
      <c r="F7" s="47" t="s">
        <v>39</v>
      </c>
      <c r="G7" s="48">
        <v>194.32</v>
      </c>
      <c r="H7" s="8"/>
      <c r="I7" s="48">
        <v>1.0</v>
      </c>
      <c r="J7" s="8"/>
      <c r="K7" s="48">
        <v>600.0</v>
      </c>
      <c r="L7" s="8"/>
      <c r="M7" s="8"/>
      <c r="N7" s="8"/>
      <c r="O7" s="48">
        <v>600.0</v>
      </c>
      <c r="R7" s="48">
        <v>0.0</v>
      </c>
      <c r="S7" s="48">
        <v>0.0</v>
      </c>
      <c r="W7" s="48">
        <v>100.0</v>
      </c>
    </row>
    <row r="8" ht="15.75" customHeight="1">
      <c r="A8" s="8"/>
      <c r="B8" s="8"/>
      <c r="C8" s="47" t="s">
        <v>17</v>
      </c>
      <c r="D8" s="47" t="s">
        <v>27</v>
      </c>
      <c r="E8" s="47" t="s">
        <v>43</v>
      </c>
      <c r="F8" s="47" t="s">
        <v>39</v>
      </c>
      <c r="G8" s="48">
        <v>6.56</v>
      </c>
      <c r="H8" s="8"/>
      <c r="I8" s="48">
        <v>1.0</v>
      </c>
      <c r="J8" s="8"/>
      <c r="K8" s="48">
        <v>600.0</v>
      </c>
      <c r="L8" s="8"/>
      <c r="M8" s="8"/>
      <c r="N8" s="8"/>
      <c r="O8" s="48">
        <v>650.0</v>
      </c>
      <c r="R8" s="48">
        <v>50.0</v>
      </c>
      <c r="S8" s="48">
        <v>328.0</v>
      </c>
      <c r="W8" s="48">
        <v>50.0</v>
      </c>
    </row>
    <row r="9" ht="15.75" customHeight="1">
      <c r="A9" s="8"/>
      <c r="B9" s="8"/>
      <c r="C9" s="47" t="s">
        <v>17</v>
      </c>
      <c r="D9" s="47" t="s">
        <v>25</v>
      </c>
      <c r="E9" s="47" t="s">
        <v>43</v>
      </c>
      <c r="F9" s="47" t="s">
        <v>44</v>
      </c>
      <c r="G9" s="48">
        <v>36.48</v>
      </c>
      <c r="H9" s="8"/>
      <c r="I9" s="48">
        <v>1.0</v>
      </c>
      <c r="J9" s="8"/>
      <c r="K9" s="48">
        <v>100.0</v>
      </c>
      <c r="L9" s="8"/>
      <c r="M9" s="8"/>
      <c r="N9" s="8"/>
      <c r="O9" s="48">
        <v>110.0</v>
      </c>
      <c r="R9" s="48">
        <v>10.0</v>
      </c>
      <c r="S9" s="48">
        <v>-365.0</v>
      </c>
      <c r="W9" s="48">
        <v>5.0</v>
      </c>
    </row>
    <row r="10" ht="15.75" customHeight="1">
      <c r="A10" s="8"/>
      <c r="B10" s="8"/>
      <c r="C10" s="47" t="s">
        <v>17</v>
      </c>
      <c r="D10" s="47" t="s">
        <v>38</v>
      </c>
      <c r="E10" s="47" t="s">
        <v>38</v>
      </c>
      <c r="F10" s="47" t="s">
        <v>39</v>
      </c>
      <c r="G10" s="48">
        <v>1.0</v>
      </c>
      <c r="H10" s="8"/>
      <c r="I10" s="48">
        <v>1.0</v>
      </c>
      <c r="J10" s="8"/>
      <c r="K10" s="48">
        <v>47296.0</v>
      </c>
      <c r="L10" s="8"/>
      <c r="M10" s="8"/>
      <c r="N10" s="8"/>
      <c r="O10" s="48">
        <v>63020.0</v>
      </c>
      <c r="R10" s="48">
        <v>15724.0</v>
      </c>
      <c r="S10" s="49">
        <v>15724.0</v>
      </c>
      <c r="W10" s="48">
        <v>1.0</v>
      </c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VerifyGridData!$4:$4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7" t="s">
        <v>17</v>
      </c>
      <c r="C6" s="47" t="s">
        <v>22</v>
      </c>
      <c r="D6" s="47" t="s">
        <v>24</v>
      </c>
      <c r="E6" s="48">
        <v>10.0</v>
      </c>
      <c r="F6" s="48">
        <v>94.51</v>
      </c>
      <c r="G6" s="48">
        <v>945.0</v>
      </c>
      <c r="H6" s="50"/>
      <c r="I6" s="8"/>
      <c r="J6" s="8"/>
      <c r="K6" s="8"/>
      <c r="L6" s="8"/>
      <c r="M6" s="8"/>
      <c r="N6" s="8"/>
      <c r="O6" s="8"/>
    </row>
    <row r="7" ht="15.75" customHeight="1">
      <c r="A7" s="8"/>
      <c r="B7" s="47" t="s">
        <v>17</v>
      </c>
      <c r="C7" s="47" t="s">
        <v>22</v>
      </c>
      <c r="D7" s="47" t="s">
        <v>27</v>
      </c>
      <c r="E7" s="48">
        <v>50.0</v>
      </c>
      <c r="F7" s="48">
        <v>6.56</v>
      </c>
      <c r="G7" s="48">
        <v>328.0</v>
      </c>
      <c r="H7" s="50"/>
      <c r="I7" s="8"/>
      <c r="J7" s="8"/>
      <c r="K7" s="8"/>
      <c r="L7" s="8"/>
      <c r="M7" s="8"/>
      <c r="N7" s="8"/>
      <c r="O7" s="8"/>
    </row>
    <row r="8" ht="15.75" customHeight="1">
      <c r="A8" s="8"/>
      <c r="B8" s="47" t="s">
        <v>17</v>
      </c>
      <c r="C8" s="47" t="s">
        <v>46</v>
      </c>
      <c r="D8" s="47" t="s">
        <v>25</v>
      </c>
      <c r="E8" s="48">
        <v>10.0</v>
      </c>
      <c r="F8" s="48">
        <v>36.48</v>
      </c>
      <c r="G8" s="48">
        <v>-365.0</v>
      </c>
      <c r="H8" s="50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SendtoStaging!$4:$4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47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5"/>
      <c r="C6" s="38"/>
      <c r="D6" s="51">
        <v>94.51</v>
      </c>
      <c r="E6" s="36"/>
      <c r="F6" s="36"/>
      <c r="G6" s="38"/>
      <c r="H6" s="52" t="s">
        <v>49</v>
      </c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53">
        <v>1.0</v>
      </c>
      <c r="AE6" s="36"/>
      <c r="AF6" s="36" t="s">
        <v>50</v>
      </c>
      <c r="AG6" s="36"/>
      <c r="AH6" s="38" t="s">
        <v>43</v>
      </c>
      <c r="AI6" s="52" t="s">
        <v>24</v>
      </c>
      <c r="AJ6" s="52" t="s">
        <v>22</v>
      </c>
      <c r="AK6" s="52" t="s">
        <v>51</v>
      </c>
      <c r="AL6" s="52">
        <v>100.0</v>
      </c>
      <c r="AM6" s="36"/>
      <c r="AN6" s="36"/>
      <c r="AO6" s="36"/>
      <c r="AP6" s="36"/>
      <c r="AQ6" s="36"/>
      <c r="AR6" s="38"/>
      <c r="AS6" s="52" t="s">
        <v>23</v>
      </c>
      <c r="AT6" s="52" t="s">
        <v>17</v>
      </c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6"/>
      <c r="C7" s="38"/>
      <c r="D7" s="54">
        <v>36.48</v>
      </c>
      <c r="E7" s="36"/>
      <c r="F7" s="36"/>
      <c r="G7" s="38"/>
      <c r="H7" s="52" t="s">
        <v>49</v>
      </c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53">
        <v>1.0</v>
      </c>
      <c r="AE7" s="36"/>
      <c r="AF7" s="36" t="s">
        <v>50</v>
      </c>
      <c r="AG7" s="36"/>
      <c r="AH7" s="38" t="s">
        <v>43</v>
      </c>
      <c r="AI7" s="54" t="s">
        <v>25</v>
      </c>
      <c r="AJ7" s="55" t="s">
        <v>26</v>
      </c>
      <c r="AK7" s="54" t="s">
        <v>51</v>
      </c>
      <c r="AL7" s="54">
        <v>100.0</v>
      </c>
      <c r="AM7" s="36"/>
      <c r="AN7" s="36"/>
      <c r="AO7" s="36"/>
      <c r="AP7" s="36"/>
      <c r="AQ7" s="36"/>
      <c r="AR7" s="38"/>
      <c r="AS7" s="52" t="s">
        <v>23</v>
      </c>
      <c r="AT7" s="52" t="s">
        <v>17</v>
      </c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6"/>
      <c r="B8" s="36"/>
      <c r="C8" s="38"/>
      <c r="D8" s="52">
        <v>194.32</v>
      </c>
      <c r="E8" s="36"/>
      <c r="F8" s="36"/>
      <c r="G8" s="36"/>
      <c r="H8" s="54" t="s">
        <v>49</v>
      </c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53">
        <v>1.0</v>
      </c>
      <c r="AE8" s="36"/>
      <c r="AF8" s="36" t="s">
        <v>50</v>
      </c>
      <c r="AG8" s="36"/>
      <c r="AH8" s="38" t="s">
        <v>43</v>
      </c>
      <c r="AI8" s="52" t="s">
        <v>21</v>
      </c>
      <c r="AJ8" s="52" t="s">
        <v>22</v>
      </c>
      <c r="AK8" s="52" t="s">
        <v>51</v>
      </c>
      <c r="AL8" s="52">
        <v>600.0</v>
      </c>
      <c r="AM8" s="36"/>
      <c r="AN8" s="36"/>
      <c r="AO8" s="36"/>
      <c r="AP8" s="36"/>
      <c r="AQ8" s="36"/>
      <c r="AR8" s="36"/>
      <c r="AS8" s="54" t="s">
        <v>23</v>
      </c>
      <c r="AT8" s="54" t="s">
        <v>17</v>
      </c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36"/>
      <c r="B9" s="36"/>
      <c r="C9" s="38"/>
      <c r="D9" s="54">
        <v>6.56</v>
      </c>
      <c r="E9" s="36"/>
      <c r="F9" s="36"/>
      <c r="G9" s="36"/>
      <c r="H9" s="54" t="s">
        <v>49</v>
      </c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53">
        <v>1.0</v>
      </c>
      <c r="AE9" s="36"/>
      <c r="AF9" s="36" t="s">
        <v>50</v>
      </c>
      <c r="AG9" s="36"/>
      <c r="AH9" s="38" t="s">
        <v>43</v>
      </c>
      <c r="AI9" s="54" t="s">
        <v>27</v>
      </c>
      <c r="AJ9" s="54" t="s">
        <v>22</v>
      </c>
      <c r="AK9" s="54" t="s">
        <v>51</v>
      </c>
      <c r="AL9" s="54">
        <v>600.0</v>
      </c>
      <c r="AM9" s="36"/>
      <c r="AN9" s="36"/>
      <c r="AO9" s="36"/>
      <c r="AP9" s="36"/>
      <c r="AQ9" s="36"/>
      <c r="AR9" s="36"/>
      <c r="AS9" s="54" t="s">
        <v>23</v>
      </c>
      <c r="AT9" s="54" t="s">
        <v>17</v>
      </c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36"/>
      <c r="B10" s="36"/>
      <c r="C10" s="38"/>
      <c r="D10" s="56">
        <v>94.51</v>
      </c>
      <c r="E10" s="36"/>
      <c r="F10" s="36"/>
      <c r="G10" s="36"/>
      <c r="H10" s="54" t="s">
        <v>49</v>
      </c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53">
        <v>1.0</v>
      </c>
      <c r="AE10" s="36"/>
      <c r="AF10" s="36" t="s">
        <v>50</v>
      </c>
      <c r="AG10" s="36"/>
      <c r="AH10" s="38" t="s">
        <v>43</v>
      </c>
      <c r="AI10" s="56" t="s">
        <v>24</v>
      </c>
      <c r="AJ10" s="56" t="s">
        <v>22</v>
      </c>
      <c r="AK10" s="38" t="s">
        <v>52</v>
      </c>
      <c r="AL10" s="56">
        <v>10.0</v>
      </c>
      <c r="AM10" s="36"/>
      <c r="AN10" s="36"/>
      <c r="AO10" s="36"/>
      <c r="AP10" s="36"/>
      <c r="AQ10" s="36"/>
      <c r="AR10" s="36"/>
      <c r="AS10" s="54" t="s">
        <v>23</v>
      </c>
      <c r="AT10" s="54" t="s">
        <v>17</v>
      </c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  <c r="BH10" s="36"/>
      <c r="BI10" s="36"/>
      <c r="BJ10" s="36"/>
      <c r="BK10" s="36"/>
      <c r="BL10" s="36"/>
      <c r="BM10" s="36"/>
      <c r="BN10" s="36"/>
      <c r="BO10" s="36"/>
      <c r="BP10" s="36"/>
      <c r="BQ10" s="36"/>
      <c r="BR10" s="36"/>
      <c r="BS10" s="36"/>
      <c r="BT10" s="36"/>
      <c r="BU10" s="36"/>
      <c r="BV10" s="36"/>
      <c r="BW10" s="36"/>
      <c r="BX10" s="36"/>
      <c r="BY10" s="36"/>
      <c r="BZ10" s="36"/>
      <c r="CA10" s="36"/>
      <c r="CB10" s="36"/>
      <c r="CC10" s="36"/>
      <c r="CD10" s="36"/>
      <c r="CE10" s="36"/>
      <c r="CF10" s="36"/>
      <c r="CG10" s="36"/>
      <c r="CH10" s="36"/>
      <c r="CI10" s="36"/>
      <c r="CJ10" s="36"/>
      <c r="CK10" s="36"/>
      <c r="CL10" s="36"/>
      <c r="CM10" s="36"/>
      <c r="CN10" s="36"/>
      <c r="CO10" s="36"/>
      <c r="CP10" s="36"/>
      <c r="CQ10" s="36"/>
      <c r="CR10" s="36"/>
      <c r="CS10" s="36"/>
      <c r="CT10" s="36"/>
      <c r="CU10" s="36"/>
      <c r="CV10" s="36"/>
      <c r="CW10" s="36"/>
      <c r="CX10" s="36"/>
      <c r="CY10" s="36"/>
      <c r="CZ10" s="36"/>
      <c r="DA10" s="36"/>
      <c r="DB10" s="36"/>
      <c r="DC10" s="36"/>
      <c r="DD10" s="36"/>
      <c r="DE10" s="36"/>
      <c r="DF10" s="36"/>
      <c r="DG10" s="36"/>
      <c r="DH10" s="36"/>
      <c r="DI10" s="36"/>
      <c r="DJ10" s="36"/>
      <c r="DK10" s="36"/>
      <c r="DL10" s="36"/>
      <c r="DM10" s="36"/>
      <c r="DN10" s="36"/>
      <c r="DO10" s="36"/>
      <c r="DP10" s="36"/>
      <c r="DQ10" s="36"/>
      <c r="DR10" s="36"/>
      <c r="DS10" s="36"/>
      <c r="DT10" s="36"/>
      <c r="DU10" s="36"/>
      <c r="DV10" s="36"/>
      <c r="DW10" s="36"/>
      <c r="DX10" s="36"/>
      <c r="DY10" s="36"/>
      <c r="DZ10" s="36"/>
      <c r="EA10" s="36"/>
      <c r="EB10" s="36"/>
      <c r="EC10" s="36"/>
      <c r="ED10" s="36"/>
      <c r="EE10" s="36"/>
      <c r="EF10" s="36"/>
      <c r="EG10" s="36"/>
      <c r="EH10" s="36"/>
      <c r="EI10" s="36"/>
      <c r="EJ10" s="36"/>
      <c r="EK10" s="36"/>
      <c r="EL10" s="36"/>
      <c r="EM10" s="36"/>
      <c r="EN10" s="36"/>
      <c r="EO10" s="36"/>
      <c r="EP10" s="36"/>
      <c r="EQ10" s="36"/>
      <c r="ER10" s="36"/>
      <c r="ES10" s="36"/>
      <c r="ET10" s="36"/>
      <c r="EU10" s="36"/>
      <c r="EV10" s="36"/>
      <c r="EW10" s="36"/>
      <c r="EX10" s="36"/>
    </row>
    <row r="11" ht="15.75" customHeight="1">
      <c r="A11" s="36"/>
      <c r="B11" s="36"/>
      <c r="C11" s="38"/>
      <c r="D11" s="57">
        <v>36.48</v>
      </c>
      <c r="E11" s="36"/>
      <c r="F11" s="36"/>
      <c r="G11" s="36"/>
      <c r="H11" s="54" t="s">
        <v>49</v>
      </c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53">
        <v>1.0</v>
      </c>
      <c r="AE11" s="36"/>
      <c r="AF11" s="36" t="s">
        <v>50</v>
      </c>
      <c r="AG11" s="36"/>
      <c r="AH11" s="38" t="s">
        <v>43</v>
      </c>
      <c r="AI11" s="57" t="s">
        <v>25</v>
      </c>
      <c r="AJ11" s="57" t="s">
        <v>53</v>
      </c>
      <c r="AK11" s="38" t="s">
        <v>52</v>
      </c>
      <c r="AL11" s="57">
        <v>10.0</v>
      </c>
      <c r="AM11" s="36"/>
      <c r="AN11" s="36"/>
      <c r="AO11" s="36"/>
      <c r="AP11" s="36"/>
      <c r="AQ11" s="36"/>
      <c r="AR11" s="36"/>
      <c r="AS11" s="54" t="s">
        <v>23</v>
      </c>
      <c r="AT11" s="54" t="s">
        <v>17</v>
      </c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6"/>
      <c r="BF11" s="36"/>
      <c r="BG11" s="36"/>
      <c r="BH11" s="36"/>
      <c r="BI11" s="36"/>
      <c r="BJ11" s="36"/>
      <c r="BK11" s="36"/>
      <c r="BL11" s="36"/>
      <c r="BM11" s="36"/>
      <c r="BN11" s="36"/>
      <c r="BO11" s="36"/>
      <c r="BP11" s="36"/>
      <c r="BQ11" s="36"/>
      <c r="BR11" s="36"/>
      <c r="BS11" s="36"/>
      <c r="BT11" s="36"/>
      <c r="BU11" s="36"/>
      <c r="BV11" s="36"/>
      <c r="BW11" s="36"/>
      <c r="BX11" s="36"/>
      <c r="BY11" s="36"/>
      <c r="BZ11" s="36"/>
      <c r="CA11" s="36"/>
      <c r="CB11" s="36"/>
      <c r="CC11" s="36"/>
      <c r="CD11" s="36"/>
      <c r="CE11" s="36"/>
      <c r="CF11" s="36"/>
      <c r="CG11" s="36"/>
      <c r="CH11" s="36"/>
      <c r="CI11" s="36"/>
      <c r="CJ11" s="36"/>
      <c r="CK11" s="36"/>
      <c r="CL11" s="36"/>
      <c r="CM11" s="36"/>
      <c r="CN11" s="36"/>
      <c r="CO11" s="36"/>
      <c r="CP11" s="36"/>
      <c r="CQ11" s="36"/>
      <c r="CR11" s="36"/>
      <c r="CS11" s="36"/>
      <c r="CT11" s="36"/>
      <c r="CU11" s="36"/>
      <c r="CV11" s="36"/>
      <c r="CW11" s="36"/>
      <c r="CX11" s="36"/>
      <c r="CY11" s="36"/>
      <c r="CZ11" s="36"/>
      <c r="DA11" s="36"/>
      <c r="DB11" s="36"/>
      <c r="DC11" s="36"/>
      <c r="DD11" s="36"/>
      <c r="DE11" s="36"/>
      <c r="DF11" s="36"/>
      <c r="DG11" s="36"/>
      <c r="DH11" s="36"/>
      <c r="DI11" s="36"/>
      <c r="DJ11" s="36"/>
      <c r="DK11" s="36"/>
      <c r="DL11" s="36"/>
      <c r="DM11" s="36"/>
      <c r="DN11" s="36"/>
      <c r="DO11" s="36"/>
      <c r="DP11" s="36"/>
      <c r="DQ11" s="36"/>
      <c r="DR11" s="36"/>
      <c r="DS11" s="36"/>
      <c r="DT11" s="36"/>
      <c r="DU11" s="36"/>
      <c r="DV11" s="36"/>
      <c r="DW11" s="36"/>
      <c r="DX11" s="36"/>
      <c r="DY11" s="36"/>
      <c r="DZ11" s="36"/>
      <c r="EA11" s="36"/>
      <c r="EB11" s="36"/>
      <c r="EC11" s="36"/>
      <c r="ED11" s="36"/>
      <c r="EE11" s="36"/>
      <c r="EF11" s="36"/>
      <c r="EG11" s="36"/>
      <c r="EH11" s="36"/>
      <c r="EI11" s="36"/>
      <c r="EJ11" s="36"/>
      <c r="EK11" s="36"/>
      <c r="EL11" s="36"/>
      <c r="EM11" s="36"/>
      <c r="EN11" s="36"/>
      <c r="EO11" s="36"/>
      <c r="EP11" s="36"/>
      <c r="EQ11" s="36"/>
      <c r="ER11" s="36"/>
      <c r="ES11" s="36"/>
      <c r="ET11" s="36"/>
      <c r="EU11" s="36"/>
      <c r="EV11" s="36"/>
      <c r="EW11" s="36"/>
      <c r="EX11" s="36"/>
    </row>
    <row r="12" ht="15.75" customHeight="1">
      <c r="A12" s="8"/>
      <c r="B12" s="8"/>
      <c r="C12" s="8"/>
      <c r="D12" s="56">
        <v>6.56</v>
      </c>
      <c r="E12" s="8"/>
      <c r="F12" s="8"/>
      <c r="G12" s="8"/>
      <c r="H12" s="54" t="s">
        <v>49</v>
      </c>
      <c r="I12" s="8"/>
      <c r="J12" s="8"/>
      <c r="K12" s="8"/>
      <c r="L12" s="8"/>
      <c r="M12" s="8"/>
      <c r="N12" s="8"/>
      <c r="O12" s="8"/>
      <c r="AD12" s="9">
        <v>1.0</v>
      </c>
      <c r="AF12" s="9" t="s">
        <v>50</v>
      </c>
      <c r="AH12" s="38" t="s">
        <v>43</v>
      </c>
      <c r="AI12" s="56" t="s">
        <v>27</v>
      </c>
      <c r="AJ12" s="56" t="s">
        <v>22</v>
      </c>
      <c r="AK12" s="38" t="s">
        <v>52</v>
      </c>
      <c r="AL12" s="56">
        <v>50.0</v>
      </c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54</v>
      </c>
      <c r="D3" s="5" t="s">
        <v>9</v>
      </c>
      <c r="E3" s="23" t="s">
        <v>55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 Update")</f>
        <v>Symbol Update</v>
      </c>
      <c r="C5" s="28" t="str">
        <f>IFERROR(__xludf.DUMMYFUNCTION("""COMPUTED_VALUE"""),"RoundLot")</f>
        <v>RoundLot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13">
        <v>100.0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24</v>
      </c>
      <c r="C7" s="13">
        <v>10.0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25</v>
      </c>
      <c r="C8" s="13">
        <v>5.0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3" t="s">
        <v>27</v>
      </c>
      <c r="C9" s="13">
        <v>50.0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UpdateRoundLot!$4:$4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