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SelectTradeOnOrderGrid" sheetId="6" r:id="rId8"/>
    <sheet state="visible" name="ReplaceSubOrder" sheetId="7" r:id="rId9"/>
    <sheet state="visible" name="CreateReplaceOrder" sheetId="8" r:id="rId10"/>
    <sheet state="visible" name="CancelSubOrder" sheetId="9" r:id="rId11"/>
  </sheets>
  <definedNames/>
  <calcPr/>
</workbook>
</file>

<file path=xl/sharedStrings.xml><?xml version="1.0" encoding="utf-8"?>
<sst xmlns="http://schemas.openxmlformats.org/spreadsheetml/2006/main" count="75" uniqueCount="29">
  <si>
    <t>Modules Info</t>
  </si>
  <si>
    <t>Master Data Info</t>
  </si>
  <si>
    <t>Settings</t>
  </si>
  <si>
    <t>Modules</t>
  </si>
  <si>
    <t>Module</t>
  </si>
  <si>
    <t>Module Step Setting File</t>
  </si>
  <si>
    <t>1BICZ_GcMhh_S937ZinFvSYqvvKYtOYB2Bc4woEPpgPg</t>
  </si>
  <si>
    <t>Master Data Settings File</t>
  </si>
  <si>
    <t>Step</t>
  </si>
  <si>
    <t>1hEhI9rg16D4Xvfk19pDaFUFF78jjfIG29BBaNg8kT0A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</si>
  <si>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</si>
  <si>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</si>
  <si>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</si>
  <si>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</si>
  <si>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</si>
  <si>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</si>
  <si>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</si>
  <si>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</si>
  <si>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</si>
  <si>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MS</t>
  </si>
  <si>
    <t>Simulator</t>
  </si>
  <si>
    <t>AcknowledgeTrade</t>
  </si>
  <si>
    <t>Blotter</t>
  </si>
  <si>
    <t>SelectTradeOnOrderGrid</t>
  </si>
  <si>
    <t>New</t>
  </si>
  <si>
    <t>ReplaceSubOrder</t>
  </si>
  <si>
    <t>CreateReplaceOrder</t>
  </si>
  <si>
    <t>CancelSubOrder</t>
  </si>
  <si>
    <t>Repalced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</si>
</sst>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9"/>
      <c r="C3" s="11"/>
      <c r="D3" s="11"/>
      <c r="E3" s="11"/>
      <c r="F3" s="11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2</v>
      </c>
      <c r="B1" s="3"/>
      <c r="C1" s="5"/>
    </row>
    <row r="2" ht="15.75" customHeight="1">
      <c r="A2" s="7"/>
      <c r="B2" s="7"/>
      <c r="C2" s="7"/>
    </row>
    <row r="3" ht="15.75" customHeight="1">
      <c r="A3" s="8" t="s">
        <v>5</v>
      </c>
      <c r="B3" s="10" t="s">
        <v>6</v>
      </c>
      <c r="C3" s="7"/>
    </row>
    <row r="4" ht="15.75" customHeight="1">
      <c r="A4" s="12" t="s">
        <v>7</v>
      </c>
      <c r="B4" s="10" t="s">
        <v>9</v>
      </c>
      <c r="C4" s="7"/>
    </row>
    <row r="5" ht="15.75" customHeight="1">
      <c r="A5" s="14"/>
      <c r="B5" s="7"/>
      <c r="C5" s="7"/>
    </row>
    <row r="6" ht="15.75" customHeight="1">
      <c r="A6" s="14"/>
      <c r="B6" s="7"/>
      <c r="C6" s="7"/>
    </row>
    <row r="7" ht="15.75" customHeight="1">
      <c r="A7" s="14"/>
      <c r="B7" s="7"/>
      <c r="C7" s="7"/>
    </row>
    <row r="8" ht="15.75" customHeight="1">
      <c r="A8" s="14"/>
      <c r="B8" s="7"/>
      <c r="C8" s="7"/>
    </row>
    <row r="9" ht="15.75" customHeight="1">
      <c r="A9" s="14"/>
      <c r="B9" s="7"/>
      <c r="C9" s="7"/>
    </row>
    <row r="10" ht="15.75" customHeight="1">
      <c r="A10" s="14"/>
      <c r="B10" s="7"/>
      <c r="C10" s="7"/>
    </row>
    <row r="11" ht="15.75" customHeight="1">
      <c r="A11" s="14"/>
      <c r="B11" s="7"/>
      <c r="C11" s="7"/>
    </row>
    <row r="12" ht="15.75" customHeight="1">
      <c r="A12" s="14"/>
      <c r="B12" s="7"/>
      <c r="C12" s="7"/>
    </row>
    <row r="13" ht="15.75" customHeight="1">
      <c r="A13" s="14"/>
      <c r="B13" s="7"/>
      <c r="C13" s="7"/>
    </row>
    <row r="14" ht="15.75" customHeight="1">
      <c r="A14" s="14"/>
      <c r="B14" s="7"/>
      <c r="C14" s="7"/>
    </row>
    <row r="15" ht="15.75" customHeight="1">
      <c r="A15" s="14"/>
      <c r="B15" s="7"/>
      <c r="C15" s="7"/>
    </row>
    <row r="16" ht="15.75" customHeight="1">
      <c r="A16" s="14"/>
      <c r="B16" s="7"/>
      <c r="C16" s="7"/>
    </row>
    <row r="17" ht="15.75" customHeight="1">
      <c r="A17" s="14"/>
      <c r="B17" s="7"/>
      <c r="C17" s="7"/>
    </row>
    <row r="18" ht="15.75" customHeight="1">
      <c r="A18" s="14"/>
      <c r="B18" s="7"/>
      <c r="C18" s="7"/>
    </row>
    <row r="19" ht="15.75" customHeight="1">
      <c r="A19" s="14"/>
      <c r="B19" s="7"/>
      <c r="C19" s="7"/>
    </row>
    <row r="20" ht="15.75" customHeight="1">
      <c r="A20" s="14"/>
      <c r="B20" s="7"/>
      <c r="C20" s="7"/>
    </row>
    <row r="21" ht="15.75" customHeight="1">
      <c r="A21" s="14"/>
      <c r="B21" s="7"/>
      <c r="C21" s="7"/>
    </row>
    <row r="22" ht="15.75" customHeight="1">
      <c r="A22" s="14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12" t="s">
        <v>4</v>
      </c>
      <c r="B3" s="13" t="s">
        <v>8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8</v>
      </c>
      <c r="E3" s="21" t="s">
        <v>13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0" t="s">
        <v>16</v>
      </c>
      <c r="C6" s="10" t="s">
        <v>17</v>
      </c>
      <c r="D6" s="10">
        <v>500.0</v>
      </c>
      <c r="E6" s="7"/>
      <c r="F6" s="10" t="s">
        <v>18</v>
      </c>
      <c r="G6" s="10" t="s">
        <v>19</v>
      </c>
      <c r="H6" s="7"/>
      <c r="I6" s="7"/>
      <c r="J6" s="10">
        <v>99.0</v>
      </c>
      <c r="K6" s="7"/>
      <c r="L6" s="7"/>
      <c r="M6" s="7"/>
      <c r="N6" s="29">
        <f>Today()</f>
        <v>43712</v>
      </c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20</v>
      </c>
      <c r="D3" s="8" t="s">
        <v>8</v>
      </c>
      <c r="E3" s="21" t="s">
        <v>21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IFERROR(__xludf.DUMMYFUNCTION("""COMPUTED_VALUE"""),"Side")</f>
        <v>Side</v>
      </c>
      <c r="C5" s="26" t="str">
        <f>IFERROR(__xludf.DUMMYFUNCTION("""COMPUTED_VALUE"""),"Symbol")</f>
        <v>Symbol</v>
      </c>
      <c r="D5" s="26" t="str">
        <f>IFERROR(__xludf.DUMMYFUNCTION("""COMPUTED_VALUE"""),"Order Type")</f>
        <v>Order Type</v>
      </c>
      <c r="E5" s="26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26" t="str">
        <f>IFERROR(__xludf.DUMMYFUNCTION("""COMPUTED_VALUE"""),"Quantity")</f>
        <v>Quantity</v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0" t="s">
        <v>17</v>
      </c>
      <c r="C6" s="10" t="s">
        <v>16</v>
      </c>
      <c r="D6" s="7"/>
      <c r="E6" s="7"/>
      <c r="F6" s="7"/>
      <c r="G6" s="10">
        <v>500.0</v>
      </c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22</v>
      </c>
      <c r="D3" s="8" t="s">
        <v>8</v>
      </c>
      <c r="E3" s="21" t="s">
        <v>23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IFERROR(__xludf.DUMMYFUNCTION("""COMPUTED_VALUE"""),"Avg Fill Price (Base)")</f>
        <v>Avg Fill Price (Base)</v>
      </c>
      <c r="C5" s="26" t="str">
        <f>IFERROR(__xludf.DUMMYFUNCTION("""COMPUTED_VALUE"""),"Transaction Time")</f>
        <v>Transaction Time</v>
      </c>
      <c r="D5" s="26" t="str">
        <f>IFERROR(__xludf.DUMMYFUNCTION("""COMPUTED_VALUE"""),"Symbol")</f>
        <v>Symbol</v>
      </c>
      <c r="E5" s="26" t="str">
        <f>IFERROR(__xludf.DUMMYFUNCTION("""COMPUTED_VALUE"""),"Algo")</f>
        <v>Algo</v>
      </c>
      <c r="F5" s="27" t="str">
        <f>IFERROR(__xludf.DUMMYFUNCTION("""COMPUTED_VALUE"""),"Side")</f>
        <v>Side</v>
      </c>
      <c r="G5" s="26" t="str">
        <f>IFERROR(__xludf.DUMMYFUNCTION("""COMPUTED_VALUE"""),"Status")</f>
        <v>Status</v>
      </c>
      <c r="H5" s="26" t="str">
        <f>IFERROR(__xludf.DUMMYFUNCTION("""COMPUTED_VALUE"""),"Quantity")</f>
        <v>Quantity</v>
      </c>
      <c r="I5" s="26" t="str">
        <f>IFERROR(__xludf.DUMMYFUNCTION("""COMPUTED_VALUE"""),"Executed Qty")</f>
        <v>Executed Qty</v>
      </c>
      <c r="J5" s="26" t="str">
        <f>IFERROR(__xludf.DUMMYFUNCTION("""COMPUTED_VALUE"""),"% Executed")</f>
        <v>% Executed</v>
      </c>
      <c r="K5" s="26" t="str">
        <f>IFERROR(__xludf.DUMMYFUNCTION("""COMPUTED_VALUE"""),"Day Executed Qty")</f>
        <v>Day Executed Qty</v>
      </c>
      <c r="L5" s="26" t="str">
        <f>IFERROR(__xludf.DUMMYFUNCTION("""COMPUTED_VALUE"""),"Remaining Qty")</f>
        <v>Remaining Qty</v>
      </c>
      <c r="M5" s="26" t="str">
        <f>IFERROR(__xludf.DUMMYFUNCTION("""COMPUTED_VALUE"""),"Limit Price")</f>
        <v>Limit Price</v>
      </c>
      <c r="N5" s="26" t="str">
        <f>IFERROR(__xludf.DUMMYFUNCTION("""COMPUTED_VALUE"""),"Last Fill Price (Local)")</f>
        <v>Last Fill Price (Local)</v>
      </c>
      <c r="O5" s="26" t="str">
        <f>IFERROR(__xludf.DUMMYFUNCTION("""COMPUTED_VALUE"""),"Stop Price")</f>
        <v>Stop Price</v>
      </c>
      <c r="P5" s="26" t="str">
        <f>IFERROR(__xludf.DUMMYFUNCTION("""COMPUTED_VALUE"""),"Avg Fill Price (Local)")</f>
        <v>Avg Fill Price (Local)</v>
      </c>
      <c r="Q5" s="26" t="str">
        <f>IFERROR(__xludf.DUMMYFUNCTION("""COMPUTED_VALUE"""),"Broker")</f>
        <v>Broker</v>
      </c>
      <c r="R5" s="26" t="str">
        <f>IFERROR(__xludf.DUMMYFUNCTION("""COMPUTED_VALUE"""),"Account")</f>
        <v>Account</v>
      </c>
      <c r="S5" s="26" t="str">
        <f>IFERROR(__xludf.DUMMYFUNCTION("""COMPUTED_VALUE"""),"OrderID")</f>
        <v>OrderID</v>
      </c>
      <c r="T5" s="28" t="str">
        <f>IFERROR(__xludf.DUMMYFUNCTION("""COMPUTED_VALUE"""),"Order Type")</f>
        <v>Order Type</v>
      </c>
      <c r="U5" s="28" t="str">
        <f>IFERROR(__xludf.DUMMYFUNCTION("""COMPUTED_VALUE"""),"Principal Amount (Local)")</f>
        <v>Principal Amount (Local)</v>
      </c>
      <c r="V5" s="28" t="str">
        <f>IFERROR(__xludf.DUMMYFUNCTION("""COMPUTED_VALUE"""),"Principal Amount (Base)")</f>
        <v>Principal Amount (Base)</v>
      </c>
      <c r="W5" s="28" t="str">
        <f>IFERROR(__xludf.DUMMYFUNCTION("""COMPUTED_VALUE"""),"Peg")</f>
        <v>Peg</v>
      </c>
      <c r="X5" s="28" t="str">
        <f>IFERROR(__xludf.DUMMYFUNCTION("""COMPUTED_VALUE"""),"ParentClOrderID")</f>
        <v>ParentClOrderID</v>
      </c>
      <c r="Y5" s="28" t="str">
        <f>IFERROR(__xludf.DUMMYFUNCTION("""COMPUTED_VALUE"""),"Strike Price")</f>
        <v>Strike Price</v>
      </c>
      <c r="Z5" s="28" t="str">
        <f>IFERROR(__xludf.DUMMYFUNCTION("""COMPUTED_VALUE"""),"Last Shares")</f>
        <v>Last Shares</v>
      </c>
      <c r="AA5" s="28" t="str">
        <f>IFERROR(__xludf.DUMMYFUNCTION("""COMPUTED_VALUE"""),"Working Qty")</f>
        <v>Working Qty</v>
      </c>
      <c r="AB5" s="28" t="str">
        <f>IFERROR(__xludf.DUMMYFUNCTION("""COMPUTED_VALUE"""),"Bloomberg Symbol")</f>
        <v>Bloomberg Symbol</v>
      </c>
      <c r="AC5" s="28" t="str">
        <f>IFERROR(__xludf.DUMMYFUNCTION("""COMPUTED_VALUE"""),"Imported File Name")</f>
        <v>Imported File Name</v>
      </c>
      <c r="AD5" s="28" t="str">
        <f>IFERROR(__xludf.DUMMYFUNCTION("""COMPUTED_VALUE"""),"Master Fund")</f>
        <v>Master Fund</v>
      </c>
      <c r="AE5" s="28" t="str">
        <f>IFERROR(__xludf.DUMMYFUNCTION("""COMPUTED_VALUE"""),"Day Average Price")</f>
        <v>Day Average Price</v>
      </c>
      <c r="AF5" s="28" t="str">
        <f>IFERROR(__xludf.DUMMYFUNCTION("""COMPUTED_VALUE"""),"Asset Class")</f>
        <v>Asset Class</v>
      </c>
      <c r="AG5" s="28" t="str">
        <f>IFERROR(__xludf.DUMMYFUNCTION("""COMPUTED_VALUE"""),"Underlying Country")</f>
        <v>Underlying Country</v>
      </c>
      <c r="AH5" s="28" t="str">
        <f>IFERROR(__xludf.DUMMYFUNCTION("""COMPUTED_VALUE"""),"Trader")</f>
        <v>Trader</v>
      </c>
      <c r="AI5" s="28" t="str">
        <f>IFERROR(__xludf.DUMMYFUNCTION("""COMPUTED_VALUE"""),"User")</f>
        <v>User</v>
      </c>
      <c r="AJ5" s="28" t="str">
        <f>IFERROR(__xludf.DUMMYFUNCTION("""COMPUTED_VALUE"""),"Venue")</f>
        <v>Venue</v>
      </c>
      <c r="AK5" s="28" t="str">
        <f>IFERROR(__xludf.DUMMYFUNCTION("""COMPUTED_VALUE"""),"Settlement Currency")</f>
        <v>Settlement Currency</v>
      </c>
      <c r="AL5" s="28" t="str">
        <f>IFERROR(__xludf.DUMMYFUNCTION("""COMPUTED_VALUE"""),"FX Conversion Operator")</f>
        <v>FX Conversion Operator</v>
      </c>
      <c r="AM5" s="28" t="str">
        <f>IFERROR(__xludf.DUMMYFUNCTION("""COMPUTED_VALUE"""),"Process Date")</f>
        <v>Process Date</v>
      </c>
      <c r="AN5" s="28" t="str">
        <f>IFERROR(__xludf.DUMMYFUNCTION("""COMPUTED_VALUE"""),"Underlying Symbol")</f>
        <v>Underlying Symbol</v>
      </c>
      <c r="AO5" s="28" t="str">
        <f>IFERROR(__xludf.DUMMYFUNCTION("""COMPUTED_VALUE"""),"Put/Call")</f>
        <v>Put/Call</v>
      </c>
      <c r="AP5" s="28" t="str">
        <f>IFERROR(__xludf.DUMMYFUNCTION("""COMPUTED_VALUE"""),"FX Rate")</f>
        <v>FX Rate</v>
      </c>
      <c r="AQ5" s="28" t="str">
        <f>IFERROR(__xludf.DUMMYFUNCTION("""COMPUTED_VALUE"""),"Trade Attribute 1")</f>
        <v>Trade Attribute 1</v>
      </c>
      <c r="AR5" s="28" t="str">
        <f>IFERROR(__xludf.DUMMYFUNCTION("""COMPUTED_VALUE"""),"Trade Attribute 2")</f>
        <v>Trade Attribute 2</v>
      </c>
      <c r="AS5" s="28" t="str">
        <f>IFERROR(__xludf.DUMMYFUNCTION("""COMPUTED_VALUE"""),"Trade Attribute 3")</f>
        <v>Trade Attribute 3</v>
      </c>
      <c r="AT5" s="28" t="str">
        <f>IFERROR(__xludf.DUMMYFUNCTION("""COMPUTED_VALUE"""),"Trade Attribute 4")</f>
        <v>Trade Attribute 4</v>
      </c>
      <c r="AU5" s="28" t="str">
        <f>IFERROR(__xludf.DUMMYFUNCTION("""COMPUTED_VALUE"""),"Trade Attribute 5")</f>
        <v>Trade Attribute 5</v>
      </c>
      <c r="AV5" s="28" t="str">
        <f>IFERROR(__xludf.DUMMYFUNCTION("""COMPUTED_VALUE"""),"Trade Attribute 6")</f>
        <v>Trade Attribute 6</v>
      </c>
      <c r="AW5" s="28" t="str">
        <f>IFERROR(__xludf.DUMMYFUNCTION("""COMPUTED_VALUE"""),"Internal Comments")</f>
        <v>Internal Comments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10" t="s">
        <v>16</v>
      </c>
      <c r="E6" s="7"/>
      <c r="F6" s="10" t="s">
        <v>17</v>
      </c>
      <c r="G6" s="10" t="s">
        <v>24</v>
      </c>
      <c r="H6" s="10">
        <v>500.0</v>
      </c>
      <c r="I6" s="7"/>
      <c r="J6" s="7"/>
      <c r="K6" s="7"/>
      <c r="L6" s="7"/>
      <c r="M6" s="7"/>
      <c r="N6" s="7"/>
      <c r="O6" s="7"/>
      <c r="R6" s="30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22</v>
      </c>
      <c r="D3" s="8" t="s">
        <v>8</v>
      </c>
      <c r="E3" s="21" t="s">
        <v>25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1")</f>
        <v>Trade Attribute 1</v>
      </c>
      <c r="N5" s="26" t="str">
        <f>IFERROR(__xludf.DUMMYFUNCTION("""COMPUTED_VALUE"""),"Trade Attribute 2")</f>
        <v>Trade Attribute 2</v>
      </c>
      <c r="O5" s="26" t="str">
        <f>IFERROR(__xludf.DUMMYFUNCTION("""COMPUTED_VALUE"""),"Trade Attribute 3")</f>
        <v>Trade Attribute 3</v>
      </c>
      <c r="P5" s="26" t="str">
        <f>IFERROR(__xludf.DUMMYFUNCTION("""COMPUTED_VALUE"""),"Trade Attribute 4")</f>
        <v>Trade Attribute 4</v>
      </c>
      <c r="Q5" s="26" t="str">
        <f>IFERROR(__xludf.DUMMYFUNCTION("""COMPUTED_VALUE"""),"Trade Attribute 5")</f>
        <v>Trade Attribute 5</v>
      </c>
      <c r="R5" s="26" t="str">
        <f>IFERROR(__xludf.DUMMYFUNCTION("""COMPUTED_VALUE"""),"Trade Attribute 6")</f>
        <v>Trade Attribute 6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FxRate Operator")</f>
        <v>Settlement FxRate Operator</v>
      </c>
      <c r="V5" s="28" t="str">
        <f>IFERROR(__xludf.DUMMYFUNCTION("""COMPUTED_VALUE"""),"Settlement Currency")</f>
        <v>Settlement Currency</v>
      </c>
      <c r="W5" s="28" t="str">
        <f>IFERROR(__xludf.DUMMYFUNCTION("""COMPUTED_VALUE"""),"Put/Call")</f>
        <v>Put/Call</v>
      </c>
      <c r="X5" s="28" t="str">
        <f>IFERROR(__xludf.DUMMYFUNCTION("""COMPUTED_VALUE"""),"Process Date")</f>
        <v>Process Date</v>
      </c>
      <c r="Y5" s="28" t="str">
        <f>IFERROR(__xludf.DUMMYFUNCTION("""COMPUTED_VALUE"""),"Peg")</f>
        <v>Peg</v>
      </c>
      <c r="Z5" s="28" t="str">
        <f>IFERROR(__xludf.DUMMYFUNCTION("""COMPUTED_VALUE"""),"ParentClOrderID")</f>
        <v>ParentClOrderID</v>
      </c>
      <c r="AA5" s="28" t="str">
        <f>IFERROR(__xludf.DUMMYFUNCTION("""COMPUTED_VALUE"""),"OrderID")</f>
        <v>OrderID</v>
      </c>
      <c r="AB5" s="28" t="str">
        <f>IFERROR(__xludf.DUMMYFUNCTION("""COMPUTED_VALUE"""),"Master Fund")</f>
        <v>Master Fund</v>
      </c>
      <c r="AC5" s="28" t="str">
        <f>IFERROR(__xludf.DUMMYFUNCTION("""COMPUTED_VALUE"""),"Last Shares")</f>
        <v>Last Shares</v>
      </c>
      <c r="AD5" s="28" t="str">
        <f>IFERROR(__xludf.DUMMYFUNCTION("""COMPUTED_VALUE"""),"Internal Comments")</f>
        <v>Internal Comments</v>
      </c>
      <c r="AE5" s="28" t="str">
        <f>IFERROR(__xludf.DUMMYFUNCTION("""COMPUTED_VALUE"""),"FX Rate")</f>
        <v>FX Rate</v>
      </c>
      <c r="AF5" s="28" t="str">
        <f>IFERROR(__xludf.DUMMYFUNCTION("""COMPUTED_VALUE"""),"Imported File Name")</f>
        <v>Imported File Name</v>
      </c>
      <c r="AG5" s="28" t="str">
        <f>IFERROR(__xludf.DUMMYFUNCTION("""COMPUTED_VALUE"""),"FX Conversion Operator")</f>
        <v>FX Conversion Operator</v>
      </c>
      <c r="AH5" s="28" t="str">
        <f>IFERROR(__xludf.DUMMYFUNCTION("""COMPUTED_VALUE"""),"Day Average Price")</f>
        <v>Day Average Price</v>
      </c>
      <c r="AI5" s="28" t="str">
        <f>IFERROR(__xludf.DUMMYFUNCTION("""COMPUTED_VALUE"""),"Asset Class")</f>
        <v>Asset Class</v>
      </c>
      <c r="AJ5" s="28" t="str">
        <f>IFERROR(__xludf.DUMMYFUNCTION("""COMPUTED_VALUE"""),"Symbol")</f>
        <v>Symbol</v>
      </c>
      <c r="AK5" s="28" t="str">
        <f>IFERROR(__xludf.DUMMYFUNCTION("""COMPUTED_VALUE"""),"Side")</f>
        <v>Side</v>
      </c>
      <c r="AL5" s="28" t="str">
        <f>IFERROR(__xludf.DUMMYFUNCTION("""COMPUTED_VALUE"""),"Status")</f>
        <v>Status</v>
      </c>
      <c r="AM5" s="28" t="str">
        <f>IFERROR(__xludf.DUMMYFUNCTION("""COMPUTED_VALUE"""),"Quantity")</f>
        <v>Quantity</v>
      </c>
      <c r="AN5" s="28" t="str">
        <f>IFERROR(__xludf.DUMMYFUNCTION("""COMPUTED_VALUE"""),"Executed Qty")</f>
        <v>Executed Qty</v>
      </c>
      <c r="AO5" s="28" t="str">
        <f>IFERROR(__xludf.DUMMYFUNCTION("""COMPUTED_VALUE"""),"% Executed")</f>
        <v>% Executed</v>
      </c>
      <c r="AP5" s="28" t="str">
        <f>IFERROR(__xludf.DUMMYFUNCTION("""COMPUTED_VALUE"""),"Day Executed Qty")</f>
        <v>Day Executed Qty</v>
      </c>
      <c r="AQ5" s="28" t="str">
        <f>IFERROR(__xludf.DUMMYFUNCTION("""COMPUTED_VALUE"""),"Remaining Qty")</f>
        <v>Remaining Qty</v>
      </c>
      <c r="AR5" s="28" t="str">
        <f>IFERROR(__xludf.DUMMYFUNCTION("""COMPUTED_VALUE"""),"Last Fill Price (Local)")</f>
        <v>Last Fill Price (Local)</v>
      </c>
      <c r="AS5" s="28" t="str">
        <f>IFERROR(__xludf.DUMMYFUNCTION("""COMPUTED_VALUE"""),"Avg Fill Price (Local)")</f>
        <v>Avg Fill Price (Local)</v>
      </c>
      <c r="AT5" s="28" t="str">
        <f>IFERROR(__xludf.DUMMYFUNCTION("""COMPUTED_VALUE"""),"Broker")</f>
        <v>Broker</v>
      </c>
      <c r="AU5" s="28" t="str">
        <f>IFERROR(__xludf.DUMMYFUNCTION("""COMPUTED_VALUE"""),"Account")</f>
        <v>Account</v>
      </c>
      <c r="AV5" s="28" t="str">
        <f>IFERROR(__xludf.DUMMYFUNCTION("""COMPUTED_VALUE"""),"Order Type")</f>
        <v>Order Type</v>
      </c>
      <c r="AW5" s="28" t="str">
        <f>IFERROR(__xludf.DUMMYFUNCTION("""COMPUTED_VALUE"""),"Principal Amount (Local)")</f>
        <v>Principal Amount (Local)</v>
      </c>
      <c r="AX5" s="28" t="str">
        <f>IFERROR(__xludf.DUMMYFUNCTION("""COMPUTED_VALUE"""),"Principal Amount (Base)")</f>
        <v>Principal Amount (Base)</v>
      </c>
      <c r="AY5" s="28" t="str">
        <f>IFERROR(__xludf.DUMMYFUNCTION("""COMPUTED_VALUE"""),"Settlement FxRate")</f>
        <v>Settlement FxRate</v>
      </c>
      <c r="AZ5" s="28" t="str">
        <f>IFERROR(__xludf.DUMMYFUNCTION("""COMPUTED_VALUE"""),"Settlement Price")</f>
        <v>Settlement Price</v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AJ6" s="30" t="s">
        <v>16</v>
      </c>
      <c r="AK6" s="30" t="s">
        <v>17</v>
      </c>
      <c r="AL6" s="30" t="s">
        <v>24</v>
      </c>
      <c r="AM6" s="30">
        <v>500.0</v>
      </c>
      <c r="AU6" s="30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8</v>
      </c>
      <c r="E3" s="21" t="s">
        <v>26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0" t="s">
        <v>16</v>
      </c>
      <c r="C6" s="10" t="s">
        <v>17</v>
      </c>
      <c r="D6" s="10">
        <v>800.0</v>
      </c>
      <c r="E6" s="7"/>
      <c r="F6" s="10" t="s">
        <v>18</v>
      </c>
      <c r="G6" s="10" t="s">
        <v>19</v>
      </c>
      <c r="H6" s="7"/>
      <c r="I6" s="7"/>
      <c r="J6" s="10">
        <v>99.0</v>
      </c>
      <c r="K6" s="7"/>
      <c r="L6" s="7"/>
      <c r="M6" s="7"/>
      <c r="N6" s="29">
        <f>Today()</f>
        <v>43712</v>
      </c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22</v>
      </c>
      <c r="D3" s="8" t="s">
        <v>8</v>
      </c>
      <c r="E3" s="21" t="s">
        <v>27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1")</f>
        <v>Trade Attribute 1</v>
      </c>
      <c r="N5" s="26" t="str">
        <f>IFERROR(__xludf.DUMMYFUNCTION("""COMPUTED_VALUE"""),"Trade Attribute 2")</f>
        <v>Trade Attribute 2</v>
      </c>
      <c r="O5" s="26" t="str">
        <f>IFERROR(__xludf.DUMMYFUNCTION("""COMPUTED_VALUE"""),"Trade Attribute 3")</f>
        <v>Trade Attribute 3</v>
      </c>
      <c r="P5" s="26" t="str">
        <f>IFERROR(__xludf.DUMMYFUNCTION("""COMPUTED_VALUE"""),"Trade Attribute 4")</f>
        <v>Trade Attribute 4</v>
      </c>
      <c r="Q5" s="26" t="str">
        <f>IFERROR(__xludf.DUMMYFUNCTION("""COMPUTED_VALUE"""),"Trade Attribute 5")</f>
        <v>Trade Attribute 5</v>
      </c>
      <c r="R5" s="26" t="str">
        <f>IFERROR(__xludf.DUMMYFUNCTION("""COMPUTED_VALUE"""),"Trade Attribute 6")</f>
        <v>Trade Attribute 6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IFERROR(__xludf.DUMMYFUNCTION("""COMPUTED_VALUE"""),"Quantity")</f>
        <v>Quantity</v>
      </c>
      <c r="AM5" s="28" t="str">
        <f>IFERROR(__xludf.DUMMYFUNCTION("""COMPUTED_VALUE"""),"Executed Qty")</f>
        <v>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IFERROR(__xludf.DUMMYFUNCTION("""COMPUTED_VALUE"""),"Remaining Qty")</f>
        <v>Remaining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IFERROR(__xludf.DUMMYFUNCTION("""COMPUTED_VALUE"""),"Status (With Rollover)")</f>
        <v>Status (With Rollover)</v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AI6" s="30" t="s">
        <v>16</v>
      </c>
      <c r="AJ6" s="30" t="s">
        <v>17</v>
      </c>
      <c r="AK6" s="30" t="s">
        <v>28</v>
      </c>
      <c r="AL6" s="30">
        <v>800.0</v>
      </c>
      <c r="AT6" s="30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