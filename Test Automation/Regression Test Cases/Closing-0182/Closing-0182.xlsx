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ditTradeUnexpiredUnsettled" sheetId="11" r:id="rId13"/>
    <sheet state="visible" name="ExerciseAssignment" sheetId="12" r:id="rId14"/>
    <sheet state="visible" name="GetDataAllocation" sheetId="13" r:id="rId15"/>
    <sheet state="visible" name="CheckAllocatedGroups" sheetId="14" r:id="rId16"/>
    <sheet state="visible" name="CheckPortfolioManagement" sheetId="15" r:id="rId17"/>
    <sheet state="visible" name="GetDataAllocation1" sheetId="16" r:id="rId18"/>
  </sheets>
  <definedNames/>
  <calcPr/>
</workbook>
</file>

<file path=xl/sharedStrings.xml><?xml version="1.0" encoding="utf-8"?>
<sst xmlns="http://schemas.openxmlformats.org/spreadsheetml/2006/main" count="212" uniqueCount="63">
  <si>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</si>
  <si>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</si>
  <si>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</si>
  <si>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</si>
  <si>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</si>
  <si>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</si>
  <si>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</si>
  <si>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</si>
  <si>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</si>
  <si>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</si>
  <si>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</si>
  <si>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</si>
  <si>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</si>
  <si>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</si>
  <si>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</si>
  <si>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</si>
  <si>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 xml:space="preserve"> O:AAPL 13N715.00</t>
  </si>
  <si>
    <t>Closing</t>
  </si>
  <si>
    <t>SetClosingPreference</t>
  </si>
  <si>
    <t>TradingTicket</t>
  </si>
  <si>
    <t>CreateDoneAwayOrder</t>
  </si>
  <si>
    <t>AAPL</t>
  </si>
  <si>
    <t>Buy</t>
  </si>
  <si>
    <t>Allocation1</t>
  </si>
  <si>
    <t>MS</t>
  </si>
  <si>
    <t>O:AAPL 13N715.00</t>
  </si>
  <si>
    <t>Sell to Open</t>
  </si>
  <si>
    <t>DailyValuation</t>
  </si>
  <si>
    <t>GetMarkPriceData</t>
  </si>
  <si>
    <t>UpdateMarkPrice</t>
  </si>
  <si>
    <t>GetDataClosing</t>
  </si>
  <si>
    <t>Historical</t>
  </si>
  <si>
    <t>SelectTradeUnexpiredUnsettled</t>
  </si>
  <si>
    <t>Open</t>
  </si>
  <si>
    <t>EditTradeUnexpiredUnsettled</t>
  </si>
  <si>
    <t>ExerciseAssignment</t>
  </si>
  <si>
    <t>Allocation</t>
  </si>
  <si>
    <t>GetDataAllocation</t>
  </si>
  <si>
    <t>1/1/1800</t>
  </si>
  <si>
    <t>CheckAllocatedGroups</t>
  </si>
  <si>
    <t/>
  </si>
  <si>
    <t>Manual</t>
  </si>
  <si>
    <t>Equity</t>
  </si>
  <si>
    <t>AAPL US EQUITY</t>
  </si>
  <si>
    <t>APPLE</t>
  </si>
  <si>
    <t>EquityOption</t>
  </si>
  <si>
    <t>Buy to Close</t>
  </si>
  <si>
    <t>PortfolioManagement</t>
  </si>
  <si>
    <t>CheckPortfolioManagement</t>
  </si>
  <si>
    <t>NewMF</t>
  </si>
  <si>
    <t>Long</t>
  </si>
  <si>
    <t>US</t>
  </si>
  <si>
    <t>NASDAQ</t>
  </si>
  <si>
    <t>USD</t>
  </si>
  <si>
    <t>BrokerNotes</t>
  </si>
  <si>
    <t>DefaultNotes</t>
  </si>
  <si>
    <t>New Hedge</t>
  </si>
  <si>
    <t>Small Cap</t>
  </si>
  <si>
    <t>Undefined</t>
  </si>
  <si>
    <t>Short</t>
  </si>
  <si>
    <t>OPTS</t>
  </si>
  <si>
    <t>Equity Put</t>
  </si>
  <si>
    <t>01/01/1800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</si>
</sst>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6" fillId="0" fontId="5" numFmtId="16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0" fillId="0" fontId="5" numFmtId="165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2">
        <v>44682.0</v>
      </c>
      <c r="D6" s="31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/>
      <c r="C7" s="31"/>
      <c r="D7" s="31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/>
      <c r="C6" s="34"/>
      <c r="D6" s="34"/>
      <c r="E6" s="35" t="b">
        <v>1</v>
      </c>
      <c r="F6" s="34"/>
      <c r="G6" s="34"/>
      <c r="H6" s="34"/>
      <c r="I6" s="34"/>
      <c r="J6" s="35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6" t="s">
        <v>22</v>
      </c>
      <c r="D6" s="37">
        <v>100.0</v>
      </c>
      <c r="E6" s="37">
        <v>100.0</v>
      </c>
      <c r="F6" s="31" t="s">
        <v>23</v>
      </c>
      <c r="G6" s="31" t="s">
        <v>24</v>
      </c>
      <c r="H6" s="31"/>
      <c r="I6" s="31"/>
      <c r="J6" s="37">
        <v>10.0</v>
      </c>
      <c r="K6" s="31"/>
      <c r="L6" s="31"/>
      <c r="M6" s="31"/>
      <c r="N6" s="32">
        <v>44682.0</v>
      </c>
      <c r="O6" s="37">
        <v>1.0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25</v>
      </c>
      <c r="C7" s="31" t="s">
        <v>26</v>
      </c>
      <c r="D7" s="37">
        <v>10.0</v>
      </c>
      <c r="E7" s="31"/>
      <c r="F7" s="31" t="s">
        <v>23</v>
      </c>
      <c r="G7" s="31"/>
      <c r="H7" s="31"/>
      <c r="I7" s="31"/>
      <c r="J7" s="37">
        <v>10.0</v>
      </c>
      <c r="K7" s="31"/>
      <c r="L7" s="31"/>
      <c r="M7" s="31"/>
      <c r="N7" s="32">
        <v>44682.0</v>
      </c>
      <c r="O7" s="37">
        <v>1.0</v>
      </c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>
        <v>44984.0</v>
      </c>
      <c r="C6" s="32">
        <v>44985.0</v>
      </c>
      <c r="D6" s="31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21</v>
      </c>
      <c r="C6" s="37">
        <v>120.0</v>
      </c>
      <c r="D6" s="31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31</v>
      </c>
      <c r="C6" s="32">
        <f>today()-1</f>
        <v>44989</v>
      </c>
      <c r="D6" s="32">
        <f>today()</f>
        <v>44990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1"/>
      <c r="D6" s="31"/>
      <c r="E6" s="31"/>
      <c r="F6" s="31"/>
      <c r="G6" s="31"/>
      <c r="H6" s="31"/>
      <c r="I6" s="31"/>
      <c r="J6" s="31"/>
      <c r="K6" s="31" t="s">
        <v>24</v>
      </c>
      <c r="L6" s="31"/>
      <c r="M6" s="31"/>
      <c r="N6" s="31"/>
      <c r="O6" s="31"/>
      <c r="P6" s="31"/>
      <c r="Q6" s="31"/>
      <c r="R6" s="31"/>
      <c r="S6" s="31"/>
      <c r="T6" s="31"/>
      <c r="U6" s="31" t="s">
        <v>33</v>
      </c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 t="s">
        <v>26</v>
      </c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8">
        <v>10.0</v>
      </c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9" t="s">
        <v>25</v>
      </c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IFERROR(__xludf.DUMMYFUNCTION("""COMPUTED_VALUE"""),"Original Side")</f>
        <v>Original Side</v>
      </c>
      <c r="D5" s="28" t="str">
        <f>IFERROR(__xludf.DUMMYFUNCTION("""COMPUTED_VALUE"""),"Symbol")</f>
        <v>Symbol</v>
      </c>
      <c r="E5" s="28" t="str">
        <f>IFERROR(__xludf.DUMMYFUNCTION("""COMPUTED_VALUE"""),"Settlement Qty")</f>
        <v>Settlement Qty</v>
      </c>
      <c r="F5" s="29" t="str">
        <f>IFERROR(__xludf.DUMMYFUNCTION("""COMPUTED_VALUE"""),"Quantity")</f>
        <v>Quantity</v>
      </c>
      <c r="G5" s="28" t="str">
        <f>IFERROR(__xludf.DUMMYFUNCTION("""COMPUTED_VALUE"""),"TotalCommission&amp;Fees")</f>
        <v>TotalCommission&amp;Fees</v>
      </c>
      <c r="H5" s="28" t="str">
        <f>IFERROR(__xludf.DUMMYFUNCTION("""COMPUTED_VALUE"""),"Net Notional")</f>
        <v>Net Notional</v>
      </c>
      <c r="I5" s="28" t="str">
        <f>IFERROR(__xludf.DUMMYFUNCTION("""COMPUTED_VALUE"""),"Average Price")</f>
        <v>Average Price</v>
      </c>
      <c r="J5" s="28" t="str">
        <f>IFERROR(__xludf.DUMMYFUNCTION("""COMPUTED_VALUE"""),"UnderlyingName")</f>
        <v>UnderlyingName</v>
      </c>
      <c r="K5" s="28" t="str">
        <f>IFERROR(__xludf.DUMMYFUNCTION("""COMPUTED_VALUE"""),"UnitCost")</f>
        <v>UnitCost</v>
      </c>
      <c r="L5" s="28" t="str">
        <f>IFERROR(__xludf.DUMMYFUNCTION("""COMPUTED_VALUE"""),"PositionTag")</f>
        <v>PositionTag</v>
      </c>
      <c r="M5" s="28" t="str">
        <f>IFERROR(__xludf.DUMMYFUNCTION("""COMPUTED_VALUE"""),"Strategy")</f>
        <v>Strategy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13">
        <v>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1"/>
      <c r="D6" s="31"/>
      <c r="E6" s="31"/>
      <c r="F6" s="31"/>
      <c r="G6" s="31"/>
      <c r="H6" s="31"/>
      <c r="I6" s="31"/>
      <c r="J6" s="38">
        <v>100.0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31</v>
      </c>
      <c r="C6" s="40" t="s">
        <v>38</v>
      </c>
      <c r="D6" s="41">
        <f>today()</f>
        <v>44990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/>
      <c r="C7" s="31"/>
      <c r="D7" s="31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 t="s">
        <v>23</v>
      </c>
      <c r="C6" s="8" t="s">
        <v>40</v>
      </c>
      <c r="D6" s="8"/>
      <c r="E6" s="8">
        <v>100.0</v>
      </c>
      <c r="F6" s="8" t="s">
        <v>41</v>
      </c>
      <c r="G6" s="8" t="s">
        <v>42</v>
      </c>
      <c r="H6" s="8"/>
      <c r="I6" s="8"/>
      <c r="J6" s="8"/>
      <c r="K6" s="8">
        <v>10.0</v>
      </c>
      <c r="L6" s="8">
        <v>10.0</v>
      </c>
      <c r="M6" s="8" t="s">
        <v>43</v>
      </c>
      <c r="N6" s="8" t="s">
        <v>40</v>
      </c>
      <c r="O6" s="8" t="s">
        <v>24</v>
      </c>
      <c r="V6" t="s">
        <v>44</v>
      </c>
      <c r="BE6">
        <v>1000.0</v>
      </c>
      <c r="BF6">
        <v>1000.0</v>
      </c>
      <c r="BO6" t="s">
        <v>22</v>
      </c>
      <c r="BT6" t="s">
        <v>21</v>
      </c>
    </row>
    <row r="7" ht="15.75" customHeight="1">
      <c r="A7" s="8"/>
      <c r="B7" s="8" t="s">
        <v>23</v>
      </c>
      <c r="C7" s="8" t="s">
        <v>40</v>
      </c>
      <c r="D7" s="8"/>
      <c r="E7" s="8">
        <v>500.0</v>
      </c>
      <c r="F7" s="8" t="s">
        <v>41</v>
      </c>
      <c r="G7" s="8" t="s">
        <v>42</v>
      </c>
      <c r="H7" s="8"/>
      <c r="I7" s="8"/>
      <c r="J7" s="8"/>
      <c r="K7" s="8">
        <v>100.0</v>
      </c>
      <c r="L7" s="8">
        <v>100.0</v>
      </c>
      <c r="M7" s="8" t="s">
        <v>43</v>
      </c>
      <c r="N7" s="8" t="s">
        <v>40</v>
      </c>
      <c r="O7" s="8" t="s">
        <v>24</v>
      </c>
      <c r="V7" t="s">
        <v>44</v>
      </c>
      <c r="BE7">
        <v>50000.0</v>
      </c>
      <c r="BF7">
        <v>50000.0</v>
      </c>
      <c r="BO7" t="s">
        <v>22</v>
      </c>
      <c r="BT7" t="s">
        <v>21</v>
      </c>
    </row>
    <row r="8" ht="15.75" customHeight="1">
      <c r="A8" s="8"/>
      <c r="B8" s="8" t="s">
        <v>23</v>
      </c>
      <c r="C8" s="8" t="s">
        <v>40</v>
      </c>
      <c r="D8" s="8"/>
      <c r="E8" s="8">
        <v>10.0</v>
      </c>
      <c r="F8" s="8" t="s">
        <v>41</v>
      </c>
      <c r="G8" s="8" t="s">
        <v>45</v>
      </c>
      <c r="H8" s="8"/>
      <c r="I8" s="8"/>
      <c r="J8" s="8"/>
      <c r="K8" s="8">
        <v>10.0</v>
      </c>
      <c r="L8" s="8">
        <v>10.0</v>
      </c>
      <c r="M8" s="8"/>
      <c r="N8" s="8" t="s">
        <v>40</v>
      </c>
      <c r="O8" s="8" t="s">
        <v>24</v>
      </c>
      <c r="BE8">
        <v>10000.0</v>
      </c>
      <c r="BF8">
        <v>10000.0</v>
      </c>
      <c r="BO8" t="s">
        <v>26</v>
      </c>
      <c r="BT8" t="s">
        <v>25</v>
      </c>
    </row>
    <row r="9" ht="15.75" customHeight="1">
      <c r="A9" s="8"/>
      <c r="B9" s="8" t="s">
        <v>23</v>
      </c>
      <c r="C9" s="8" t="s">
        <v>40</v>
      </c>
      <c r="D9" s="8"/>
      <c r="E9" s="8">
        <v>5.0</v>
      </c>
      <c r="F9" s="8" t="s">
        <v>41</v>
      </c>
      <c r="G9" s="8" t="s">
        <v>45</v>
      </c>
      <c r="H9" s="8"/>
      <c r="I9" s="8"/>
      <c r="J9" s="8"/>
      <c r="K9" s="8"/>
      <c r="L9" s="8"/>
      <c r="M9" s="8"/>
      <c r="N9" s="8" t="s">
        <v>40</v>
      </c>
      <c r="O9" s="8" t="s">
        <v>24</v>
      </c>
      <c r="BO9" t="s">
        <v>46</v>
      </c>
      <c r="BT9" t="s">
        <v>25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8"/>
      <c r="B6" s="8"/>
      <c r="C6" s="8" t="s">
        <v>21</v>
      </c>
      <c r="D6" s="8">
        <v>100.0</v>
      </c>
      <c r="E6" s="8" t="s">
        <v>23</v>
      </c>
      <c r="F6" s="8" t="s">
        <v>49</v>
      </c>
      <c r="G6" s="8">
        <v>10.0</v>
      </c>
      <c r="H6" s="8" t="s">
        <v>50</v>
      </c>
      <c r="I6" s="8"/>
      <c r="J6" s="8"/>
      <c r="K6" s="8"/>
      <c r="L6" s="8"/>
      <c r="M6" s="8"/>
      <c r="N6" s="8"/>
      <c r="O6" s="8"/>
      <c r="T6" t="s">
        <v>42</v>
      </c>
      <c r="U6" t="s">
        <v>51</v>
      </c>
      <c r="V6" t="s">
        <v>52</v>
      </c>
      <c r="W6" t="s">
        <v>53</v>
      </c>
      <c r="Y6">
        <v>1.0</v>
      </c>
      <c r="AN6" t="s">
        <v>22</v>
      </c>
      <c r="AP6" t="s">
        <v>50</v>
      </c>
      <c r="AQ6" t="s">
        <v>21</v>
      </c>
      <c r="AT6" t="s">
        <v>54</v>
      </c>
      <c r="AU6" t="s">
        <v>55</v>
      </c>
      <c r="BE6" t="s">
        <v>42</v>
      </c>
      <c r="BF6" t="s">
        <v>56</v>
      </c>
      <c r="BG6" t="s">
        <v>57</v>
      </c>
      <c r="BH6" t="s">
        <v>58</v>
      </c>
      <c r="CN6" t="s">
        <v>21</v>
      </c>
      <c r="CO6" t="s">
        <v>21</v>
      </c>
      <c r="CP6" t="s">
        <v>43</v>
      </c>
    </row>
    <row r="7" ht="15.75" customHeight="1">
      <c r="A7" s="8"/>
      <c r="B7" s="8"/>
      <c r="C7" s="8" t="s">
        <v>25</v>
      </c>
      <c r="D7" s="8"/>
      <c r="E7" s="8" t="s">
        <v>23</v>
      </c>
      <c r="F7" s="8" t="s">
        <v>49</v>
      </c>
      <c r="G7" s="8">
        <v>10.0</v>
      </c>
      <c r="H7" s="8" t="s">
        <v>59</v>
      </c>
      <c r="I7" s="8"/>
      <c r="J7" s="8"/>
      <c r="K7" s="8"/>
      <c r="L7" s="8"/>
      <c r="M7" s="8"/>
      <c r="N7" s="8"/>
      <c r="O7" s="8"/>
      <c r="T7" t="s">
        <v>45</v>
      </c>
      <c r="U7" t="s">
        <v>51</v>
      </c>
      <c r="V7" t="s">
        <v>60</v>
      </c>
      <c r="W7" t="s">
        <v>53</v>
      </c>
      <c r="Y7">
        <v>1.0</v>
      </c>
      <c r="AN7" t="s">
        <v>26</v>
      </c>
      <c r="AP7" t="s">
        <v>50</v>
      </c>
      <c r="AQ7" t="s">
        <v>21</v>
      </c>
      <c r="AT7" t="s">
        <v>54</v>
      </c>
      <c r="AU7" t="s">
        <v>55</v>
      </c>
      <c r="BE7" t="s">
        <v>61</v>
      </c>
      <c r="BF7" t="s">
        <v>56</v>
      </c>
      <c r="BG7" t="s">
        <v>57</v>
      </c>
      <c r="BH7" t="s">
        <v>58</v>
      </c>
    </row>
    <row r="8" ht="15.75" customHeight="1">
      <c r="A8" s="8"/>
      <c r="B8" s="8"/>
      <c r="C8" s="8" t="s">
        <v>21</v>
      </c>
      <c r="D8" s="8">
        <v>500.0</v>
      </c>
      <c r="E8" s="8" t="s">
        <v>23</v>
      </c>
      <c r="F8" s="8" t="s">
        <v>49</v>
      </c>
      <c r="G8" s="8">
        <v>100.0</v>
      </c>
      <c r="H8" s="8" t="s">
        <v>50</v>
      </c>
      <c r="I8" s="8"/>
      <c r="J8" s="8"/>
      <c r="K8" s="8"/>
      <c r="L8" s="8"/>
      <c r="M8" s="8"/>
      <c r="N8" s="8"/>
      <c r="O8" s="8"/>
      <c r="T8" t="s">
        <v>42</v>
      </c>
      <c r="U8" t="s">
        <v>51</v>
      </c>
      <c r="V8" t="s">
        <v>52</v>
      </c>
      <c r="W8" t="s">
        <v>53</v>
      </c>
      <c r="Y8">
        <v>1.0</v>
      </c>
      <c r="AN8" t="s">
        <v>22</v>
      </c>
      <c r="AP8" t="s">
        <v>50</v>
      </c>
      <c r="AQ8" t="s">
        <v>21</v>
      </c>
      <c r="BE8" t="s">
        <v>42</v>
      </c>
      <c r="BF8" t="s">
        <v>56</v>
      </c>
      <c r="BG8" t="s">
        <v>57</v>
      </c>
      <c r="BH8" t="s">
        <v>58</v>
      </c>
      <c r="CN8" t="s">
        <v>21</v>
      </c>
      <c r="CO8" t="s">
        <v>21</v>
      </c>
      <c r="CP8" t="s">
        <v>43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31</v>
      </c>
      <c r="C6" s="42" t="s">
        <v>62</v>
      </c>
      <c r="D6" s="43">
        <f>today()</f>
        <v>44990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