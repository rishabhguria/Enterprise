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GetDataAllocation" sheetId="14" r:id="rId16"/>
    <sheet state="visible" name="CheckAllocatedGroups" sheetId="15" r:id="rId17"/>
    <sheet state="visible" name="GetDataClosing" sheetId="16" r:id="rId18"/>
    <sheet state="visible" name="VerifyLongPositionsGrid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<sst xmlns="http://schemas.openxmlformats.org/spreadsheetml/2006/main" count="171" uniqueCount="49">
  <si>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</si>
  <si>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</si>
  <si>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</si>
  <si>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</si>
  <si>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</si>
  <si>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</si>
  <si>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</si>
  <si>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</si>
  <si>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</si>
  <si>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</si>
  <si>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</si>
  <si>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</si>
  <si>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</si>
  <si>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</si>
  <si>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</si>
  <si>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</si>
  <si>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</si>
  <si>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</si>
  <si>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</si>
  <si>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</si>
  <si>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</si>
  <si>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</si>
  <si>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MSFT</t>
  </si>
  <si>
    <t>Buy</t>
  </si>
  <si>
    <t>PricingInput</t>
  </si>
  <si>
    <t>PTT</t>
  </si>
  <si>
    <t>TradePTT</t>
  </si>
  <si>
    <t>Set</t>
  </si>
  <si>
    <t>Percentage</t>
  </si>
  <si>
    <t>No</t>
  </si>
  <si>
    <t>Account</t>
  </si>
  <si>
    <t>Allocation1,Allocation2</t>
  </si>
  <si>
    <t>MultiTradingTicket</t>
  </si>
  <si>
    <t>SelectTradeUsingMTT</t>
  </si>
  <si>
    <t>Sell</t>
  </si>
  <si>
    <t>EditTradeUsingMTT</t>
  </si>
  <si>
    <t>$#$</t>
  </si>
  <si>
    <t>Limit</t>
  </si>
  <si>
    <t>MTT</t>
  </si>
  <si>
    <t>DoneAwayUsingMTT</t>
  </si>
  <si>
    <t>Allocation</t>
  </si>
  <si>
    <t>GetDataAllocation</t>
  </si>
  <si>
    <t>Current</t>
  </si>
  <si>
    <t>CheckAllocatedGroups</t>
  </si>
  <si>
    <t>Closing</t>
  </si>
  <si>
    <t>GetDataClosing</t>
  </si>
  <si>
    <t>VerifyLongPositionsGrid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</si>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</sst>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45204</v>
      </c>
      <c r="C6" s="32">
        <f t="shared" si="1"/>
        <v>45204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4" t="s">
        <v>18</v>
      </c>
      <c r="D6" s="35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19</v>
      </c>
      <c r="C7" s="34" t="s">
        <v>18</v>
      </c>
      <c r="D7" s="35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22</v>
      </c>
      <c r="C6" s="36" t="s">
        <v>23</v>
      </c>
      <c r="D6" s="37">
        <v>100.0</v>
      </c>
      <c r="E6" s="37">
        <v>100.0</v>
      </c>
      <c r="F6" s="36" t="s">
        <v>17</v>
      </c>
      <c r="G6" s="33"/>
      <c r="H6" s="33"/>
      <c r="I6" s="33"/>
      <c r="J6" s="37">
        <v>20.0</v>
      </c>
      <c r="K6" s="33"/>
      <c r="L6" s="33"/>
      <c r="M6" s="33"/>
      <c r="N6" s="38">
        <f t="shared" ref="N6:N7" si="1">TODAY()</f>
        <v>45205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22</v>
      </c>
      <c r="C7" s="34" t="s">
        <v>23</v>
      </c>
      <c r="D7" s="35">
        <v>50.0</v>
      </c>
      <c r="E7" s="35">
        <v>50.0</v>
      </c>
      <c r="F7" s="34" t="s">
        <v>19</v>
      </c>
      <c r="G7" s="33"/>
      <c r="H7" s="33"/>
      <c r="I7" s="33"/>
      <c r="J7" s="35">
        <v>20.0</v>
      </c>
      <c r="K7" s="33"/>
      <c r="L7" s="33"/>
      <c r="M7" s="33"/>
      <c r="N7" s="38">
        <f t="shared" si="1"/>
        <v>45205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22</v>
      </c>
      <c r="C6" s="37">
        <v>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3" t="s">
        <v>27</v>
      </c>
      <c r="D6" s="33" t="s">
        <v>28</v>
      </c>
      <c r="E6" s="35">
        <v>10.0</v>
      </c>
      <c r="F6" s="35">
        <v>20.0</v>
      </c>
      <c r="G6" s="33" t="s">
        <v>29</v>
      </c>
      <c r="H6" s="33" t="s">
        <v>30</v>
      </c>
      <c r="I6" s="39" t="s">
        <v>31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34</v>
      </c>
      <c r="D6" s="8"/>
      <c r="E6" s="8"/>
      <c r="F6" s="8"/>
      <c r="G6" s="8"/>
      <c r="H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40" t="s">
        <v>36</v>
      </c>
      <c r="E6" s="33"/>
      <c r="F6" s="33"/>
      <c r="G6" s="33"/>
      <c r="H6" s="33"/>
      <c r="I6" s="33" t="s">
        <v>37</v>
      </c>
      <c r="J6" s="41">
        <v>12.0</v>
      </c>
      <c r="K6" s="33"/>
      <c r="L6" s="33"/>
      <c r="M6" s="33"/>
      <c r="N6" s="42"/>
      <c r="O6" s="33"/>
      <c r="P6" s="31" t="s">
        <v>38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40" t="s">
        <v>36</v>
      </c>
      <c r="E6" s="33"/>
      <c r="F6" s="33"/>
      <c r="G6" s="33"/>
      <c r="H6" s="33"/>
      <c r="I6" s="33" t="s">
        <v>37</v>
      </c>
      <c r="J6" s="41">
        <v>12.0</v>
      </c>
      <c r="K6" s="33"/>
      <c r="L6" s="33"/>
      <c r="M6" s="33"/>
      <c r="N6" s="42"/>
      <c r="O6" s="33"/>
      <c r="P6" s="33" t="s">
        <v>38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IFERROR(__xludf.DUMMYFUNCTION("""COMPUTED_VALUE"""),"PassWrongTradePopUp")</f>
        <v>PassWrongTradePopUp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34</v>
      </c>
      <c r="D6" s="8"/>
      <c r="E6" s="8"/>
      <c r="F6" s="13" t="s">
        <v>17</v>
      </c>
      <c r="G6" s="8"/>
      <c r="H6" s="8"/>
      <c r="I6" s="13" t="s">
        <v>37</v>
      </c>
      <c r="J6" s="13">
        <v>12.0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23</v>
      </c>
      <c r="D7" s="8"/>
      <c r="E7" s="8"/>
      <c r="F7" s="13" t="s">
        <v>19</v>
      </c>
      <c r="G7" s="8"/>
      <c r="H7" s="8"/>
      <c r="I7" s="13" t="s">
        <v>37</v>
      </c>
      <c r="J7" s="13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42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1">
        <v>50.0</v>
      </c>
      <c r="BK6" s="33"/>
      <c r="BL6" s="33"/>
      <c r="BM6" s="33"/>
      <c r="BN6" s="33"/>
      <c r="BO6" s="34" t="s">
        <v>34</v>
      </c>
      <c r="BP6" s="33"/>
      <c r="BQ6" s="33"/>
      <c r="BR6" s="33"/>
      <c r="BS6" s="33"/>
      <c r="BT6" s="33" t="s">
        <v>22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19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1">
        <v>50.0</v>
      </c>
      <c r="BK7" s="33"/>
      <c r="BL7" s="33"/>
      <c r="BM7" s="33"/>
      <c r="BN7" s="33"/>
      <c r="BO7" s="33" t="s">
        <v>23</v>
      </c>
      <c r="BP7" s="33"/>
      <c r="BQ7" s="33"/>
      <c r="BR7" s="33"/>
      <c r="BS7" s="33"/>
      <c r="BT7" s="33" t="s">
        <v>22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 t="str">
        <f>IFERROR(__xludf.DUMMYFUNCTION("""COMPUTED_VALUE"""),"FilterClosing")</f>
        <v>FilterClosing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42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 t="str">
        <f>IFERROR(__xludf.DUMMYFUNCTION("""COMPUTED_VALUE"""),"FilterClosing")</f>
        <v>FilterClosing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 t="s">
        <v>23</v>
      </c>
      <c r="Q6" s="33"/>
      <c r="R6" s="33" t="s">
        <v>22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 t="s">
        <v>23</v>
      </c>
      <c r="Q7" s="33"/>
      <c r="R7" s="33" t="s">
        <v>22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33"/>
      <c r="C6" s="33" t="s">
        <v>22</v>
      </c>
      <c r="D6" s="35">
        <v>-50.0</v>
      </c>
      <c r="E6" s="33" t="s">
        <v>17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34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</row>
    <row r="7" ht="15.75" customHeight="1">
      <c r="A7" s="33"/>
      <c r="B7" s="33"/>
      <c r="C7" s="33" t="s">
        <v>22</v>
      </c>
      <c r="D7" s="35">
        <v>50.0</v>
      </c>
      <c r="E7" s="33" t="s">
        <v>19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23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