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UpdateMarkPrice" sheetId="6" r:id="rId8"/>
    <sheet state="visible" name="GetDataClosing" sheetId="7" r:id="rId9"/>
    <sheet state="visible" name="SelectTradeUnexpiredUnsettled" sheetId="8" r:id="rId10"/>
    <sheet state="visible" name="GetDataAllocation" sheetId="9" r:id="rId11"/>
    <sheet state="visible" name="CheckAllocatedTaxlots" sheetId="10" r:id="rId12"/>
    <sheet state="visible" name="CheckAllocatedGroups" sheetId="11" r:id="rId13"/>
    <sheet state="visible" name="CheckPortfolioManagement" sheetId="12" r:id="rId14"/>
    <sheet state="visible" name="ExerciseAssignment" sheetId="13" r:id="rId15"/>
    <sheet state="visible" name="CreateDoneAwayOrder" sheetId="14" r:id="rId16"/>
    <sheet state="visible" name="GetMarkPriceData" sheetId="15" r:id="rId17"/>
  </sheets>
  <definedNames/>
  <calcPr/>
</workbook>
</file>

<file path=xl/sharedStrings.xml><?xml version="1.0" encoding="utf-8"?>
<sst xmlns="http://schemas.openxmlformats.org/spreadsheetml/2006/main" count="250" uniqueCount="50">
  <si>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</si>
  <si>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</si>
  <si>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</si>
  <si>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</si>
  <si>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</si>
  <si>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</si>
  <si>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</si>
  <si>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</si>
  <si>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</si>
  <si>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</si>
  <si>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</si>
  <si>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</si>
  <si>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</si>
  <si>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</si>
  <si>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</si>
  <si>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</si>
  <si>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23D60.00D21</t>
  </si>
  <si>
    <t>Closing</t>
  </si>
  <si>
    <t>SetClosingPreference</t>
  </si>
  <si>
    <t>BTAX</t>
  </si>
  <si>
    <t>DailyValuation</t>
  </si>
  <si>
    <t>UpdateMarkPrice</t>
  </si>
  <si>
    <t>AAPL</t>
  </si>
  <si>
    <t>GetDataClosing</t>
  </si>
  <si>
    <t>Historical</t>
  </si>
  <si>
    <t>1/1/1800</t>
  </si>
  <si>
    <t>SelectTradeUnexpiredUnsettled</t>
  </si>
  <si>
    <t>Allocation1</t>
  </si>
  <si>
    <t>EquityOption</t>
  </si>
  <si>
    <t>MS</t>
  </si>
  <si>
    <t>Buy to Open</t>
  </si>
  <si>
    <t>GS</t>
  </si>
  <si>
    <t>Short</t>
  </si>
  <si>
    <t>Allocation</t>
  </si>
  <si>
    <t>GetDataAllocation</t>
  </si>
  <si>
    <t>CheckAllocatedTaxlots</t>
  </si>
  <si>
    <t>CheckAllocatedGroups</t>
  </si>
  <si>
    <t>Buy</t>
  </si>
  <si>
    <t>US</t>
  </si>
  <si>
    <t>Sell to Close</t>
  </si>
  <si>
    <t>PortfolioManagement</t>
  </si>
  <si>
    <t>CheckPortfolioManagement</t>
  </si>
  <si>
    <t>NewMF</t>
  </si>
  <si>
    <t>Long</t>
  </si>
  <si>
    <t>APPLE</t>
  </si>
  <si>
    <t>Exercise</t>
  </si>
  <si>
    <t>ExerciseAssignment</t>
  </si>
  <si>
    <t>TradingTicket</t>
  </si>
  <si>
    <t>CreateDoneAwayOrder</t>
  </si>
  <si>
    <t>GetMarkPriceData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</si>
</sst>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dd/yyyy h:mm am/pm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16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3" numFmtId="164" xfId="0" applyAlignment="1" applyFont="1" applyNumberFormat="1">
      <alignment vertical="bottom"/>
    </xf>
    <xf borderId="0" fillId="0" fontId="3" numFmtId="165" xfId="0" applyAlignment="1" applyFont="1" applyNumberFormat="1">
      <alignment vertical="bottom"/>
    </xf>
    <xf borderId="0" fillId="0" fontId="5" numFmtId="4" xfId="0" applyAlignment="1" applyFont="1" applyNumberFormat="1">
      <alignment readingOrder="0" shrinkToFit="0" wrapText="0"/>
    </xf>
    <xf borderId="0" fillId="0" fontId="2" numFmtId="4" xfId="0" applyAlignment="1" applyFont="1" applyNumberFormat="1">
      <alignment readingOrder="0"/>
    </xf>
    <xf borderId="0" fillId="0" fontId="5" numFmtId="3" xfId="0" applyAlignment="1" applyFont="1" applyNumberFormat="1">
      <alignment readingOrder="0" shrinkToFit="0" wrapText="0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20.88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9" t="s">
        <v>16</v>
      </c>
      <c r="C6" s="31">
        <f>TODAY()+2</f>
        <v>45046</v>
      </c>
      <c r="D6" s="32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C7" s="31"/>
      <c r="D7" s="32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C8" s="31"/>
      <c r="D8" s="32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2"/>
      <c r="C9" s="32"/>
      <c r="D9" s="32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2" t="s">
        <v>19</v>
      </c>
      <c r="D6" s="32"/>
      <c r="E6" s="33" t="b">
        <v>1</v>
      </c>
      <c r="F6" s="32"/>
      <c r="G6" s="32"/>
      <c r="H6" s="32"/>
      <c r="I6" s="32"/>
      <c r="J6" s="33" t="b">
        <v>1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4" t="s">
        <v>22</v>
      </c>
      <c r="C6" s="35">
        <v>120.0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4" t="s">
        <v>24</v>
      </c>
      <c r="C6" s="31" t="s">
        <v>25</v>
      </c>
      <c r="D6" s="31">
        <f>TODAY()</f>
        <v>45044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2"/>
      <c r="B6" s="34" t="s">
        <v>27</v>
      </c>
      <c r="C6" s="32"/>
      <c r="D6" s="32"/>
      <c r="E6" s="34" t="s">
        <v>28</v>
      </c>
      <c r="F6" s="32"/>
      <c r="G6" s="32"/>
      <c r="H6" s="32"/>
      <c r="I6" s="35">
        <v>10.0</v>
      </c>
      <c r="J6" s="32"/>
      <c r="K6" s="36" t="s">
        <v>29</v>
      </c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7">
        <v>10.0</v>
      </c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4" t="s">
        <v>30</v>
      </c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7">
        <v>10.0</v>
      </c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8" t="s">
        <v>16</v>
      </c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4" t="s">
        <v>27</v>
      </c>
      <c r="C7" s="32"/>
      <c r="D7" s="32"/>
      <c r="E7" s="34" t="s">
        <v>28</v>
      </c>
      <c r="F7" s="32"/>
      <c r="G7" s="32"/>
      <c r="H7" s="32"/>
      <c r="I7" s="35">
        <v>10.0</v>
      </c>
      <c r="J7" s="32"/>
      <c r="K7" s="36" t="s">
        <v>31</v>
      </c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7">
        <v>10.0</v>
      </c>
      <c r="AR7" s="39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4" t="s">
        <v>30</v>
      </c>
      <c r="BW7" s="32"/>
      <c r="BX7" s="32"/>
      <c r="BY7" s="32"/>
      <c r="BZ7" s="32"/>
      <c r="CA7" s="32"/>
      <c r="CB7" s="32"/>
      <c r="CC7" s="32"/>
      <c r="CD7" s="40"/>
      <c r="CE7" s="32"/>
      <c r="CF7" s="32"/>
      <c r="CG7" s="37">
        <v>10.0</v>
      </c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8" t="s">
        <v>16</v>
      </c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4" t="s">
        <v>27</v>
      </c>
      <c r="C8" s="32"/>
      <c r="D8" s="32"/>
      <c r="E8" s="34" t="s">
        <v>28</v>
      </c>
      <c r="F8" s="32"/>
      <c r="G8" s="32"/>
      <c r="H8" s="32"/>
      <c r="I8" s="35">
        <v>10.0</v>
      </c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7">
        <v>10.0</v>
      </c>
      <c r="AR8" s="39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4" t="s">
        <v>30</v>
      </c>
      <c r="BW8" s="32"/>
      <c r="BX8" s="32"/>
      <c r="BY8" s="32"/>
      <c r="BZ8" s="32"/>
      <c r="CA8" s="32"/>
      <c r="CB8" s="32"/>
      <c r="CC8" s="32"/>
      <c r="CD8" s="40"/>
      <c r="CE8" s="32"/>
      <c r="CF8" s="32"/>
      <c r="CG8" s="37">
        <v>10.0</v>
      </c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4" t="s">
        <v>32</v>
      </c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4" t="s">
        <v>24</v>
      </c>
      <c r="C6" s="31" t="s">
        <v>25</v>
      </c>
      <c r="D6" s="31">
        <f>TODAY()</f>
        <v>45044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27</v>
      </c>
      <c r="C6" s="8"/>
      <c r="D6" s="8"/>
      <c r="E6" s="41">
        <v>1100.0</v>
      </c>
      <c r="F6" s="8"/>
      <c r="G6" s="8"/>
      <c r="H6" s="8"/>
      <c r="I6" s="8"/>
      <c r="J6" s="8"/>
      <c r="K6" s="13">
        <v>1.0</v>
      </c>
      <c r="L6" s="13">
        <v>1.0</v>
      </c>
      <c r="M6" s="8"/>
      <c r="N6" s="8"/>
      <c r="O6" s="13" t="s">
        <v>29</v>
      </c>
      <c r="BJ6" s="42">
        <v>1100.0</v>
      </c>
      <c r="BO6" s="9" t="s">
        <v>37</v>
      </c>
      <c r="BT6" s="9" t="s">
        <v>22</v>
      </c>
      <c r="CK6" s="9" t="s">
        <v>38</v>
      </c>
    </row>
    <row r="7" ht="15.75" customHeight="1">
      <c r="A7" s="8"/>
      <c r="B7" s="13" t="s">
        <v>27</v>
      </c>
      <c r="C7" s="8"/>
      <c r="D7" s="8"/>
      <c r="E7" s="13">
        <v>10.0</v>
      </c>
      <c r="F7" s="8"/>
      <c r="G7" s="8"/>
      <c r="H7" s="8"/>
      <c r="I7" s="8"/>
      <c r="J7" s="8"/>
      <c r="K7" s="13">
        <v>10.0</v>
      </c>
      <c r="L7" s="13">
        <v>10.0</v>
      </c>
      <c r="M7" s="8"/>
      <c r="N7" s="8"/>
      <c r="O7" s="13" t="s">
        <v>29</v>
      </c>
      <c r="BJ7" s="9">
        <v>10.0</v>
      </c>
      <c r="BO7" s="9" t="s">
        <v>30</v>
      </c>
      <c r="BT7" s="9" t="s">
        <v>16</v>
      </c>
      <c r="CK7" s="9" t="s">
        <v>38</v>
      </c>
    </row>
    <row r="8" ht="15.75" customHeight="1">
      <c r="A8" s="8"/>
      <c r="B8" s="13" t="s">
        <v>27</v>
      </c>
      <c r="C8" s="8"/>
      <c r="D8" s="8"/>
      <c r="E8" s="13">
        <v>10.0</v>
      </c>
      <c r="F8" s="8"/>
      <c r="G8" s="8"/>
      <c r="H8" s="8"/>
      <c r="I8" s="8"/>
      <c r="J8" s="8"/>
      <c r="K8" s="13"/>
      <c r="L8" s="13"/>
      <c r="M8" s="8"/>
      <c r="N8" s="8"/>
      <c r="O8" s="13" t="s">
        <v>29</v>
      </c>
      <c r="BJ8" s="9">
        <v>10.0</v>
      </c>
      <c r="BO8" s="9" t="s">
        <v>39</v>
      </c>
      <c r="BT8" s="9" t="s">
        <v>16</v>
      </c>
      <c r="CK8" s="9" t="s">
        <v>38</v>
      </c>
    </row>
    <row r="9" ht="15.75" customHeight="1">
      <c r="A9" s="8"/>
      <c r="B9" s="13" t="s">
        <v>27</v>
      </c>
      <c r="C9" s="8"/>
      <c r="D9" s="8"/>
      <c r="E9" s="13">
        <v>10.0</v>
      </c>
      <c r="F9" s="8"/>
      <c r="G9" s="8"/>
      <c r="H9" s="8"/>
      <c r="I9" s="8"/>
      <c r="J9" s="8"/>
      <c r="K9" s="13">
        <v>10.0</v>
      </c>
      <c r="L9" s="13">
        <v>10.0</v>
      </c>
      <c r="M9" s="8"/>
      <c r="N9" s="8"/>
      <c r="O9" s="13" t="s">
        <v>29</v>
      </c>
      <c r="BJ9" s="9">
        <v>10.0</v>
      </c>
      <c r="BO9" s="9" t="s">
        <v>30</v>
      </c>
      <c r="BT9" s="9" t="s">
        <v>16</v>
      </c>
      <c r="CK9" s="9" t="s">
        <v>38</v>
      </c>
    </row>
    <row r="10" ht="15.75" customHeight="1">
      <c r="A10" s="8"/>
      <c r="B10" s="13" t="s">
        <v>27</v>
      </c>
      <c r="C10" s="8"/>
      <c r="D10" s="8"/>
      <c r="E10" s="13">
        <v>10.0</v>
      </c>
      <c r="F10" s="8"/>
      <c r="G10" s="8"/>
      <c r="H10" s="8"/>
      <c r="I10" s="8"/>
      <c r="J10" s="8"/>
      <c r="K10" s="13"/>
      <c r="L10" s="13"/>
      <c r="M10" s="8"/>
      <c r="N10" s="8"/>
      <c r="O10" s="13" t="s">
        <v>31</v>
      </c>
      <c r="BJ10" s="9">
        <v>10.0</v>
      </c>
      <c r="BO10" s="9" t="s">
        <v>39</v>
      </c>
      <c r="BT10" s="9" t="s">
        <v>16</v>
      </c>
      <c r="CK10" s="9" t="s">
        <v>38</v>
      </c>
    </row>
    <row r="11" ht="15.75" customHeight="1">
      <c r="A11" s="8"/>
      <c r="B11" s="13" t="s">
        <v>27</v>
      </c>
      <c r="C11" s="8"/>
      <c r="D11" s="8"/>
      <c r="E11" s="41">
        <v>1000.0</v>
      </c>
      <c r="F11" s="8"/>
      <c r="G11" s="8"/>
      <c r="H11" s="8"/>
      <c r="I11" s="8"/>
      <c r="J11" s="8"/>
      <c r="K11" s="13">
        <v>60.0</v>
      </c>
      <c r="L11" s="13">
        <v>60.0</v>
      </c>
      <c r="M11" s="8"/>
      <c r="N11" s="8"/>
      <c r="O11" s="13" t="s">
        <v>29</v>
      </c>
      <c r="BJ11" s="42">
        <v>1000.0</v>
      </c>
      <c r="BO11" s="9" t="s">
        <v>37</v>
      </c>
      <c r="BT11" s="9" t="s">
        <v>22</v>
      </c>
      <c r="CK11" s="9" t="s">
        <v>38</v>
      </c>
    </row>
    <row r="12" ht="15.75" customHeight="1">
      <c r="A12" s="8"/>
      <c r="B12" s="13" t="s">
        <v>27</v>
      </c>
      <c r="C12" s="8"/>
      <c r="D12" s="8"/>
      <c r="E12" s="13">
        <v>10.0</v>
      </c>
      <c r="F12" s="8"/>
      <c r="G12" s="8"/>
      <c r="H12" s="8"/>
      <c r="I12" s="8"/>
      <c r="J12" s="8"/>
      <c r="K12" s="13">
        <v>10.0</v>
      </c>
      <c r="L12" s="13">
        <v>10.0</v>
      </c>
      <c r="M12" s="8"/>
      <c r="N12" s="8"/>
      <c r="O12" s="13" t="s">
        <v>31</v>
      </c>
      <c r="BJ12" s="9">
        <v>10.0</v>
      </c>
      <c r="BO12" s="9" t="s">
        <v>30</v>
      </c>
      <c r="BT12" s="9" t="s">
        <v>16</v>
      </c>
      <c r="CK12" s="9" t="s">
        <v>38</v>
      </c>
    </row>
    <row r="13" ht="15.75" customHeight="1">
      <c r="A13" s="8"/>
      <c r="B13" s="13" t="s">
        <v>27</v>
      </c>
      <c r="C13" s="8"/>
      <c r="D13" s="8"/>
      <c r="E13" s="13">
        <v>10.0</v>
      </c>
      <c r="F13" s="8"/>
      <c r="G13" s="8"/>
      <c r="H13" s="8"/>
      <c r="I13" s="8"/>
      <c r="J13" s="8"/>
      <c r="K13" s="13"/>
      <c r="L13" s="13"/>
      <c r="M13" s="8"/>
      <c r="N13" s="8"/>
      <c r="O13" s="13" t="s">
        <v>29</v>
      </c>
      <c r="BJ13" s="9">
        <v>10.0</v>
      </c>
      <c r="BO13" s="9" t="s">
        <v>39</v>
      </c>
      <c r="BT13" s="9" t="s">
        <v>16</v>
      </c>
      <c r="CK13" s="9" t="s">
        <v>38</v>
      </c>
    </row>
    <row r="14" ht="15.75" customHeight="1">
      <c r="A14" s="8"/>
      <c r="B14" s="13" t="s">
        <v>27</v>
      </c>
      <c r="C14" s="8"/>
      <c r="D14" s="8"/>
      <c r="E14" s="41">
        <v>1000.0</v>
      </c>
      <c r="F14" s="8"/>
      <c r="G14" s="8"/>
      <c r="H14" s="8"/>
      <c r="I14" s="8"/>
      <c r="J14" s="8"/>
      <c r="K14" s="13">
        <v>60.0</v>
      </c>
      <c r="L14" s="13">
        <v>60.0</v>
      </c>
      <c r="M14" s="8"/>
      <c r="N14" s="8"/>
      <c r="O14" s="13" t="s">
        <v>31</v>
      </c>
      <c r="BJ14" s="42">
        <v>1000.0</v>
      </c>
      <c r="BO14" s="9" t="s">
        <v>37</v>
      </c>
      <c r="BT14" s="9" t="s">
        <v>22</v>
      </c>
      <c r="CK14" s="9" t="s">
        <v>38</v>
      </c>
    </row>
    <row r="15" ht="15.75" customHeight="1">
      <c r="A15" s="8"/>
      <c r="B15" s="13" t="s">
        <v>27</v>
      </c>
      <c r="C15" s="8"/>
      <c r="D15" s="8"/>
      <c r="E15" s="41">
        <v>1000.0</v>
      </c>
      <c r="F15" s="8"/>
      <c r="G15" s="8"/>
      <c r="H15" s="8"/>
      <c r="I15" s="8"/>
      <c r="J15" s="8"/>
      <c r="K15" s="13">
        <v>60.0</v>
      </c>
      <c r="L15" s="13">
        <v>60.0</v>
      </c>
      <c r="M15" s="8"/>
      <c r="N15" s="8"/>
      <c r="O15" s="13" t="s">
        <v>29</v>
      </c>
      <c r="BJ15" s="42">
        <v>1000.0</v>
      </c>
      <c r="BO15" s="9" t="s">
        <v>37</v>
      </c>
      <c r="BT15" s="9" t="s">
        <v>22</v>
      </c>
      <c r="CK15" s="9" t="s">
        <v>38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8"/>
      <c r="B6" s="8"/>
      <c r="C6" s="13" t="s">
        <v>22</v>
      </c>
      <c r="D6" s="43">
        <v>1100.0</v>
      </c>
      <c r="E6" s="13" t="s">
        <v>27</v>
      </c>
      <c r="F6" s="13" t="s">
        <v>42</v>
      </c>
      <c r="G6" s="8"/>
      <c r="H6" s="13" t="s">
        <v>43</v>
      </c>
      <c r="I6" s="8"/>
      <c r="J6" s="8"/>
      <c r="K6" s="8"/>
      <c r="L6" s="8"/>
      <c r="M6" s="8"/>
      <c r="N6" s="8"/>
      <c r="O6" s="13" t="s">
        <v>44</v>
      </c>
      <c r="X6" s="9">
        <v>1.0</v>
      </c>
      <c r="AN6" s="9" t="s">
        <v>37</v>
      </c>
      <c r="DJ6" s="9" t="s">
        <v>37</v>
      </c>
    </row>
    <row r="7" ht="15.75" customHeight="1">
      <c r="A7" s="8"/>
      <c r="B7" s="8"/>
      <c r="C7" s="13" t="s">
        <v>16</v>
      </c>
      <c r="D7" s="13">
        <v>10.0</v>
      </c>
      <c r="E7" s="13" t="s">
        <v>27</v>
      </c>
      <c r="F7" s="13" t="s">
        <v>42</v>
      </c>
      <c r="G7" s="8"/>
      <c r="H7" s="13" t="s">
        <v>43</v>
      </c>
      <c r="I7" s="8"/>
      <c r="J7" s="8"/>
      <c r="K7" s="8"/>
      <c r="L7" s="8"/>
      <c r="M7" s="8"/>
      <c r="N7" s="8"/>
      <c r="O7" s="13" t="s">
        <v>16</v>
      </c>
      <c r="X7" s="9">
        <v>100.0</v>
      </c>
      <c r="AN7" s="9" t="s">
        <v>30</v>
      </c>
      <c r="DJ7" s="9" t="s">
        <v>30</v>
      </c>
    </row>
    <row r="8" ht="15.75" customHeight="1">
      <c r="A8" s="8"/>
      <c r="B8" s="8"/>
      <c r="C8" s="13" t="s">
        <v>16</v>
      </c>
      <c r="D8" s="13">
        <v>10.0</v>
      </c>
      <c r="E8" s="13" t="s">
        <v>27</v>
      </c>
      <c r="F8" s="13" t="s">
        <v>42</v>
      </c>
      <c r="G8" s="8"/>
      <c r="H8" s="13" t="s">
        <v>43</v>
      </c>
      <c r="I8" s="8"/>
      <c r="J8" s="8"/>
      <c r="K8" s="8"/>
      <c r="L8" s="8"/>
      <c r="M8" s="8"/>
      <c r="N8" s="8"/>
      <c r="O8" s="13" t="s">
        <v>16</v>
      </c>
      <c r="X8" s="9">
        <v>100.0</v>
      </c>
      <c r="AN8" s="9" t="s">
        <v>30</v>
      </c>
      <c r="DJ8" s="9" t="s">
        <v>30</v>
      </c>
    </row>
    <row r="9" ht="15.75" customHeight="1">
      <c r="A9" s="8"/>
      <c r="B9" s="8"/>
      <c r="C9" s="13" t="s">
        <v>16</v>
      </c>
      <c r="D9" s="13">
        <v>10.0</v>
      </c>
      <c r="E9" s="13" t="s">
        <v>27</v>
      </c>
      <c r="F9" s="13" t="s">
        <v>42</v>
      </c>
      <c r="G9" s="8"/>
      <c r="H9" s="13" t="s">
        <v>43</v>
      </c>
      <c r="I9" s="8"/>
      <c r="J9" s="8"/>
      <c r="K9" s="8"/>
      <c r="L9" s="8"/>
      <c r="M9" s="8"/>
      <c r="N9" s="8"/>
      <c r="O9" s="13" t="s">
        <v>16</v>
      </c>
      <c r="X9" s="9">
        <v>100.0</v>
      </c>
      <c r="AN9" s="9" t="s">
        <v>30</v>
      </c>
      <c r="DJ9" s="9" t="s">
        <v>30</v>
      </c>
    </row>
    <row r="10" ht="15.75" customHeight="1">
      <c r="A10" s="8"/>
      <c r="B10" s="8"/>
      <c r="C10" s="13" t="s">
        <v>16</v>
      </c>
      <c r="D10" s="13">
        <v>-10.0</v>
      </c>
      <c r="E10" s="13" t="s">
        <v>27</v>
      </c>
      <c r="F10" s="13" t="s">
        <v>42</v>
      </c>
      <c r="G10" s="8"/>
      <c r="H10" s="13" t="s">
        <v>43</v>
      </c>
      <c r="I10" s="8"/>
      <c r="J10" s="8"/>
      <c r="K10" s="8"/>
      <c r="L10" s="8"/>
      <c r="M10" s="8"/>
      <c r="N10" s="8"/>
      <c r="O10" s="13" t="s">
        <v>16</v>
      </c>
      <c r="X10" s="9">
        <v>100.0</v>
      </c>
      <c r="AN10" s="9" t="s">
        <v>39</v>
      </c>
      <c r="DJ10" s="9" t="s">
        <v>45</v>
      </c>
    </row>
    <row r="11" ht="15.75" customHeight="1">
      <c r="A11" s="8"/>
      <c r="B11" s="8"/>
      <c r="C11" s="13" t="s">
        <v>16</v>
      </c>
      <c r="D11" s="13">
        <v>-10.0</v>
      </c>
      <c r="E11" s="13" t="s">
        <v>27</v>
      </c>
      <c r="F11" s="13" t="s">
        <v>42</v>
      </c>
      <c r="G11" s="8"/>
      <c r="H11" s="13" t="s">
        <v>43</v>
      </c>
      <c r="I11" s="8"/>
      <c r="J11" s="8"/>
      <c r="K11" s="8"/>
      <c r="L11" s="8"/>
      <c r="M11" s="8"/>
      <c r="N11" s="8"/>
      <c r="O11" s="13" t="s">
        <v>16</v>
      </c>
      <c r="X11" s="9">
        <v>100.0</v>
      </c>
      <c r="AN11" s="9" t="s">
        <v>39</v>
      </c>
      <c r="DJ11" s="9" t="s">
        <v>45</v>
      </c>
    </row>
    <row r="12" ht="15.75" customHeight="1">
      <c r="A12" s="8"/>
      <c r="B12" s="8"/>
      <c r="C12" s="13" t="s">
        <v>16</v>
      </c>
      <c r="D12" s="13">
        <v>-10.0</v>
      </c>
      <c r="E12" s="13" t="s">
        <v>27</v>
      </c>
      <c r="F12" s="13" t="s">
        <v>42</v>
      </c>
      <c r="G12" s="8"/>
      <c r="H12" s="13" t="s">
        <v>43</v>
      </c>
      <c r="I12" s="8"/>
      <c r="J12" s="8"/>
      <c r="K12" s="8"/>
      <c r="L12" s="8"/>
      <c r="M12" s="8"/>
      <c r="N12" s="8"/>
      <c r="O12" s="13" t="s">
        <v>16</v>
      </c>
      <c r="X12" s="9">
        <v>100.0</v>
      </c>
      <c r="AN12" s="9" t="s">
        <v>39</v>
      </c>
      <c r="DJ12" s="9" t="s">
        <v>45</v>
      </c>
    </row>
    <row r="13" ht="15.75" customHeight="1">
      <c r="A13" s="8"/>
      <c r="B13" s="8"/>
      <c r="C13" s="13" t="s">
        <v>22</v>
      </c>
      <c r="D13" s="43">
        <v>1000.0</v>
      </c>
      <c r="E13" s="13" t="s">
        <v>27</v>
      </c>
      <c r="F13" s="13" t="s">
        <v>42</v>
      </c>
      <c r="G13" s="8"/>
      <c r="H13" s="13" t="s">
        <v>43</v>
      </c>
      <c r="I13" s="8"/>
      <c r="J13" s="8"/>
      <c r="K13" s="8"/>
      <c r="L13" s="8"/>
      <c r="M13" s="8"/>
      <c r="N13" s="8"/>
      <c r="O13" s="13" t="s">
        <v>44</v>
      </c>
      <c r="X13" s="9">
        <v>1.0</v>
      </c>
      <c r="AN13" s="9" t="s">
        <v>37</v>
      </c>
      <c r="DJ13" s="9" t="s">
        <v>45</v>
      </c>
    </row>
    <row r="14" ht="15.75" customHeight="1">
      <c r="A14" s="8"/>
      <c r="B14" s="8"/>
      <c r="C14" s="13" t="s">
        <v>22</v>
      </c>
      <c r="D14" s="43">
        <v>1000.0</v>
      </c>
      <c r="E14" s="13" t="s">
        <v>27</v>
      </c>
      <c r="F14" s="13" t="s">
        <v>42</v>
      </c>
      <c r="G14" s="8"/>
      <c r="H14" s="13" t="s">
        <v>43</v>
      </c>
      <c r="I14" s="8"/>
      <c r="J14" s="8"/>
      <c r="K14" s="8"/>
      <c r="L14" s="8"/>
      <c r="M14" s="8"/>
      <c r="N14" s="8"/>
      <c r="O14" s="13" t="s">
        <v>44</v>
      </c>
      <c r="X14" s="9">
        <v>1.0</v>
      </c>
      <c r="AN14" s="9" t="s">
        <v>37</v>
      </c>
      <c r="DJ14" s="9" t="s">
        <v>45</v>
      </c>
    </row>
    <row r="15" ht="15.75" customHeight="1">
      <c r="A15" s="8"/>
      <c r="B15" s="8"/>
      <c r="C15" s="13" t="s">
        <v>22</v>
      </c>
      <c r="D15" s="43">
        <v>1000.0</v>
      </c>
      <c r="E15" s="13" t="s">
        <v>27</v>
      </c>
      <c r="F15" s="13" t="s">
        <v>42</v>
      </c>
      <c r="G15" s="8"/>
      <c r="H15" s="13" t="s">
        <v>43</v>
      </c>
      <c r="I15" s="8"/>
      <c r="J15" s="8"/>
      <c r="K15" s="8"/>
      <c r="L15" s="8"/>
      <c r="M15" s="8"/>
      <c r="N15" s="8"/>
      <c r="O15" s="13" t="s">
        <v>44</v>
      </c>
      <c r="X15" s="9">
        <v>1.0</v>
      </c>
      <c r="AN15" s="9" t="s">
        <v>37</v>
      </c>
      <c r="DJ15" s="9" t="s">
        <v>45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4" t="s">
        <v>22</v>
      </c>
      <c r="C6" s="44" t="s">
        <v>37</v>
      </c>
      <c r="D6" s="35">
        <v>1100.0</v>
      </c>
      <c r="E6" s="35">
        <v>1100.0</v>
      </c>
      <c r="F6" s="34" t="s">
        <v>27</v>
      </c>
      <c r="G6" s="32"/>
      <c r="H6" s="32"/>
      <c r="I6" s="32"/>
      <c r="J6" s="35">
        <v>1.0</v>
      </c>
      <c r="K6" s="32"/>
      <c r="L6" s="32"/>
      <c r="M6" s="32"/>
      <c r="N6" s="31">
        <f>TODAY()-10</f>
        <v>45034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9" t="s">
        <v>16</v>
      </c>
      <c r="C7" s="34" t="s">
        <v>30</v>
      </c>
      <c r="D7" s="35">
        <v>10.0</v>
      </c>
      <c r="E7" s="35">
        <v>10.0</v>
      </c>
      <c r="F7" s="34" t="s">
        <v>27</v>
      </c>
      <c r="G7" s="32"/>
      <c r="H7" s="32"/>
      <c r="I7" s="32"/>
      <c r="J7" s="35">
        <v>10.0</v>
      </c>
      <c r="K7" s="32"/>
      <c r="L7" s="32"/>
      <c r="M7" s="32"/>
      <c r="N7" s="31">
        <f t="shared" ref="N7:N9" si="1">TODAY()-15</f>
        <v>45029</v>
      </c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16</v>
      </c>
      <c r="C8" s="34" t="s">
        <v>30</v>
      </c>
      <c r="D8" s="35">
        <v>10.0</v>
      </c>
      <c r="E8" s="35">
        <v>10.0</v>
      </c>
      <c r="F8" s="34" t="s">
        <v>27</v>
      </c>
      <c r="G8" s="36" t="s">
        <v>31</v>
      </c>
      <c r="H8" s="32"/>
      <c r="I8" s="32"/>
      <c r="J8" s="35">
        <v>10.0</v>
      </c>
      <c r="K8" s="32"/>
      <c r="L8" s="32"/>
      <c r="M8" s="32"/>
      <c r="N8" s="31">
        <f t="shared" si="1"/>
        <v>45029</v>
      </c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 t="s">
        <v>16</v>
      </c>
      <c r="C9" s="34" t="s">
        <v>30</v>
      </c>
      <c r="D9" s="35">
        <v>10.0</v>
      </c>
      <c r="E9" s="35">
        <v>10.0</v>
      </c>
      <c r="F9" s="34" t="s">
        <v>27</v>
      </c>
      <c r="G9" s="32"/>
      <c r="H9" s="32"/>
      <c r="I9" s="32"/>
      <c r="J9" s="35">
        <v>10.0</v>
      </c>
      <c r="K9" s="32"/>
      <c r="L9" s="32"/>
      <c r="M9" s="34" t="s">
        <v>32</v>
      </c>
      <c r="N9" s="31">
        <f t="shared" si="1"/>
        <v>45029</v>
      </c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34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>
        <f>today()-1</f>
        <v>45043</v>
      </c>
      <c r="C6" s="31">
        <f>today()</f>
        <v>45044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