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390" windowWidth="19800" windowHeight="9135" firstSheet="3" activeTab="6"/>
  </bookViews>
  <sheets>
    <sheet name="_Modules" sheetId="1" r:id="rId1"/>
    <sheet name="_Settings" sheetId="2" r:id="rId2"/>
    <sheet name="_MasterData" sheetId="3" r:id="rId3"/>
    <sheet name="SetClosingPreference" sheetId="4" r:id="rId4"/>
    <sheet name="CreateDoneAwayOrder" sheetId="5" r:id="rId5"/>
    <sheet name="SelectTradeUnexpiredUnsettled" sheetId="6" r:id="rId6"/>
    <sheet name="EditTradeUnexpiredUnsettled" sheetId="7" r:id="rId7"/>
    <sheet name="ExerciseAssignment" sheetId="8" r:id="rId8"/>
    <sheet name="CheckAllocatedGroups" sheetId="9" r:id="rId9"/>
    <sheet name="SetClosingPreference1" sheetId="10" r:id="rId10"/>
    <sheet name="VerifyExpiredSettledGrid" sheetId="11" r:id="rId11"/>
  </sheets>
  <calcPr calcId="145621"/>
</workbook>
</file>

<file path=xl/calcChain.xml><?xml version="1.0" encoding="utf-8"?>
<calcChain xmlns="http://schemas.openxmlformats.org/spreadsheetml/2006/main">
  <c r="E7" i="11" l="1"/>
  <c r="E6" i="11"/>
  <c r="CE11" i="9"/>
  <c r="BG11" i="9"/>
  <c r="CE10" i="9"/>
  <c r="BG10" i="9"/>
  <c r="CE9" i="9"/>
  <c r="BG9" i="9"/>
  <c r="CE8" i="9"/>
  <c r="BG8" i="9"/>
  <c r="CE7" i="9"/>
  <c r="BG7" i="9"/>
  <c r="CE6" i="9"/>
  <c r="BG6" i="9"/>
  <c r="N7" i="5"/>
  <c r="N6" i="5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EU5" i="11"/>
  <c r="EM5" i="11"/>
  <c r="EE5" i="11"/>
  <c r="DW5" i="11"/>
  <c r="DO5" i="11"/>
  <c r="DG5" i="11"/>
  <c r="CY5" i="11"/>
  <c r="CQ5" i="11"/>
  <c r="CI5" i="11"/>
  <c r="CA5" i="11"/>
  <c r="BS5" i="11"/>
  <c r="BK5" i="11"/>
  <c r="BC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Q5" i="9"/>
  <c r="EI5" i="9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W5" i="9"/>
  <c r="EO5" i="9"/>
  <c r="AB4" i="10"/>
  <c r="EX5" i="9"/>
  <c r="DR5" i="9"/>
  <c r="CU5" i="9"/>
  <c r="CC5" i="9"/>
  <c r="BF5" i="9"/>
  <c r="AI5" i="9"/>
  <c r="Q5" i="9"/>
  <c r="ER4" i="9"/>
  <c r="DU4" i="9"/>
  <c r="DC4" i="9"/>
  <c r="CF4" i="9"/>
  <c r="BI4" i="9"/>
  <c r="AQ4" i="9"/>
  <c r="T4" i="9"/>
  <c r="EU5" i="8"/>
  <c r="EC5" i="8"/>
  <c r="DM5" i="8"/>
  <c r="CW5" i="8"/>
  <c r="CG5" i="8"/>
  <c r="BR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X5" i="5"/>
  <c r="EP5" i="5"/>
  <c r="T4" i="10"/>
  <c r="EP5" i="9"/>
  <c r="DQ5" i="9"/>
  <c r="CT5" i="9"/>
  <c r="BW5" i="9"/>
  <c r="BE5" i="9"/>
  <c r="AH5" i="9"/>
  <c r="K5" i="9"/>
  <c r="EQ4" i="9"/>
  <c r="DT4" i="9"/>
  <c r="CW4" i="9"/>
  <c r="CE4" i="9"/>
  <c r="BH4" i="9"/>
  <c r="AK4" i="9"/>
  <c r="S4" i="9"/>
  <c r="ET5" i="8"/>
  <c r="EB5" i="8"/>
  <c r="DL5" i="8"/>
  <c r="CV5" i="8"/>
  <c r="CF5" i="8"/>
  <c r="BQ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W5" i="5"/>
  <c r="EO5" i="5"/>
  <c r="BX4" i="10"/>
  <c r="L4" i="10"/>
  <c r="EH5" i="9"/>
  <c r="DK5" i="9"/>
  <c r="CS5" i="9"/>
  <c r="BV5" i="9"/>
  <c r="AY5" i="9"/>
  <c r="AG5" i="9"/>
  <c r="J5" i="9"/>
  <c r="EK4" i="9"/>
  <c r="DS4" i="9"/>
  <c r="CV4" i="9"/>
  <c r="BY4" i="9"/>
  <c r="BG4" i="9"/>
  <c r="AJ4" i="9"/>
  <c r="M4" i="9"/>
  <c r="ES5" i="8"/>
  <c r="DW5" i="8"/>
  <c r="DG5" i="8"/>
  <c r="CQ5" i="8"/>
  <c r="CA5" i="8"/>
  <c r="BP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V5" i="5"/>
  <c r="BP4" i="10"/>
  <c r="D4" i="10"/>
  <c r="EG5" i="9"/>
  <c r="DJ5" i="9"/>
  <c r="CM5" i="9"/>
  <c r="BU5" i="9"/>
  <c r="AX5" i="9"/>
  <c r="AA5" i="9"/>
  <c r="I5" i="9"/>
  <c r="EJ4" i="9"/>
  <c r="DM4" i="9"/>
  <c r="CU4" i="9"/>
  <c r="BX4" i="9"/>
  <c r="BA4" i="9"/>
  <c r="AI4" i="9"/>
  <c r="L4" i="9"/>
  <c r="EM5" i="8"/>
  <c r="DV5" i="8"/>
  <c r="DF5" i="8"/>
  <c r="CP5" i="8"/>
  <c r="BZ5" i="8"/>
  <c r="BO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U5" i="5"/>
  <c r="EM5" i="5"/>
  <c r="BH4" i="10"/>
  <c r="EA5" i="9"/>
  <c r="DI5" i="9"/>
  <c r="CL5" i="9"/>
  <c r="BO5" i="9"/>
  <c r="AW5" i="9"/>
  <c r="Z5" i="9"/>
  <c r="C5" i="9"/>
  <c r="EI4" i="9"/>
  <c r="DL4" i="9"/>
  <c r="CO4" i="9"/>
  <c r="BW4" i="9"/>
  <c r="AZ4" i="9"/>
  <c r="AC4" i="9"/>
  <c r="K4" i="9"/>
  <c r="EL5" i="8"/>
  <c r="DU5" i="8"/>
  <c r="DE5" i="8"/>
  <c r="CO5" i="8"/>
  <c r="BY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T5" i="5"/>
  <c r="EL5" i="5"/>
  <c r="AZ4" i="10"/>
  <c r="DZ5" i="9"/>
  <c r="DC5" i="9"/>
  <c r="CK5" i="9"/>
  <c r="BN5" i="9"/>
  <c r="AQ5" i="9"/>
  <c r="Y5" i="9"/>
  <c r="B5" i="9"/>
  <c r="EC4" i="9"/>
  <c r="DK4" i="9"/>
  <c r="CN4" i="9"/>
  <c r="BQ4" i="9"/>
  <c r="AY4" i="9"/>
  <c r="AB4" i="9"/>
  <c r="E4" i="9"/>
  <c r="EK5" i="8"/>
  <c r="DT5" i="8"/>
  <c r="DD5" i="8"/>
  <c r="CN5" i="8"/>
  <c r="BX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AR4" i="10"/>
  <c r="DY5" i="9"/>
  <c r="DB5" i="9"/>
  <c r="CE5" i="9"/>
  <c r="BM5" i="9"/>
  <c r="AP5" i="9"/>
  <c r="S5" i="9"/>
  <c r="A5" i="9"/>
  <c r="EB4" i="9"/>
  <c r="DE4" i="9"/>
  <c r="CM4" i="9"/>
  <c r="BP4" i="9"/>
  <c r="AS4" i="9"/>
  <c r="AA4" i="9"/>
  <c r="D4" i="9"/>
  <c r="EE5" i="8"/>
  <c r="DO5" i="8"/>
  <c r="CY5" i="8"/>
  <c r="CI5" i="8"/>
  <c r="BW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AJ4" i="10"/>
  <c r="DS5" i="9"/>
  <c r="DA5" i="9"/>
  <c r="CD5" i="9"/>
  <c r="BG5" i="9"/>
  <c r="AO5" i="9"/>
  <c r="R5" i="9"/>
  <c r="ES4" i="9"/>
  <c r="EA4" i="9"/>
  <c r="DD4" i="9"/>
  <c r="CG4" i="9"/>
  <c r="BO4" i="9"/>
  <c r="AR4" i="9"/>
  <c r="U4" i="9"/>
  <c r="C4" i="9"/>
  <c r="ED5" i="8"/>
  <c r="DN5" i="8"/>
  <c r="CX5" i="8"/>
  <c r="CH5" i="8"/>
  <c r="BS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S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ER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EQ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N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I969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969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A969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I968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E968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968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J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I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A893" i="3"/>
  <c r="H891" i="3"/>
  <c r="D890" i="3"/>
  <c r="L888" i="3"/>
  <c r="C888" i="3"/>
  <c r="F887" i="3"/>
  <c r="H886" i="3"/>
  <c r="K885" i="3"/>
  <c r="B885" i="3"/>
  <c r="E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92" i="3"/>
  <c r="G891" i="3"/>
  <c r="C890" i="3"/>
  <c r="K888" i="3"/>
  <c r="B888" i="3"/>
  <c r="D887" i="3"/>
  <c r="G886" i="3"/>
  <c r="J885" i="3"/>
  <c r="A885" i="3"/>
  <c r="D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92" i="3"/>
  <c r="F891" i="3"/>
  <c r="B890" i="3"/>
  <c r="J888" i="3"/>
  <c r="L887" i="3"/>
  <c r="C887" i="3"/>
  <c r="F886" i="3"/>
  <c r="I885" i="3"/>
  <c r="L884" i="3"/>
  <c r="C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E892" i="3"/>
  <c r="A891" i="3"/>
  <c r="I889" i="3"/>
  <c r="H888" i="3"/>
  <c r="K887" i="3"/>
  <c r="B887" i="3"/>
  <c r="E886" i="3"/>
  <c r="H885" i="3"/>
  <c r="K884" i="3"/>
  <c r="B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D892" i="3"/>
  <c r="L890" i="3"/>
  <c r="H889" i="3"/>
  <c r="G888" i="3"/>
  <c r="J887" i="3"/>
  <c r="A887" i="3"/>
  <c r="D886" i="3"/>
  <c r="G885" i="3"/>
  <c r="J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C892" i="3"/>
  <c r="K890" i="3"/>
  <c r="G889" i="3"/>
  <c r="F888" i="3"/>
  <c r="I887" i="3"/>
  <c r="L886" i="3"/>
  <c r="C886" i="3"/>
  <c r="F885" i="3"/>
  <c r="H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B892" i="3"/>
  <c r="J890" i="3"/>
  <c r="F889" i="3"/>
  <c r="E888" i="3"/>
  <c r="H887" i="3"/>
  <c r="K886" i="3"/>
  <c r="B886" i="3"/>
  <c r="D885" i="3"/>
  <c r="G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I891" i="3"/>
  <c r="E890" i="3"/>
  <c r="A889" i="3"/>
  <c r="D888" i="3"/>
  <c r="G887" i="3"/>
  <c r="J886" i="3"/>
  <c r="L885" i="3"/>
  <c r="C885" i="3"/>
  <c r="F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F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E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D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C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B720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A720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D466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A466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H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G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E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H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G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F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921" i="1"/>
  <c r="J920" i="1"/>
  <c r="B920" i="1"/>
  <c r="F919" i="1"/>
  <c r="J918" i="1"/>
  <c r="B918" i="1"/>
  <c r="F917" i="1"/>
  <c r="J916" i="1"/>
  <c r="B916" i="1"/>
  <c r="F915" i="1"/>
  <c r="J914" i="1"/>
  <c r="B914" i="1"/>
  <c r="F913" i="1"/>
  <c r="J912" i="1"/>
  <c r="B912" i="1"/>
  <c r="F911" i="1"/>
  <c r="J910" i="1"/>
  <c r="B910" i="1"/>
  <c r="F909" i="1"/>
  <c r="J908" i="1"/>
  <c r="B908" i="1"/>
  <c r="F907" i="1"/>
  <c r="J906" i="1"/>
  <c r="B906" i="1"/>
  <c r="F905" i="1"/>
  <c r="J904" i="1"/>
  <c r="B904" i="1"/>
  <c r="F903" i="1"/>
  <c r="J902" i="1"/>
  <c r="B902" i="1"/>
  <c r="F901" i="1"/>
  <c r="J900" i="1"/>
  <c r="B900" i="1"/>
  <c r="F899" i="1"/>
  <c r="J898" i="1"/>
  <c r="B898" i="1"/>
  <c r="F897" i="1"/>
  <c r="J896" i="1"/>
  <c r="B896" i="1"/>
  <c r="F895" i="1"/>
  <c r="J894" i="1"/>
  <c r="B894" i="1"/>
  <c r="F893" i="1"/>
  <c r="J892" i="1"/>
  <c r="B892" i="1"/>
  <c r="F891" i="1"/>
  <c r="J890" i="1"/>
  <c r="B890" i="1"/>
  <c r="F889" i="1"/>
  <c r="J888" i="1"/>
  <c r="B888" i="1"/>
  <c r="F887" i="1"/>
  <c r="J886" i="1"/>
  <c r="B886" i="1"/>
  <c r="F885" i="1"/>
  <c r="J884" i="1"/>
  <c r="B884" i="1"/>
  <c r="F883" i="1"/>
  <c r="J882" i="1"/>
  <c r="B882" i="1"/>
  <c r="F881" i="1"/>
  <c r="J880" i="1"/>
  <c r="B880" i="1"/>
  <c r="F879" i="1"/>
  <c r="J878" i="1"/>
  <c r="B878" i="1"/>
  <c r="F877" i="1"/>
  <c r="J876" i="1"/>
  <c r="B876" i="1"/>
  <c r="F875" i="1"/>
  <c r="J874" i="1"/>
  <c r="D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921" i="1"/>
  <c r="I920" i="1"/>
  <c r="A920" i="1"/>
  <c r="E919" i="1"/>
  <c r="I918" i="1"/>
  <c r="A918" i="1"/>
  <c r="E917" i="1"/>
  <c r="I916" i="1"/>
  <c r="A916" i="1"/>
  <c r="E915" i="1"/>
  <c r="I914" i="1"/>
  <c r="A914" i="1"/>
  <c r="E913" i="1"/>
  <c r="I912" i="1"/>
  <c r="A912" i="1"/>
  <c r="E911" i="1"/>
  <c r="I910" i="1"/>
  <c r="A910" i="1"/>
  <c r="E909" i="1"/>
  <c r="I908" i="1"/>
  <c r="A908" i="1"/>
  <c r="E907" i="1"/>
  <c r="I906" i="1"/>
  <c r="A906" i="1"/>
  <c r="E905" i="1"/>
  <c r="I904" i="1"/>
  <c r="A904" i="1"/>
  <c r="E903" i="1"/>
  <c r="I902" i="1"/>
  <c r="A902" i="1"/>
  <c r="E901" i="1"/>
  <c r="I900" i="1"/>
  <c r="A900" i="1"/>
  <c r="E899" i="1"/>
  <c r="I898" i="1"/>
  <c r="A898" i="1"/>
  <c r="E897" i="1"/>
  <c r="I896" i="1"/>
  <c r="A896" i="1"/>
  <c r="E895" i="1"/>
  <c r="I894" i="1"/>
  <c r="A894" i="1"/>
  <c r="E893" i="1"/>
  <c r="I892" i="1"/>
  <c r="A892" i="1"/>
  <c r="E891" i="1"/>
  <c r="I890" i="1"/>
  <c r="A890" i="1"/>
  <c r="E889" i="1"/>
  <c r="I888" i="1"/>
  <c r="A888" i="1"/>
  <c r="E887" i="1"/>
  <c r="I886" i="1"/>
  <c r="A886" i="1"/>
  <c r="E885" i="1"/>
  <c r="I884" i="1"/>
  <c r="A884" i="1"/>
  <c r="E883" i="1"/>
  <c r="I882" i="1"/>
  <c r="A882" i="1"/>
  <c r="E881" i="1"/>
  <c r="I880" i="1"/>
  <c r="A880" i="1"/>
  <c r="E879" i="1"/>
  <c r="I878" i="1"/>
  <c r="A878" i="1"/>
  <c r="E877" i="1"/>
  <c r="I876" i="1"/>
  <c r="A876" i="1"/>
  <c r="E875" i="1"/>
  <c r="I874" i="1"/>
  <c r="A874" i="1"/>
  <c r="B126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921" i="1"/>
  <c r="D921" i="1"/>
  <c r="H920" i="1"/>
  <c r="L919" i="1"/>
  <c r="D919" i="1"/>
  <c r="H918" i="1"/>
  <c r="L917" i="1"/>
  <c r="D917" i="1"/>
  <c r="H916" i="1"/>
  <c r="L915" i="1"/>
  <c r="D915" i="1"/>
  <c r="H914" i="1"/>
  <c r="L913" i="1"/>
  <c r="D913" i="1"/>
  <c r="H912" i="1"/>
  <c r="L911" i="1"/>
  <c r="D911" i="1"/>
  <c r="H910" i="1"/>
  <c r="L909" i="1"/>
  <c r="D909" i="1"/>
  <c r="H908" i="1"/>
  <c r="L907" i="1"/>
  <c r="D907" i="1"/>
  <c r="H906" i="1"/>
  <c r="L905" i="1"/>
  <c r="D905" i="1"/>
  <c r="H904" i="1"/>
  <c r="L903" i="1"/>
  <c r="D903" i="1"/>
  <c r="H902" i="1"/>
  <c r="L901" i="1"/>
  <c r="D901" i="1"/>
  <c r="H900" i="1"/>
  <c r="L899" i="1"/>
  <c r="D899" i="1"/>
  <c r="H898" i="1"/>
  <c r="L897" i="1"/>
  <c r="D897" i="1"/>
  <c r="H896" i="1"/>
  <c r="L895" i="1"/>
  <c r="D895" i="1"/>
  <c r="H894" i="1"/>
  <c r="L893" i="1"/>
  <c r="D893" i="1"/>
  <c r="H892" i="1"/>
  <c r="L891" i="1"/>
  <c r="D891" i="1"/>
  <c r="H890" i="1"/>
  <c r="L889" i="1"/>
  <c r="D889" i="1"/>
  <c r="H888" i="1"/>
  <c r="L887" i="1"/>
  <c r="D887" i="1"/>
  <c r="H886" i="1"/>
  <c r="L885" i="1"/>
  <c r="D885" i="1"/>
  <c r="H884" i="1"/>
  <c r="L883" i="1"/>
  <c r="D883" i="1"/>
  <c r="H882" i="1"/>
  <c r="L881" i="1"/>
  <c r="D881" i="1"/>
  <c r="H880" i="1"/>
  <c r="L879" i="1"/>
  <c r="D879" i="1"/>
  <c r="H878" i="1"/>
  <c r="L877" i="1"/>
  <c r="D877" i="1"/>
  <c r="H876" i="1"/>
  <c r="L875" i="1"/>
  <c r="A126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921" i="1"/>
  <c r="C921" i="1"/>
  <c r="G920" i="1"/>
  <c r="K919" i="1"/>
  <c r="C919" i="1"/>
  <c r="G918" i="1"/>
  <c r="K917" i="1"/>
  <c r="C917" i="1"/>
  <c r="G916" i="1"/>
  <c r="K915" i="1"/>
  <c r="C915" i="1"/>
  <c r="G914" i="1"/>
  <c r="K913" i="1"/>
  <c r="C913" i="1"/>
  <c r="G912" i="1"/>
  <c r="K911" i="1"/>
  <c r="C911" i="1"/>
  <c r="G910" i="1"/>
  <c r="K909" i="1"/>
  <c r="C909" i="1"/>
  <c r="G908" i="1"/>
  <c r="K907" i="1"/>
  <c r="C907" i="1"/>
  <c r="G906" i="1"/>
  <c r="K905" i="1"/>
  <c r="C905" i="1"/>
  <c r="G904" i="1"/>
  <c r="K903" i="1"/>
  <c r="C903" i="1"/>
  <c r="G902" i="1"/>
  <c r="K901" i="1"/>
  <c r="C901" i="1"/>
  <c r="G900" i="1"/>
  <c r="K899" i="1"/>
  <c r="C899" i="1"/>
  <c r="G898" i="1"/>
  <c r="K897" i="1"/>
  <c r="C897" i="1"/>
  <c r="G896" i="1"/>
  <c r="K895" i="1"/>
  <c r="C895" i="1"/>
  <c r="G894" i="1"/>
  <c r="K893" i="1"/>
  <c r="C893" i="1"/>
  <c r="G892" i="1"/>
  <c r="K891" i="1"/>
  <c r="C891" i="1"/>
  <c r="G890" i="1"/>
  <c r="K889" i="1"/>
  <c r="C889" i="1"/>
  <c r="G888" i="1"/>
  <c r="K887" i="1"/>
  <c r="C887" i="1"/>
  <c r="G886" i="1"/>
  <c r="K885" i="1"/>
  <c r="C885" i="1"/>
  <c r="G884" i="1"/>
  <c r="K883" i="1"/>
  <c r="C883" i="1"/>
  <c r="G882" i="1"/>
  <c r="K881" i="1"/>
  <c r="C881" i="1"/>
  <c r="G880" i="1"/>
  <c r="K879" i="1"/>
  <c r="C879" i="1"/>
  <c r="G878" i="1"/>
  <c r="K877" i="1"/>
  <c r="C877" i="1"/>
  <c r="G876" i="1"/>
  <c r="K875" i="1"/>
  <c r="L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921" i="1"/>
  <c r="B921" i="1"/>
  <c r="F920" i="1"/>
  <c r="J919" i="1"/>
  <c r="B919" i="1"/>
  <c r="F918" i="1"/>
  <c r="J917" i="1"/>
  <c r="B917" i="1"/>
  <c r="F916" i="1"/>
  <c r="J915" i="1"/>
  <c r="B915" i="1"/>
  <c r="F914" i="1"/>
  <c r="J913" i="1"/>
  <c r="B913" i="1"/>
  <c r="F912" i="1"/>
  <c r="J911" i="1"/>
  <c r="B911" i="1"/>
  <c r="F910" i="1"/>
  <c r="J909" i="1"/>
  <c r="B909" i="1"/>
  <c r="F908" i="1"/>
  <c r="J907" i="1"/>
  <c r="B907" i="1"/>
  <c r="F906" i="1"/>
  <c r="J905" i="1"/>
  <c r="B905" i="1"/>
  <c r="F904" i="1"/>
  <c r="J903" i="1"/>
  <c r="B903" i="1"/>
  <c r="F902" i="1"/>
  <c r="J901" i="1"/>
  <c r="B901" i="1"/>
  <c r="F900" i="1"/>
  <c r="J899" i="1"/>
  <c r="B899" i="1"/>
  <c r="F898" i="1"/>
  <c r="J897" i="1"/>
  <c r="B897" i="1"/>
  <c r="F896" i="1"/>
  <c r="J895" i="1"/>
  <c r="B895" i="1"/>
  <c r="F894" i="1"/>
  <c r="J893" i="1"/>
  <c r="B893" i="1"/>
  <c r="F892" i="1"/>
  <c r="J891" i="1"/>
  <c r="B891" i="1"/>
  <c r="F890" i="1"/>
  <c r="J889" i="1"/>
  <c r="B889" i="1"/>
  <c r="F888" i="1"/>
  <c r="J887" i="1"/>
  <c r="B887" i="1"/>
  <c r="F886" i="1"/>
  <c r="J885" i="1"/>
  <c r="B885" i="1"/>
  <c r="F884" i="1"/>
  <c r="J883" i="1"/>
  <c r="B883" i="1"/>
  <c r="F882" i="1"/>
  <c r="J881" i="1"/>
  <c r="B881" i="1"/>
  <c r="F880" i="1"/>
  <c r="J879" i="1"/>
  <c r="B879" i="1"/>
  <c r="F878" i="1"/>
  <c r="J877" i="1"/>
  <c r="B877" i="1"/>
  <c r="F876" i="1"/>
  <c r="J875" i="1"/>
  <c r="B875" i="1"/>
  <c r="F874" i="1"/>
  <c r="J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921" i="1"/>
  <c r="A921" i="1"/>
  <c r="E920" i="1"/>
  <c r="I919" i="1"/>
  <c r="A919" i="1"/>
  <c r="E918" i="1"/>
  <c r="I917" i="1"/>
  <c r="A917" i="1"/>
  <c r="E916" i="1"/>
  <c r="I915" i="1"/>
  <c r="A915" i="1"/>
  <c r="E914" i="1"/>
  <c r="I913" i="1"/>
  <c r="A913" i="1"/>
  <c r="E912" i="1"/>
  <c r="I911" i="1"/>
  <c r="A911" i="1"/>
  <c r="E910" i="1"/>
  <c r="I909" i="1"/>
  <c r="A909" i="1"/>
  <c r="E908" i="1"/>
  <c r="I907" i="1"/>
  <c r="A907" i="1"/>
  <c r="E906" i="1"/>
  <c r="I905" i="1"/>
  <c r="A905" i="1"/>
  <c r="E904" i="1"/>
  <c r="I903" i="1"/>
  <c r="A903" i="1"/>
  <c r="E902" i="1"/>
  <c r="I901" i="1"/>
  <c r="A901" i="1"/>
  <c r="E900" i="1"/>
  <c r="I899" i="1"/>
  <c r="A899" i="1"/>
  <c r="E898" i="1"/>
  <c r="I897" i="1"/>
  <c r="A897" i="1"/>
  <c r="E896" i="1"/>
  <c r="I895" i="1"/>
  <c r="A895" i="1"/>
  <c r="E894" i="1"/>
  <c r="I893" i="1"/>
  <c r="A893" i="1"/>
  <c r="E892" i="1"/>
  <c r="I891" i="1"/>
  <c r="A891" i="1"/>
  <c r="E890" i="1"/>
  <c r="I889" i="1"/>
  <c r="A889" i="1"/>
  <c r="E888" i="1"/>
  <c r="I887" i="1"/>
  <c r="A887" i="1"/>
  <c r="E886" i="1"/>
  <c r="I885" i="1"/>
  <c r="A885" i="1"/>
  <c r="E884" i="1"/>
  <c r="I883" i="1"/>
  <c r="A883" i="1"/>
  <c r="E882" i="1"/>
  <c r="I881" i="1"/>
  <c r="A881" i="1"/>
  <c r="E880" i="1"/>
  <c r="I879" i="1"/>
  <c r="A879" i="1"/>
  <c r="E878" i="1"/>
  <c r="I877" i="1"/>
  <c r="A877" i="1"/>
  <c r="E876" i="1"/>
  <c r="I875" i="1"/>
  <c r="A875" i="1"/>
  <c r="E874" i="1"/>
  <c r="I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921" i="1"/>
  <c r="L920" i="1"/>
  <c r="D920" i="1"/>
  <c r="H919" i="1"/>
  <c r="L918" i="1"/>
  <c r="D918" i="1"/>
  <c r="H917" i="1"/>
  <c r="L916" i="1"/>
  <c r="D916" i="1"/>
  <c r="H915" i="1"/>
  <c r="L914" i="1"/>
  <c r="D914" i="1"/>
  <c r="H913" i="1"/>
  <c r="L912" i="1"/>
  <c r="D912" i="1"/>
  <c r="H911" i="1"/>
  <c r="L910" i="1"/>
  <c r="D910" i="1"/>
  <c r="H909" i="1"/>
  <c r="L908" i="1"/>
  <c r="D908" i="1"/>
  <c r="H907" i="1"/>
  <c r="L906" i="1"/>
  <c r="D906" i="1"/>
  <c r="H905" i="1"/>
  <c r="L904" i="1"/>
  <c r="D904" i="1"/>
  <c r="H903" i="1"/>
  <c r="L902" i="1"/>
  <c r="D902" i="1"/>
  <c r="H901" i="1"/>
  <c r="L900" i="1"/>
  <c r="D900" i="1"/>
  <c r="H899" i="1"/>
  <c r="L898" i="1"/>
  <c r="D898" i="1"/>
  <c r="H897" i="1"/>
  <c r="L896" i="1"/>
  <c r="D896" i="1"/>
  <c r="H895" i="1"/>
  <c r="L894" i="1"/>
  <c r="D894" i="1"/>
  <c r="H893" i="1"/>
  <c r="L892" i="1"/>
  <c r="D892" i="1"/>
  <c r="H891" i="1"/>
  <c r="L890" i="1"/>
  <c r="D890" i="1"/>
  <c r="H889" i="1"/>
  <c r="L888" i="1"/>
  <c r="D888" i="1"/>
  <c r="H887" i="1"/>
  <c r="L886" i="1"/>
  <c r="D886" i="1"/>
  <c r="H885" i="1"/>
  <c r="L884" i="1"/>
  <c r="D884" i="1"/>
  <c r="H883" i="1"/>
  <c r="L882" i="1"/>
  <c r="D882" i="1"/>
  <c r="H881" i="1"/>
  <c r="L880" i="1"/>
  <c r="D880" i="1"/>
  <c r="H879" i="1"/>
  <c r="L878" i="1"/>
  <c r="D878" i="1"/>
  <c r="H877" i="1"/>
  <c r="L876" i="1"/>
  <c r="D876" i="1"/>
  <c r="H875" i="1"/>
  <c r="L874" i="1"/>
  <c r="D874" i="1"/>
  <c r="H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921" i="1"/>
  <c r="K920" i="1"/>
  <c r="C920" i="1"/>
  <c r="G919" i="1"/>
  <c r="K918" i="1"/>
  <c r="C918" i="1"/>
  <c r="G917" i="1"/>
  <c r="K916" i="1"/>
  <c r="C916" i="1"/>
  <c r="G915" i="1"/>
  <c r="K914" i="1"/>
  <c r="C914" i="1"/>
  <c r="G913" i="1"/>
  <c r="K912" i="1"/>
  <c r="C912" i="1"/>
  <c r="G911" i="1"/>
  <c r="K910" i="1"/>
  <c r="C910" i="1"/>
  <c r="G909" i="1"/>
  <c r="K908" i="1"/>
  <c r="C908" i="1"/>
  <c r="G907" i="1"/>
  <c r="K906" i="1"/>
  <c r="C906" i="1"/>
  <c r="G905" i="1"/>
  <c r="K904" i="1"/>
  <c r="C904" i="1"/>
  <c r="G903" i="1"/>
  <c r="K902" i="1"/>
  <c r="C902" i="1"/>
  <c r="G901" i="1"/>
  <c r="K900" i="1"/>
  <c r="C900" i="1"/>
  <c r="G899" i="1"/>
  <c r="K898" i="1"/>
  <c r="C898" i="1"/>
  <c r="G897" i="1"/>
  <c r="K896" i="1"/>
  <c r="C896" i="1"/>
  <c r="G895" i="1"/>
  <c r="K894" i="1"/>
  <c r="C894" i="1"/>
  <c r="G893" i="1"/>
  <c r="K892" i="1"/>
  <c r="C892" i="1"/>
  <c r="G891" i="1"/>
  <c r="K890" i="1"/>
  <c r="C890" i="1"/>
  <c r="G889" i="1"/>
  <c r="K888" i="1"/>
  <c r="C888" i="1"/>
  <c r="G887" i="1"/>
  <c r="K886" i="1"/>
  <c r="C886" i="1"/>
  <c r="G885" i="1"/>
  <c r="K884" i="1"/>
  <c r="C884" i="1"/>
  <c r="G883" i="1"/>
  <c r="K882" i="1"/>
  <c r="C882" i="1"/>
  <c r="G881" i="1"/>
  <c r="K880" i="1"/>
  <c r="C880" i="1"/>
  <c r="G879" i="1"/>
  <c r="K878" i="1"/>
  <c r="C878" i="1"/>
  <c r="G877" i="1"/>
  <c r="K876" i="1"/>
  <c r="C876" i="1"/>
  <c r="G875" i="1"/>
  <c r="K874" i="1"/>
  <c r="C874" i="1"/>
  <c r="D875" i="1"/>
  <c r="I873" i="1"/>
  <c r="A873" i="1"/>
  <c r="E872" i="1"/>
  <c r="I871" i="1"/>
  <c r="A871" i="1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C875" i="1"/>
  <c r="H873" i="1"/>
  <c r="L872" i="1"/>
  <c r="D872" i="1"/>
  <c r="H871" i="1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H874" i="1"/>
  <c r="G873" i="1"/>
  <c r="K872" i="1"/>
  <c r="C872" i="1"/>
  <c r="G871" i="1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G874" i="1"/>
  <c r="F873" i="1"/>
  <c r="J872" i="1"/>
  <c r="B872" i="1"/>
  <c r="F871" i="1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874" i="1"/>
  <c r="E873" i="1"/>
  <c r="I872" i="1"/>
  <c r="A872" i="1"/>
  <c r="E871" i="1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L873" i="1"/>
  <c r="D873" i="1"/>
  <c r="H872" i="1"/>
  <c r="L871" i="1"/>
  <c r="D871" i="1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K873" i="1"/>
  <c r="C873" i="1"/>
  <c r="G872" i="1"/>
  <c r="K871" i="1"/>
  <c r="C871" i="1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J873" i="1"/>
  <c r="B873" i="1"/>
  <c r="F872" i="1"/>
  <c r="J871" i="1"/>
  <c r="B871" i="1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B534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L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K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J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A24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C4" i="1"/>
  <c r="H4" i="1"/>
  <c r="B5" i="1"/>
  <c r="J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K5" i="1"/>
  <c r="A5" i="1"/>
  <c r="I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G4" i="1"/>
  <c r="E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D5" i="1"/>
  <c r="F4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F6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C5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J5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J2" i="10" l="1"/>
  <c r="J2" i="9"/>
  <c r="J2" i="11"/>
  <c r="J2" i="7"/>
  <c r="J2" i="8"/>
  <c r="J2" i="6"/>
  <c r="J2" i="5"/>
  <c r="J2" i="4"/>
</calcChain>
</file>

<file path=xl/sharedStrings.xml><?xml version="1.0" encoding="utf-8"?>
<sst xmlns="http://schemas.openxmlformats.org/spreadsheetml/2006/main" count="98" uniqueCount="33">
  <si>
    <t>Settings</t>
  </si>
  <si>
    <t>Master Data Info</t>
  </si>
  <si>
    <t>Modules Info</t>
  </si>
  <si>
    <t>Modules</t>
  </si>
  <si>
    <t>Module Step Setting File</t>
  </si>
  <si>
    <t>15Il9KeswuJGgf6kL64q0xt7c_sevGOAe7T20r5WsNa0</t>
  </si>
  <si>
    <t>Master Data Settings File</t>
  </si>
  <si>
    <t>1hEhI9rg16D4Xvfk19pDaFUFF78jjfIG29BBaNg8kT0A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</si>
  <si>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</si>
  <si>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</si>
  <si>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</si>
  <si>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</si>
  <si>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</si>
  <si>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</si>
  <si>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</si>
  <si>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</si>
  <si>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TradingTicket</t>
  </si>
  <si>
    <t>CreateDoneAwayOrder</t>
  </si>
  <si>
    <t>O:ABM 10D20.00</t>
  </si>
  <si>
    <t>Buy to Open</t>
  </si>
  <si>
    <t>Allocation1</t>
  </si>
  <si>
    <t>O:DO 10Q85.00</t>
  </si>
  <si>
    <t>SelectTradeUnexpiredUnsettled</t>
  </si>
  <si>
    <t>EditTradeUnexpiredUnsettled</t>
  </si>
  <si>
    <t>ExerciseAssignment</t>
  </si>
  <si>
    <t>Allocation</t>
  </si>
  <si>
    <t>CheckAllocatedGroups</t>
  </si>
  <si>
    <t>Sell short</t>
  </si>
  <si>
    <t>DO</t>
  </si>
  <si>
    <t>Buy</t>
  </si>
  <si>
    <t>ABM</t>
  </si>
  <si>
    <t>Sell to Close</t>
  </si>
  <si>
    <t>VerifyExpiredSettledGrid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</si>
</sst>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sz val="14"/>
      <color rgb="FFFFFFFF"/>
      <name val="Calibri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4" fillId="3" borderId="4" xfId="0" applyFont="1" applyFill="1" applyBorder="1" applyAlignment="1"/>
    <xf numFmtId="0" fontId="9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7" fillId="0" borderId="0" xfId="0" applyFont="1" applyAlignment="1"/>
    <xf numFmtId="0" fontId="6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0" fontId="4" fillId="0" borderId="0" xfId="0" applyFont="1" applyAlignment="1"/>
    <xf numFmtId="0" fontId="4" fillId="0" borderId="5" xfId="0" applyFont="1" applyBorder="1" applyAlignment="1"/>
    <xf numFmtId="0" fontId="4" fillId="0" borderId="5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14" fontId="4" fillId="0" borderId="5" xfId="0" applyNumberFormat="1" applyFont="1" applyBorder="1" applyAlignment="1">
      <alignment horizontal="right"/>
    </xf>
    <xf numFmtId="0" fontId="3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14" fontId="3" fillId="0" borderId="0" xfId="0" applyNumberFormat="1" applyFont="1"/>
    <xf numFmtId="14" fontId="5" fillId="0" borderId="0" xfId="0" applyNumberFormat="1" applyFont="1" applyAlignme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35" t="s">
        <v>2</v>
      </c>
      <c r="B1" s="36"/>
      <c r="C1" s="36"/>
      <c r="D1" s="36"/>
      <c r="E1" s="36"/>
      <c r="F1" s="37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3" t="s">
        <v>3</v>
      </c>
      <c r="B3" s="5"/>
      <c r="C3" s="10"/>
      <c r="D3" s="10"/>
      <c r="E3" s="10"/>
      <c r="F3" s="10"/>
    </row>
    <row r="4" spans="1:12" ht="15.75" customHeight="1" x14ac:dyDescent="0.2">
      <c r="A4" s="2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2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29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IFERROR(__xludf.DUMMYFUNCTION("""COMPUTED_VALUE"""),"1y3edACvUtHcrCyn7bfzWXET_VAfASVChWeHuDnd6534")</f>
        <v>1y3edACvUtHcrCyn7bfzWXET_VAfASVChWeHuDnd6534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 x14ac:dyDescent="0.2"/>
    <row r="923" spans="1:12" ht="15.75" customHeight="1" x14ac:dyDescent="0.2"/>
    <row r="924" spans="1:12" ht="15.75" customHeight="1" x14ac:dyDescent="0.2"/>
    <row r="925" spans="1:12" ht="15.75" customHeight="1" x14ac:dyDescent="0.2"/>
    <row r="926" spans="1:12" ht="15.75" customHeight="1" x14ac:dyDescent="0.2"/>
    <row r="927" spans="1:12" ht="15.75" customHeight="1" x14ac:dyDescent="0.2"/>
    <row r="928" spans="1:12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8" t="s">
        <v>0</v>
      </c>
      <c r="B1" s="36"/>
      <c r="C1" s="37"/>
    </row>
    <row r="2" spans="1:3" ht="15.75" customHeight="1" x14ac:dyDescent="0.2">
      <c r="A2" s="2"/>
      <c r="B2" s="2"/>
      <c r="C2" s="2"/>
    </row>
    <row r="3" spans="1:3" ht="15.75" customHeight="1" x14ac:dyDescent="0.2">
      <c r="A3" s="3" t="s">
        <v>4</v>
      </c>
      <c r="B3" s="4" t="s">
        <v>5</v>
      </c>
      <c r="C3" s="2"/>
    </row>
    <row r="4" spans="1:3" ht="15.75" customHeight="1" x14ac:dyDescent="0.2">
      <c r="A4" s="6" t="s">
        <v>6</v>
      </c>
      <c r="B4" s="4" t="s">
        <v>7</v>
      </c>
      <c r="C4" s="2"/>
    </row>
    <row r="5" spans="1:3" ht="15.75" customHeight="1" x14ac:dyDescent="0.2">
      <c r="A5" s="7"/>
      <c r="B5" s="2"/>
      <c r="C5" s="2"/>
    </row>
    <row r="6" spans="1:3" ht="15.75" customHeight="1" x14ac:dyDescent="0.2">
      <c r="A6" s="7"/>
      <c r="B6" s="2"/>
      <c r="C6" s="2"/>
    </row>
    <row r="7" spans="1:3" ht="15.75" customHeight="1" x14ac:dyDescent="0.2">
      <c r="A7" s="7"/>
      <c r="B7" s="2"/>
      <c r="C7" s="2"/>
    </row>
    <row r="8" spans="1:3" ht="15.75" customHeight="1" x14ac:dyDescent="0.2">
      <c r="A8" s="7"/>
      <c r="B8" s="2"/>
      <c r="C8" s="2"/>
    </row>
    <row r="9" spans="1:3" ht="15.75" customHeight="1" x14ac:dyDescent="0.2">
      <c r="A9" s="7"/>
      <c r="B9" s="2"/>
      <c r="C9" s="2"/>
    </row>
    <row r="10" spans="1:3" ht="15.75" customHeight="1" x14ac:dyDescent="0.2">
      <c r="A10" s="7"/>
      <c r="B10" s="2"/>
      <c r="C10" s="2"/>
    </row>
    <row r="11" spans="1:3" ht="15.75" customHeight="1" x14ac:dyDescent="0.2">
      <c r="A11" s="7"/>
      <c r="B11" s="2"/>
      <c r="C11" s="2"/>
    </row>
    <row r="12" spans="1:3" ht="15.75" customHeight="1" x14ac:dyDescent="0.2">
      <c r="A12" s="7"/>
      <c r="B12" s="2"/>
      <c r="C12" s="2"/>
    </row>
    <row r="13" spans="1:3" ht="15.75" customHeight="1" x14ac:dyDescent="0.2">
      <c r="A13" s="7"/>
      <c r="B13" s="2"/>
      <c r="C13" s="2"/>
    </row>
    <row r="14" spans="1:3" ht="15.75" customHeight="1" x14ac:dyDescent="0.2">
      <c r="A14" s="7"/>
      <c r="B14" s="2"/>
      <c r="C14" s="2"/>
    </row>
    <row r="15" spans="1:3" ht="15.75" customHeight="1" x14ac:dyDescent="0.2">
      <c r="A15" s="7"/>
      <c r="B15" s="2"/>
      <c r="C15" s="2"/>
    </row>
    <row r="16" spans="1:3" ht="15.75" customHeight="1" x14ac:dyDescent="0.2">
      <c r="A16" s="7"/>
      <c r="B16" s="2"/>
      <c r="C16" s="2"/>
    </row>
    <row r="17" spans="1:3" ht="15.75" customHeight="1" x14ac:dyDescent="0.2">
      <c r="A17" s="7"/>
      <c r="B17" s="2"/>
      <c r="C17" s="2"/>
    </row>
    <row r="18" spans="1:3" ht="15.75" customHeight="1" x14ac:dyDescent="0.2">
      <c r="A18" s="7"/>
      <c r="B18" s="2"/>
      <c r="C18" s="2"/>
    </row>
    <row r="19" spans="1:3" ht="15.75" customHeight="1" x14ac:dyDescent="0.2">
      <c r="A19" s="7"/>
      <c r="B19" s="2"/>
      <c r="C19" s="2"/>
    </row>
    <row r="20" spans="1:3" ht="15.75" customHeight="1" x14ac:dyDescent="0.2">
      <c r="A20" s="7"/>
      <c r="B20" s="2"/>
      <c r="C20" s="2"/>
    </row>
    <row r="21" spans="1:3" ht="15.75" customHeight="1" x14ac:dyDescent="0.2">
      <c r="A21" s="7"/>
      <c r="B21" s="2"/>
      <c r="C21" s="2"/>
    </row>
    <row r="22" spans="1:3" ht="15.75" customHeight="1" x14ac:dyDescent="0.2">
      <c r="A22" s="7"/>
      <c r="B22" s="2"/>
      <c r="C22" s="2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5" t="s">
        <v>1</v>
      </c>
      <c r="B1" s="36"/>
      <c r="C1" s="36"/>
      <c r="D1" s="36"/>
      <c r="E1" s="36"/>
      <c r="F1" s="37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6" t="s">
        <v>8</v>
      </c>
      <c r="B3" s="8" t="s">
        <v>9</v>
      </c>
      <c r="C3" s="8" t="s">
        <v>10</v>
      </c>
      <c r="D3" s="9"/>
      <c r="E3" s="9"/>
      <c r="F3" s="9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" customHeight="1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0" width="36.5703125" customWidth="1"/>
    <col min="11" max="11" width="17.42578125" customWidth="1"/>
    <col min="12" max="154" width="14.42578125" customWidth="1"/>
  </cols>
  <sheetData>
    <row r="1" spans="1:154" ht="15.75" customHeight="1" x14ac:dyDescent="0.3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8</v>
      </c>
      <c r="C3" s="16" t="s">
        <v>12</v>
      </c>
      <c r="D3" s="3" t="s">
        <v>9</v>
      </c>
      <c r="E3" s="16" t="s">
        <v>13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IFERROR(__xludf.DUMMYFUNCTION("""COMPUTED_VALUE"""),"Method")</f>
        <v>Method</v>
      </c>
      <c r="C5" s="21" t="str">
        <f ca="1">IFERROR(__xludf.DUMMYFUNCTION("""COMPUTED_VALUE"""),"Global Algorithm")</f>
        <v>Global Algorithm</v>
      </c>
      <c r="D5" s="21" t="str">
        <f ca="1">IFERROR(__xludf.DUMMYFUNCTION("""COMPUTED_VALUE"""),"Secondary Sort Criteria")</f>
        <v>Secondary Sort Criteria</v>
      </c>
      <c r="E5" s="21" t="str">
        <f ca="1">IFERROR(__xludf.DUMMYFUNCTION("""COMPUTED_VALUE"""),"Override Global Algorithm")</f>
        <v>Override Global Algorithm</v>
      </c>
      <c r="F5" s="22" t="str">
        <f ca="1">IFERROR(__xludf.DUMMYFUNCTION("""COMPUTED_VALUE"""),"Can close Sell Short with Buy and Buy to Open")</f>
        <v>Can close Sell Short with Buy and Buy to Open</v>
      </c>
      <c r="G5" s="21" t="str">
        <f ca="1">IFERROR(__xludf.DUMMYFUNCTION("""COMPUTED_VALUE"""),"Can close Sell with Buy to Close")</f>
        <v>Can close Sell with Buy to Close</v>
      </c>
      <c r="H5" s="21" t="str">
        <f ca="1">IFERROR(__xludf.DUMMYFUNCTION("""COMPUTED_VALUE"""),"Fetch Data Automatically")</f>
        <v>Fetch Data Automatically</v>
      </c>
      <c r="I5" s="21" t="str">
        <f ca="1">IFERROR(__xludf.DUMMYFUNCTION("""COMPUTED_VALUE"""),"Auto Close Stategy")</f>
        <v>Auto Close Stategy</v>
      </c>
      <c r="J5" s="21" t="str">
        <f ca="1">IFERROR(__xludf.DUMMYFUNCTION("""COMPUTED_VALUE"""),"Exercise/Assign CheckSide Validation")</f>
        <v>Exercise/Assign CheckSide Validation</v>
      </c>
      <c r="K5" s="21" t="str">
        <f ca="1">IFERROR(__xludf.DUMMYFUNCTION("""COMPUTED_VALUE"""),"Long Term Tax Rate (%)")</f>
        <v>Long Term Tax Rate (%)</v>
      </c>
      <c r="L5" s="21" t="str">
        <f ca="1">IFERROR(__xludf.DUMMYFUNCTION("""COMPUTED_VALUE"""),"Short Term Tax Rate (%)")</f>
        <v>Short Term Tax Rate (%)</v>
      </c>
      <c r="M5" s="21" t="str">
        <f ca="1">IFERROR(__xludf.DUMMYFUNCTION("""COMPUTED_VALUE"""),"Quantity round off digits")</f>
        <v>Quantity round off digits</v>
      </c>
      <c r="N5" s="21" t="str">
        <f ca="1">IFERROR(__xludf.DUMMYFUNCTION("""COMPUTED_VALUE"""),"Price round off digits")</f>
        <v>Price round off digits</v>
      </c>
      <c r="O5" s="21" t="str">
        <f ca="1">IFERROR(__xludf.DUMMYFUNCTION("""COMPUTED_VALUE"""),"Closing Field")</f>
        <v>Closing Field</v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4" t="b">
        <v>1</v>
      </c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>
      <selection activeCell="B7" sqref="B7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1b5S4Xpp4fgZ1ez6cK92QFnVBylqz8jhwxdAyEvwDqUI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8</v>
      </c>
      <c r="C3" s="16" t="s">
        <v>16</v>
      </c>
      <c r="D3" s="3" t="s">
        <v>9</v>
      </c>
      <c r="E3" s="16" t="s">
        <v>17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5" t="s">
        <v>18</v>
      </c>
      <c r="C6" s="25" t="s">
        <v>19</v>
      </c>
      <c r="D6" s="26">
        <v>700</v>
      </c>
      <c r="E6" s="25"/>
      <c r="F6" s="25" t="s">
        <v>20</v>
      </c>
      <c r="G6" s="25"/>
      <c r="H6" s="25"/>
      <c r="I6" s="25"/>
      <c r="J6" s="27">
        <v>10</v>
      </c>
      <c r="K6" s="25"/>
      <c r="L6" s="25"/>
      <c r="M6" s="25"/>
      <c r="N6" s="28">
        <f t="shared" ref="N6:N7" ca="1" si="0">TODAY()</f>
        <v>43867</v>
      </c>
      <c r="O6" s="25"/>
      <c r="P6" s="25"/>
      <c r="Q6" s="25"/>
      <c r="R6" s="25"/>
      <c r="S6" s="25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</row>
    <row r="7" spans="1:154" ht="15.75" customHeight="1" x14ac:dyDescent="0.2">
      <c r="A7" s="24"/>
      <c r="B7" s="29" t="s">
        <v>21</v>
      </c>
      <c r="C7" s="24" t="s">
        <v>19</v>
      </c>
      <c r="D7" s="30">
        <v>500</v>
      </c>
      <c r="E7" s="24"/>
      <c r="F7" s="24" t="s">
        <v>20</v>
      </c>
      <c r="G7" s="24"/>
      <c r="H7" s="24"/>
      <c r="I7" s="24"/>
      <c r="J7" s="31">
        <v>20</v>
      </c>
      <c r="K7" s="24"/>
      <c r="L7" s="24"/>
      <c r="M7" s="24"/>
      <c r="N7" s="32">
        <f t="shared" ca="1" si="0"/>
        <v>43867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8</v>
      </c>
      <c r="C3" s="16" t="s">
        <v>12</v>
      </c>
      <c r="D3" s="3" t="s">
        <v>9</v>
      </c>
      <c r="E3" s="16" t="s">
        <v>22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IFERROR(__xludf.DUMMYFUNCTION("""COMPUTED_VALUE"""),"AccruedInterest")</f>
        <v>AccruedInterest</v>
      </c>
      <c r="D5" s="21" t="str">
        <f ca="1">IFERROR(__xludf.DUMMYFUNCTION("""COMPUTED_VALUE"""),"Analyst")</f>
        <v>Analyst</v>
      </c>
      <c r="E5" s="21" t="str">
        <f ca="1">IFERROR(__xludf.DUMMYFUNCTION("""COMPUTED_VALUE"""),"Asset Class")</f>
        <v>Asset Class</v>
      </c>
      <c r="F5" s="22" t="str">
        <f ca="1">IFERROR(__xludf.DUMMYFUNCTION("""COMPUTED_VALUE"""),"Asset Derivative")</f>
        <v>Asset Derivative</v>
      </c>
      <c r="G5" s="21" t="str">
        <f ca="1">IFERROR(__xludf.DUMMYFUNCTION("""COMPUTED_VALUE"""),"AUECID")</f>
        <v>AUECID</v>
      </c>
      <c r="H5" s="21" t="str">
        <f ca="1">IFERROR(__xludf.DUMMYFUNCTION("""COMPUTED_VALUE"""),"AUECModifiedDate")</f>
        <v>AUECModifiedDate</v>
      </c>
      <c r="I5" s="21" t="str">
        <f ca="1">IFERROR(__xludf.DUMMYFUNCTION("""COMPUTED_VALUE"""),"Average Price")</f>
        <v>Average Price</v>
      </c>
      <c r="J5" s="21" t="str">
        <f ca="1">IFERROR(__xludf.DUMMYFUNCTION("""COMPUTED_VALUE"""),"BloombergSymbol")</f>
        <v>BloombergSymbol</v>
      </c>
      <c r="K5" s="21" t="str">
        <f ca="1">IFERROR(__xludf.DUMMYFUNCTION("""COMPUTED_VALUE"""),"Broker")</f>
        <v>Broker</v>
      </c>
      <c r="L5" s="21" t="str">
        <f ca="1">IFERROR(__xludf.DUMMYFUNCTION("""COMPUTED_VALUE"""),"CalcBasis")</f>
        <v>CalcBasis</v>
      </c>
      <c r="M5" s="21" t="str">
        <f ca="1">IFERROR(__xludf.DUMMYFUNCTION("""COMPUTED_VALUE"""),"CashSettledPrice")</f>
        <v>CashSettledPrice</v>
      </c>
      <c r="N5" s="21" t="str">
        <f ca="1">IFERROR(__xludf.DUMMYFUNCTION("""COMPUTED_VALUE"""),"ChangeComment")</f>
        <v>ChangeComment</v>
      </c>
      <c r="O5" s="21" t="str">
        <f ca="1">IFERROR(__xludf.DUMMYFUNCTION("""COMPUTED_VALUE"""),"ChangeType")</f>
        <v>ChangeType</v>
      </c>
      <c r="P5" s="21" t="str">
        <f ca="1">IFERROR(__xludf.DUMMYFUNCTION("""COMPUTED_VALUE"""),"ClearingBrokerFee")</f>
        <v>ClearingBrokerFee</v>
      </c>
      <c r="Q5" s="21" t="str">
        <f ca="1">IFERROR(__xludf.DUMMYFUNCTION("""COMPUTED_VALUE"""),"ClearingFee")</f>
        <v>ClearingFee</v>
      </c>
      <c r="R5" s="21" t="str">
        <f ca="1">IFERROR(__xludf.DUMMYFUNCTION("""COMPUTED_VALUE"""),"ClosedTotalCommissionandFees")</f>
        <v>ClosedTotalCommissionandFees</v>
      </c>
      <c r="S5" s="21" t="str">
        <f ca="1">IFERROR(__xludf.DUMMYFUNCTION("""COMPUTED_VALUE"""),"ClosingAlgo")</f>
        <v>ClosingAlgo</v>
      </c>
      <c r="T5" s="23" t="str">
        <f ca="1">IFERROR(__xludf.DUMMYFUNCTION("""COMPUTED_VALUE"""),"ClosingDate")</f>
        <v>ClosingDate</v>
      </c>
      <c r="U5" s="23" t="str">
        <f ca="1">IFERROR(__xludf.DUMMYFUNCTION("""COMPUTED_VALUE"""),"ClosingStatus")</f>
        <v>ClosingStatus</v>
      </c>
      <c r="V5" s="23" t="str">
        <f ca="1">IFERROR(__xludf.DUMMYFUNCTION("""COMPUTED_VALUE"""),"Commission")</f>
        <v>Commission</v>
      </c>
      <c r="W5" s="23" t="str">
        <f ca="1">IFERROR(__xludf.DUMMYFUNCTION("""COMPUTED_VALUE"""),"CommissionAmt")</f>
        <v>CommissionAmt</v>
      </c>
      <c r="X5" s="23" t="str">
        <f ca="1">IFERROR(__xludf.DUMMYFUNCTION("""COMPUTED_VALUE"""),"CommissionRate")</f>
        <v>CommissionRate</v>
      </c>
      <c r="Y5" s="23" t="str">
        <f ca="1">IFERROR(__xludf.DUMMYFUNCTION("""COMPUTED_VALUE"""),"CompanyUserName")</f>
        <v>CompanyUserName</v>
      </c>
      <c r="Z5" s="23" t="str">
        <f ca="1">IFERROR(__xludf.DUMMYFUNCTION("""COMPUTED_VALUE"""),"ContractMultiplier")</f>
        <v>ContractMultiplier</v>
      </c>
      <c r="AA5" s="23" t="str">
        <f ca="1">IFERROR(__xludf.DUMMYFUNCTION("""COMPUTED_VALUE"""),"CountryName")</f>
        <v>CountryName</v>
      </c>
      <c r="AB5" s="23" t="str">
        <f ca="1">IFERROR(__xludf.DUMMYFUNCTION("""COMPUTED_VALUE"""),"CountryOfRisk")</f>
        <v>CountryOfRisk</v>
      </c>
      <c r="AC5" s="23" t="str">
        <f ca="1">IFERROR(__xludf.DUMMYFUNCTION("""COMPUTED_VALUE"""),"CumQty")</f>
        <v>CumQty</v>
      </c>
      <c r="AD5" s="23" t="str">
        <f ca="1">IFERROR(__xludf.DUMMYFUNCTION("""COMPUTED_VALUE"""),"CurrencyID")</f>
        <v>CurrencyID</v>
      </c>
      <c r="AE5" s="23" t="str">
        <f ca="1">IFERROR(__xludf.DUMMYFUNCTION("""COMPUTED_VALUE"""),"CurrencyName")</f>
        <v>CurrencyName</v>
      </c>
      <c r="AF5" s="23" t="str">
        <f ca="1">IFERROR(__xludf.DUMMYFUNCTION("""COMPUTED_VALUE"""),"CusipSymbol")</f>
        <v>CusipSymbol</v>
      </c>
      <c r="AG5" s="23" t="str">
        <f ca="1">IFERROR(__xludf.DUMMYFUNCTION("""COMPUTED_VALUE"""),"CustomUDA1")</f>
        <v>CustomUDA1</v>
      </c>
      <c r="AH5" s="23" t="str">
        <f ca="1">IFERROR(__xludf.DUMMYFUNCTION("""COMPUTED_VALUE"""),"CustomUDA2")</f>
        <v>CustomUDA2</v>
      </c>
      <c r="AI5" s="23" t="str">
        <f ca="1">IFERROR(__xludf.DUMMYFUNCTION("""COMPUTED_VALUE"""),"CustomUDA3")</f>
        <v>CustomUDA3</v>
      </c>
      <c r="AJ5" s="23" t="str">
        <f ca="1">IFERROR(__xludf.DUMMYFUNCTION("""COMPUTED_VALUE"""),"CustomUDA4")</f>
        <v>CustomUDA4</v>
      </c>
      <c r="AK5" s="23" t="str">
        <f ca="1">IFERROR(__xludf.DUMMYFUNCTION("""COMPUTED_VALUE"""),"CustomUDA5")</f>
        <v>CustomUDA5</v>
      </c>
      <c r="AL5" s="23" t="str">
        <f ca="1">IFERROR(__xludf.DUMMYFUNCTION("""COMPUTED_VALUE"""),"CustomUDA6")</f>
        <v>CustomUDA6</v>
      </c>
      <c r="AM5" s="23" t="str">
        <f ca="1">IFERROR(__xludf.DUMMYFUNCTION("""COMPUTED_VALUE"""),"CustomUDA7")</f>
        <v>CustomUDA7</v>
      </c>
      <c r="AN5" s="23" t="str">
        <f ca="1">IFERROR(__xludf.DUMMYFUNCTION("""COMPUTED_VALUE"""),"Delta")</f>
        <v>Delta</v>
      </c>
      <c r="AO5" s="23" t="str">
        <f ca="1">IFERROR(__xludf.DUMMYFUNCTION("""COMPUTED_VALUE"""),"Description")</f>
        <v>Description</v>
      </c>
      <c r="AP5" s="23" t="str">
        <f ca="1">IFERROR(__xludf.DUMMYFUNCTION("""COMPUTED_VALUE"""),"ExchangeName")</f>
        <v>ExchangeName</v>
      </c>
      <c r="AQ5" s="23" t="str">
        <f ca="1">IFERROR(__xludf.DUMMYFUNCTION("""COMPUTED_VALUE"""),"ExecutedQty")</f>
        <v>ExecutedQty</v>
      </c>
      <c r="AR5" s="23" t="str">
        <f ca="1">IFERROR(__xludf.DUMMYFUNCTION("""COMPUTED_VALUE"""),"ExpirationDate")</f>
        <v>ExpirationDate</v>
      </c>
      <c r="AS5" s="23" t="str">
        <f ca="1">IFERROR(__xludf.DUMMYFUNCTION("""COMPUTED_VALUE"""),"ExternalTransID")</f>
        <v>ExternalTransID</v>
      </c>
      <c r="AT5" s="23" t="str">
        <f ca="1">IFERROR(__xludf.DUMMYFUNCTION("""COMPUTED_VALUE"""),"FXConversionMethodOperator")</f>
        <v>FXConversionMethodOperator</v>
      </c>
      <c r="AU5" s="23" t="str">
        <f ca="1">IFERROR(__xludf.DUMMYFUNCTION("""COMPUTED_VALUE"""),"FXRate")</f>
        <v>FXRate</v>
      </c>
      <c r="AV5" s="23" t="str">
        <f ca="1">IFERROR(__xludf.DUMMYFUNCTION("""COMPUTED_VALUE"""),"GroupID")</f>
        <v>GroupID</v>
      </c>
      <c r="AW5" s="23" t="str">
        <f ca="1">IFERROR(__xludf.DUMMYFUNCTION("""COMPUTED_VALUE"""),"IDCOSymbol")</f>
        <v>IDCOSymbol</v>
      </c>
      <c r="AX5" s="23" t="str">
        <f ca="1">IFERROR(__xludf.DUMMYFUNCTION("""COMPUTED_VALUE"""),"InternalComments")</f>
        <v>InternalComments</v>
      </c>
      <c r="AY5" s="23" t="str">
        <f ca="1">IFERROR(__xludf.DUMMYFUNCTION("""COMPUTED_VALUE"""),"IsExerciseAtZero")</f>
        <v>IsExerciseAtZero</v>
      </c>
      <c r="AZ5" s="23" t="str">
        <f ca="1">IFERROR(__xludf.DUMMYFUNCTION("""COMPUTED_VALUE"""),"ISINSymbol")</f>
        <v>ISINSymbol</v>
      </c>
      <c r="BA5" s="23" t="str">
        <f ca="1">IFERROR(__xludf.DUMMYFUNCTION("""COMPUTED_VALUE"""),"IsNDF")</f>
        <v>IsNDF</v>
      </c>
      <c r="BB5" s="23" t="str">
        <f ca="1">IFERROR(__xludf.DUMMYFUNCTION("""COMPUTED_VALUE"""),"IsPosition")</f>
        <v>IsPosition</v>
      </c>
      <c r="BC5" s="23" t="str">
        <f ca="1">IFERROR(__xludf.DUMMYFUNCTION("""COMPUTED_VALUE"""),"IsPreAllocated")</f>
        <v>IsPreAllocated</v>
      </c>
      <c r="BD5" s="23" t="str">
        <f ca="1">IFERROR(__xludf.DUMMYFUNCTION("""COMPUTED_VALUE"""),"Issuer")</f>
        <v>Issuer</v>
      </c>
      <c r="BE5" s="23" t="str">
        <f ca="1">IFERROR(__xludf.DUMMYFUNCTION("""COMPUTED_VALUE"""),"IsSwapped")</f>
        <v>IsSwapped</v>
      </c>
      <c r="BF5" s="23" t="str">
        <f ca="1">IFERROR(__xludf.DUMMYFUNCTION("""COMPUTED_VALUE"""),"LeadCurrencyID")</f>
        <v>LeadCurrencyID</v>
      </c>
      <c r="BG5" s="23" t="str">
        <f ca="1">IFERROR(__xludf.DUMMYFUNCTION("""COMPUTED_VALUE"""),"LiquidTag")</f>
        <v>LiquidTag</v>
      </c>
      <c r="BH5" s="23" t="str">
        <f ca="1">IFERROR(__xludf.DUMMYFUNCTION("""COMPUTED_VALUE"""),"LongOrShort")</f>
        <v>LongOrShort</v>
      </c>
      <c r="BI5" s="23" t="str">
        <f ca="1">IFERROR(__xludf.DUMMYFUNCTION("""COMPUTED_VALUE"""),"LotId")</f>
        <v>LotId</v>
      </c>
      <c r="BJ5" s="23" t="str">
        <f ca="1">IFERROR(__xludf.DUMMYFUNCTION("""COMPUTED_VALUE"""),"M2MProfitLoss")</f>
        <v>M2MProfitLoss</v>
      </c>
      <c r="BK5" s="23" t="str">
        <f ca="1">IFERROR(__xludf.DUMMYFUNCTION("""COMPUTED_VALUE"""),"MarkPrice")</f>
        <v>MarkPrice</v>
      </c>
      <c r="BL5" s="23" t="str">
        <f ca="1">IFERROR(__xludf.DUMMYFUNCTION("""COMPUTED_VALUE"""),"MasterFund")</f>
        <v>MasterFund</v>
      </c>
      <c r="BM5" s="23" t="str">
        <f ca="1">IFERROR(__xludf.DUMMYFUNCTION("""COMPUTED_VALUE"""),"MiscFees")</f>
        <v>MiscFees</v>
      </c>
      <c r="BN5" s="23" t="str">
        <f ca="1">IFERROR(__xludf.DUMMYFUNCTION("""COMPUTED_VALUE"""),"NavLockStatus")</f>
        <v>NavLockStatus</v>
      </c>
      <c r="BO5" s="23" t="str">
        <f ca="1">IFERROR(__xludf.DUMMYFUNCTION("""COMPUTED_VALUE"""),"Net Notional")</f>
        <v>Net Notional</v>
      </c>
      <c r="BP5" s="23" t="str">
        <f ca="1">IFERROR(__xludf.DUMMYFUNCTION("""COMPUTED_VALUE"""),"NirvanaProcessDate")</f>
        <v>NirvanaProcessDate</v>
      </c>
      <c r="BQ5" s="23" t="str">
        <f ca="1">IFERROR(__xludf.DUMMYFUNCTION("""COMPUTED_VALUE"""),"OccFee")</f>
        <v>OccFee</v>
      </c>
      <c r="BR5" s="23" t="str">
        <f ca="1">IFERROR(__xludf.DUMMYFUNCTION("""COMPUTED_VALUE"""),"OptionPremiumAdjustment")</f>
        <v>OptionPremiumAdjustment</v>
      </c>
      <c r="BS5" s="23" t="str">
        <f ca="1">IFERROR(__xludf.DUMMYFUNCTION("""COMPUTED_VALUE"""),"OrderSideTagValue")</f>
        <v>OrderSideTagValue</v>
      </c>
      <c r="BT5" s="23" t="str">
        <f ca="1">IFERROR(__xludf.DUMMYFUNCTION("""COMPUTED_VALUE"""),"OrderType")</f>
        <v>OrderType</v>
      </c>
      <c r="BU5" s="23" t="str">
        <f ca="1">IFERROR(__xludf.DUMMYFUNCTION("""COMPUTED_VALUE"""),"OrfFee")</f>
        <v>OrfFee</v>
      </c>
      <c r="BV5" s="23" t="str">
        <f ca="1">IFERROR(__xludf.DUMMYFUNCTION("""COMPUTED_VALUE"""),"Original Side")</f>
        <v>Original Side</v>
      </c>
      <c r="BW5" s="23" t="str">
        <f ca="1">IFERROR(__xludf.DUMMYFUNCTION("""COMPUTED_VALUE"""),"OriginalPurchase Date")</f>
        <v>OriginalPurchase Date</v>
      </c>
      <c r="BX5" s="23" t="str">
        <f ca="1">IFERROR(__xludf.DUMMYFUNCTION("""COMPUTED_VALUE"""),"OSISymbol")</f>
        <v>OSISymbol</v>
      </c>
      <c r="BY5" s="23" t="str">
        <f ca="1">IFERROR(__xludf.DUMMYFUNCTION("""COMPUTED_VALUE"""),"OtherBrokerFees")</f>
        <v>OtherBrokerFees</v>
      </c>
      <c r="BZ5" s="23" t="str">
        <f ca="1">IFERROR(__xludf.DUMMYFUNCTION("""COMPUTED_VALUE"""),"ParentRowPK")</f>
        <v>ParentRowPK</v>
      </c>
      <c r="CA5" s="23" t="str">
        <f ca="1">IFERROR(__xludf.DUMMYFUNCTION("""COMPUTED_VALUE"""),"Percentage")</f>
        <v>Percentage</v>
      </c>
      <c r="CB5" s="23" t="str">
        <f ca="1">IFERROR(__xludf.DUMMYFUNCTION("""COMPUTED_VALUE"""),"PositionTag")</f>
        <v>PositionTag</v>
      </c>
      <c r="CC5" s="23" t="str">
        <f ca="1">IFERROR(__xludf.DUMMYFUNCTION("""COMPUTED_VALUE"""),"PositionType")</f>
        <v>PositionType</v>
      </c>
      <c r="CD5" s="23" t="str">
        <f ca="1">IFERROR(__xludf.DUMMYFUNCTION("""COMPUTED_VALUE"""),"Process Date")</f>
        <v>Process Date</v>
      </c>
      <c r="CE5" s="23" t="str">
        <f ca="1">IFERROR(__xludf.DUMMYFUNCTION("""COMPUTED_VALUE"""),"ProxySymbol")</f>
        <v>ProxySymbol</v>
      </c>
      <c r="CF5" s="23" t="str">
        <f ca="1">IFERROR(__xludf.DUMMYFUNCTION("""COMPUTED_VALUE"""),"PutOrCall")</f>
        <v>PutOrCall</v>
      </c>
      <c r="CG5" s="23" t="str">
        <f ca="1">IFERROR(__xludf.DUMMYFUNCTION("""COMPUTED_VALUE"""),"Quantity")</f>
        <v>Quantity</v>
      </c>
      <c r="CH5" s="23" t="str">
        <f ca="1">IFERROR(__xludf.DUMMYFUNCTION("""COMPUTED_VALUE"""),"Region")</f>
        <v>Region</v>
      </c>
      <c r="CI5" s="23" t="str">
        <f ca="1">IFERROR(__xludf.DUMMYFUNCTION("""COMPUTED_VALUE"""),"ReutersSymbol")</f>
        <v>ReutersSymbol</v>
      </c>
      <c r="CJ5" s="23" t="str">
        <f ca="1">IFERROR(__xludf.DUMMYFUNCTION("""COMPUTED_VALUE"""),"RiskCurrency")</f>
        <v>RiskCurrency</v>
      </c>
      <c r="CK5" s="23" t="str">
        <f ca="1">IFERROR(__xludf.DUMMYFUNCTION("""COMPUTED_VALUE"""),"SecFee")</f>
        <v>SecFee</v>
      </c>
      <c r="CL5" s="23" t="str">
        <f ca="1">IFERROR(__xludf.DUMMYFUNCTION("""COMPUTED_VALUE"""),"SectorName")</f>
        <v>SectorName</v>
      </c>
      <c r="CM5" s="23" t="str">
        <f ca="1">IFERROR(__xludf.DUMMYFUNCTION("""COMPUTED_VALUE"""),"Security Name")</f>
        <v>Security Name</v>
      </c>
      <c r="CN5" s="23" t="str">
        <f ca="1">IFERROR(__xludf.DUMMYFUNCTION("""COMPUTED_VALUE"""),"SecurityTypeName")</f>
        <v>SecurityTypeName</v>
      </c>
      <c r="CO5" s="23" t="str">
        <f ca="1">IFERROR(__xludf.DUMMYFUNCTION("""COMPUTED_VALUE"""),"SedolSymbol")</f>
        <v>SedolSymbol</v>
      </c>
      <c r="CP5" s="23" t="str">
        <f ca="1">IFERROR(__xludf.DUMMYFUNCTION("""COMPUTED_VALUE"""),"SettlCurrAmt")</f>
        <v>SettlCurrAmt</v>
      </c>
      <c r="CQ5" s="23" t="str">
        <f ca="1">IFERROR(__xludf.DUMMYFUNCTION("""COMPUTED_VALUE"""),"SettlCurrFxRate")</f>
        <v>SettlCurrFxRate</v>
      </c>
      <c r="CR5" s="23" t="str">
        <f ca="1">IFERROR(__xludf.DUMMYFUNCTION("""COMPUTED_VALUE"""),"SettlCurrFxRateCalc")</f>
        <v>SettlCurrFxRateCalc</v>
      </c>
      <c r="CS5" s="23" t="str">
        <f ca="1">IFERROR(__xludf.DUMMYFUNCTION("""COMPUTED_VALUE"""),"SettlCurrUnitCost")</f>
        <v>SettlCurrUnitCost</v>
      </c>
      <c r="CT5" s="23" t="str">
        <f ca="1">IFERROR(__xludf.DUMMYFUNCTION("""COMPUTED_VALUE"""),"Settlement Mode")</f>
        <v>Settlement Mode</v>
      </c>
      <c r="CU5" s="23" t="str">
        <f ca="1">IFERROR(__xludf.DUMMYFUNCTION("""COMPUTED_VALUE"""),"Settlement Qty")</f>
        <v>Settlement Qty</v>
      </c>
      <c r="CV5" s="23" t="str">
        <f ca="1">IFERROR(__xludf.DUMMYFUNCTION("""COMPUTED_VALUE"""),"SettlementCurrencyID")</f>
        <v>SettlementCurrencyID</v>
      </c>
      <c r="CW5" s="23" t="str">
        <f ca="1">IFERROR(__xludf.DUMMYFUNCTION("""COMPUTED_VALUE"""),"SettlementDate")</f>
        <v>SettlementDate</v>
      </c>
      <c r="CX5" s="23" t="str">
        <f ca="1">IFERROR(__xludf.DUMMYFUNCTION("""COMPUTED_VALUE"""),"SideMultiplier")</f>
        <v>SideMultiplier</v>
      </c>
      <c r="CY5" s="23" t="str">
        <f ca="1">IFERROR(__xludf.DUMMYFUNCTION("""COMPUTED_VALUE"""),"SoftCommission")</f>
        <v>SoftCommission</v>
      </c>
      <c r="CZ5" s="23" t="str">
        <f ca="1">IFERROR(__xludf.DUMMYFUNCTION("""COMPUTED_VALUE"""),"SoftCommissionAmt")</f>
        <v>SoftCommissionAmt</v>
      </c>
      <c r="DA5" s="23" t="str">
        <f ca="1">IFERROR(__xludf.DUMMYFUNCTION("""COMPUTED_VALUE"""),"SoftCommissionCalcBasis")</f>
        <v>SoftCommissionCalcBasis</v>
      </c>
      <c r="DB5" s="23" t="str">
        <f ca="1">IFERROR(__xludf.DUMMYFUNCTION("""COMPUTED_VALUE"""),"SoftCommissionRate")</f>
        <v>SoftCommissionRate</v>
      </c>
      <c r="DC5" s="23" t="str">
        <f ca="1">IFERROR(__xludf.DUMMYFUNCTION("""COMPUTED_VALUE"""),"StampDuty")</f>
        <v>StampDuty</v>
      </c>
      <c r="DD5" s="23" t="str">
        <f ca="1">IFERROR(__xludf.DUMMYFUNCTION("""COMPUTED_VALUE"""),"Strategy")</f>
        <v>Strategy</v>
      </c>
      <c r="DE5" s="23" t="str">
        <f ca="1">IFERROR(__xludf.DUMMYFUNCTION("""COMPUTED_VALUE"""),"StrikePrice")</f>
        <v>StrikePrice</v>
      </c>
      <c r="DF5" s="23" t="str">
        <f ca="1">IFERROR(__xludf.DUMMYFUNCTION("""COMPUTED_VALUE"""),"SubSectorName")</f>
        <v>SubSectorName</v>
      </c>
      <c r="DG5" s="23" t="str">
        <f ca="1">IFERROR(__xludf.DUMMYFUNCTION("""COMPUTED_VALUE"""),"SwapParameters")</f>
        <v>SwapParameters</v>
      </c>
      <c r="DH5" s="23" t="str">
        <f ca="1">IFERROR(__xludf.DUMMYFUNCTION("""COMPUTED_VALUE"""),"Symbol")</f>
        <v>Symbol</v>
      </c>
      <c r="DI5" s="23" t="str">
        <f ca="1">IFERROR(__xludf.DUMMYFUNCTION("""COMPUTED_VALUE"""),"TaxlotClosingId")</f>
        <v>TaxlotClosingId</v>
      </c>
      <c r="DJ5" s="23" t="str">
        <f ca="1">IFERROR(__xludf.DUMMYFUNCTION("""COMPUTED_VALUE"""),"TaxLotID")</f>
        <v>TaxLotID</v>
      </c>
      <c r="DK5" s="23" t="str">
        <f ca="1">IFERROR(__xludf.DUMMYFUNCTION("""COMPUTED_VALUE"""),"TaxlotPk")</f>
        <v>TaxlotPk</v>
      </c>
      <c r="DL5" s="23" t="str">
        <f ca="1">IFERROR(__xludf.DUMMYFUNCTION("""COMPUTED_VALUE"""),"TaxLotQtyToClose")</f>
        <v>TaxLotQtyToClose</v>
      </c>
      <c r="DM5" s="23" t="str">
        <f ca="1">IFERROR(__xludf.DUMMYFUNCTION("""COMPUTED_VALUE"""),"TaxonCommissions")</f>
        <v>TaxonCommissions</v>
      </c>
      <c r="DN5" s="23" t="str">
        <f ca="1">IFERROR(__xludf.DUMMYFUNCTION("""COMPUTED_VALUE"""),"TimeOfSaveUTC")</f>
        <v>TimeOfSaveUTC</v>
      </c>
      <c r="DO5" s="23" t="str">
        <f ca="1">IFERROR(__xludf.DUMMYFUNCTION("""COMPUTED_VALUE"""),"TotalCommission&amp;Fees")</f>
        <v>TotalCommission&amp;Fees</v>
      </c>
      <c r="DP5" s="23" t="str">
        <f ca="1">IFERROR(__xludf.DUMMYFUNCTION("""COMPUTED_VALUE"""),"TotalCommissionandFees")</f>
        <v>TotalCommissionandFees</v>
      </c>
      <c r="DQ5" s="23" t="str">
        <f ca="1">IFERROR(__xludf.DUMMYFUNCTION("""COMPUTED_VALUE"""),"Tradedate")</f>
        <v>Tradedate</v>
      </c>
      <c r="DR5" s="23" t="str">
        <f ca="1">IFERROR(__xludf.DUMMYFUNCTION("""COMPUTED_VALUE"""),"TradeAttribute1")</f>
        <v>TradeAttribute1</v>
      </c>
      <c r="DS5" s="23" t="str">
        <f ca="1">IFERROR(__xludf.DUMMYFUNCTION("""COMPUTED_VALUE"""),"TradeAttribute2")</f>
        <v>TradeAttribute2</v>
      </c>
      <c r="DT5" s="23" t="str">
        <f ca="1">IFERROR(__xludf.DUMMYFUNCTION("""COMPUTED_VALUE"""),"TradeAttribute3")</f>
        <v>TradeAttribute3</v>
      </c>
      <c r="DU5" s="23" t="str">
        <f ca="1">IFERROR(__xludf.DUMMYFUNCTION("""COMPUTED_VALUE"""),"TradeAttribute4")</f>
        <v>TradeAttribute4</v>
      </c>
      <c r="DV5" s="23" t="str">
        <f ca="1">IFERROR(__xludf.DUMMYFUNCTION("""COMPUTED_VALUE"""),"TradeAttribute5")</f>
        <v>TradeAttribute5</v>
      </c>
      <c r="DW5" s="23" t="str">
        <f ca="1">IFERROR(__xludf.DUMMYFUNCTION("""COMPUTED_VALUE"""),"TradeAttribute6")</f>
        <v>TradeAttribute6</v>
      </c>
      <c r="DX5" s="23" t="str">
        <f ca="1">IFERROR(__xludf.DUMMYFUNCTION("""COMPUTED_VALUE"""),"TradingAccountName")</f>
        <v>TradingAccountName</v>
      </c>
      <c r="DY5" s="23" t="str">
        <f ca="1">IFERROR(__xludf.DUMMYFUNCTION("""COMPUTED_VALUE"""),"TransactionLevy")</f>
        <v>TransactionLevy</v>
      </c>
      <c r="DZ5" s="23" t="str">
        <f ca="1">IFERROR(__xludf.DUMMYFUNCTION("""COMPUTED_VALUE"""),"TransactionType")</f>
        <v>TransactionType</v>
      </c>
      <c r="EA5" s="23" t="str">
        <f ca="1">IFERROR(__xludf.DUMMYFUNCTION("""COMPUTED_VALUE"""),"UcitsEligibleTag")</f>
        <v>UcitsEligibleTag</v>
      </c>
      <c r="EB5" s="23" t="str">
        <f ca="1">IFERROR(__xludf.DUMMYFUNCTION("""COMPUTED_VALUE"""),"UDAAsset")</f>
        <v>UDAAsset</v>
      </c>
      <c r="EC5" s="23" t="str">
        <f ca="1">IFERROR(__xludf.DUMMYFUNCTION("""COMPUTED_VALUE"""),"UnderlyingDelta")</f>
        <v>UnderlyingDelta</v>
      </c>
      <c r="ED5" s="23" t="str">
        <f ca="1">IFERROR(__xludf.DUMMYFUNCTION("""COMPUTED_VALUE"""),"UnderlyingName")</f>
        <v>UnderlyingName</v>
      </c>
      <c r="EE5" s="23" t="str">
        <f ca="1">IFERROR(__xludf.DUMMYFUNCTION("""COMPUTED_VALUE"""),"UnderlyingSymbol")</f>
        <v>UnderlyingSymbol</v>
      </c>
      <c r="EF5" s="23" t="str">
        <f ca="1">IFERROR(__xludf.DUMMYFUNCTION("""COMPUTED_VALUE"""),"UnitCost")</f>
        <v>UnitCost</v>
      </c>
      <c r="EG5" s="23" t="str">
        <f ca="1">IFERROR(__xludf.DUMMYFUNCTION("""COMPUTED_VALUE"""),"UnRealizedPNL")</f>
        <v>UnRealizedPNL</v>
      </c>
      <c r="EH5" s="23" t="str">
        <f ca="1">IFERROR(__xludf.DUMMYFUNCTION("""COMPUTED_VALUE"""),"Venue")</f>
        <v>Venue</v>
      </c>
      <c r="EI5" s="23" t="str">
        <f ca="1">IFERROR(__xludf.DUMMYFUNCTION("""COMPUTED_VALUE"""),"VsCurrencyID")</f>
        <v>VsCurrencyID</v>
      </c>
      <c r="EJ5" s="23" t="str">
        <f ca="1">IFERROR(__xludf.DUMMYFUNCTION("""COMPUTED_VALUE"""),"WorkflowState")</f>
        <v>WorkflowState</v>
      </c>
      <c r="EK5" s="23" t="str">
        <f ca="1">IFERROR(__xludf.DUMMYFUNCTION("""COMPUTED_VALUE"""),"AvgPriceBase")</f>
        <v>AvgPriceBase</v>
      </c>
      <c r="EL5" s="23" t="str">
        <f ca="1">IFERROR(__xludf.DUMMYFUNCTION("""COMPUTED_VALUE"""),"MarketCap")</f>
        <v>MarketCap</v>
      </c>
      <c r="EM5" s="23" t="str">
        <f ca="1">IFERROR(__xludf.DUMMYFUNCTION("""COMPUTED_VALUE"""),"UnitCostBase")</f>
        <v>UnitCostBase</v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CG6" s="29">
        <v>700</v>
      </c>
      <c r="CU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CG7" s="29">
        <v>500</v>
      </c>
      <c r="CU7" s="29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8"/>
  <sheetViews>
    <sheetView tabSelected="1" workbookViewId="0">
      <selection activeCell="H15" sqref="H1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8</v>
      </c>
      <c r="C3" s="16" t="s">
        <v>12</v>
      </c>
      <c r="D3" s="3" t="s">
        <v>9</v>
      </c>
      <c r="E3" s="16" t="s">
        <v>23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IFERROR(__xludf.DUMMYFUNCTION("""COMPUTED_VALUE"""),"Trade Date")</f>
        <v>Trade Date</v>
      </c>
      <c r="C5" s="21" t="str">
        <f ca="1">IFERROR(__xludf.DUMMYFUNCTION("""COMPUTED_VALUE"""),"Original Side")</f>
        <v>Original Side</v>
      </c>
      <c r="D5" s="21" t="str">
        <f ca="1">IFERROR(__xludf.DUMMYFUNCTION("""COMPUTED_VALUE"""),"Symbol")</f>
        <v>Symbol</v>
      </c>
      <c r="E5" s="21" t="str">
        <f ca="1">IFERROR(__xludf.DUMMYFUNCTION("""COMPUTED_VALUE"""),"Settlement Qty")</f>
        <v>Settlement Qty</v>
      </c>
      <c r="F5" s="22" t="str">
        <f ca="1">IFERROR(__xludf.DUMMYFUNCTION("""COMPUTED_VALUE"""),"Quantity")</f>
        <v>Quantity</v>
      </c>
      <c r="G5" s="21" t="str">
        <f ca="1">IFERROR(__xludf.DUMMYFUNCTION("""COMPUTED_VALUE"""),"TotalCommission&amp;Fees")</f>
        <v>TotalCommission&amp;Fees</v>
      </c>
      <c r="H5" s="21" t="str">
        <f ca="1">IFERROR(__xludf.DUMMYFUNCTION("""COMPUTED_VALUE"""),"Net Notional")</f>
        <v>Net Notional</v>
      </c>
      <c r="I5" s="21" t="str">
        <f ca="1">IFERROR(__xludf.DUMMYFUNCTION("""COMPUTED_VALUE"""),"Average Price")</f>
        <v>Average Price</v>
      </c>
      <c r="J5" s="21" t="str">
        <f ca="1">IFERROR(__xludf.DUMMYFUNCTION("""COMPUTED_VALUE"""),"UnderlyingName")</f>
        <v>UnderlyingName</v>
      </c>
      <c r="K5" s="21" t="str">
        <f ca="1">IFERROR(__xludf.DUMMYFUNCTION("""COMPUTED_VALUE"""),"UnitCost")</f>
        <v>UnitCost</v>
      </c>
      <c r="L5" s="21" t="str">
        <f ca="1">IFERROR(__xludf.DUMMYFUNCTION("""COMPUTED_VALUE"""),"PositionTag")</f>
        <v>PositionTag</v>
      </c>
      <c r="M5" s="21" t="str">
        <f ca="1">IFERROR(__xludf.DUMMYFUNCTION("""COMPUTED_VALUE"""),"Strategy")</f>
        <v>Strategy</v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"/>
      <c r="B6" s="2"/>
      <c r="C6" s="4"/>
      <c r="D6" s="4" t="s">
        <v>21</v>
      </c>
      <c r="E6" s="4">
        <v>400</v>
      </c>
      <c r="F6" s="4">
        <v>500</v>
      </c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/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8</v>
      </c>
      <c r="C3" s="16" t="s">
        <v>12</v>
      </c>
      <c r="D3" s="3" t="s">
        <v>9</v>
      </c>
      <c r="E3" s="16" t="s">
        <v>24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IFERROR(__xludf.DUMMYFUNCTION("""COMPUTED_VALUE"""),"AccountValue")</f>
        <v>AccountValue</v>
      </c>
      <c r="D5" s="21" t="str">
        <f ca="1">IFERROR(__xludf.DUMMYFUNCTION("""COMPUTED_VALUE"""),"AccruedInterest")</f>
        <v>AccruedInterest</v>
      </c>
      <c r="E5" s="21" t="str">
        <f ca="1">IFERROR(__xludf.DUMMYFUNCTION("""COMPUTED_VALUE"""),"Asset")</f>
        <v>Asset</v>
      </c>
      <c r="F5" s="22" t="str">
        <f ca="1">IFERROR(__xludf.DUMMYFUNCTION("""COMPUTED_VALUE"""),"AUEC Fee1")</f>
        <v>AUEC Fee1</v>
      </c>
      <c r="G5" s="21" t="str">
        <f ca="1">IFERROR(__xludf.DUMMYFUNCTION("""COMPUTED_VALUE"""),"AUCE Fee2")</f>
        <v>AUCE Fee2</v>
      </c>
      <c r="H5" s="21" t="str">
        <f ca="1">IFERROR(__xludf.DUMMYFUNCTION("""COMPUTED_VALUE"""),"AUECID")</f>
        <v>AUECID</v>
      </c>
      <c r="I5" s="21" t="str">
        <f ca="1">IFERROR(__xludf.DUMMYFUNCTION("""COMPUTED_VALUE"""),"AUECLocalDateToday")</f>
        <v>AUECLocalDateToday</v>
      </c>
      <c r="J5" s="21" t="str">
        <f ca="1">IFERROR(__xludf.DUMMYFUNCTION("""COMPUTED_VALUE"""),"Average Price")</f>
        <v>Average Price</v>
      </c>
      <c r="K5" s="21" t="str">
        <f ca="1">IFERROR(__xludf.DUMMYFUNCTION("""COMPUTED_VALUE"""),"AvgPriceRealizedPL")</f>
        <v>AvgPriceRealizedPL</v>
      </c>
      <c r="L5" s="21" t="str">
        <f ca="1">IFERROR(__xludf.DUMMYFUNCTION("""COMPUTED_VALUE"""),"Broker")</f>
        <v>Broker</v>
      </c>
      <c r="M5" s="21" t="str">
        <f ca="1">IFERROR(__xludf.DUMMYFUNCTION("""COMPUTED_VALUE"""),"Clearing Broker Fee")</f>
        <v>Clearing Broker Fee</v>
      </c>
      <c r="N5" s="21" t="str">
        <f ca="1">IFERROR(__xludf.DUMMYFUNCTION("""COMPUTED_VALUE"""),"ClosedQty")</f>
        <v>ClosedQty</v>
      </c>
      <c r="O5" s="21" t="str">
        <f ca="1">IFERROR(__xludf.DUMMYFUNCTION("""COMPUTED_VALUE"""),"Commission")</f>
        <v>Commission</v>
      </c>
      <c r="P5" s="21" t="str">
        <f ca="1">IFERROR(__xludf.DUMMYFUNCTION("""COMPUTED_VALUE"""),"CostBasisRealizePNL")</f>
        <v>CostBasisRealizePNL</v>
      </c>
      <c r="Q5" s="21" t="str">
        <f ca="1">IFERROR(__xludf.DUMMYFUNCTION("""COMPUTED_VALUE"""),"Currency")</f>
        <v>Currency</v>
      </c>
      <c r="R5" s="21" t="str">
        <f ca="1">IFERROR(__xludf.DUMMYFUNCTION("""COMPUTED_VALUE"""),"Description")</f>
        <v>Description</v>
      </c>
      <c r="S5" s="21" t="str">
        <f ca="1">IFERROR(__xludf.DUMMYFUNCTION("""COMPUTED_VALUE"""),"EndDate")</f>
        <v>EndDate</v>
      </c>
      <c r="T5" s="23" t="str">
        <f ca="1">IFERROR(__xludf.DUMMYFUNCTION("""COMPUTED_VALUE"""),"ExchangeID")</f>
        <v>ExchangeID</v>
      </c>
      <c r="U5" s="23" t="str">
        <f ca="1">IFERROR(__xludf.DUMMYFUNCTION("""COMPUTED_VALUE"""),"Expiration Date")</f>
        <v>Expiration Date</v>
      </c>
      <c r="V5" s="23" t="str">
        <f ca="1">IFERROR(__xludf.DUMMYFUNCTION("""COMPUTED_VALUE"""),"ExpiredQty")</f>
        <v>ExpiredQty</v>
      </c>
      <c r="W5" s="23" t="str">
        <f ca="1">IFERROR(__xludf.DUMMYFUNCTION("""COMPUTED_VALUE"""),"ExpiredTaxlotID")</f>
        <v>ExpiredTaxlotID</v>
      </c>
      <c r="X5" s="23" t="str">
        <f ca="1">IFERROR(__xludf.DUMMYFUNCTION("""COMPUTED_VALUE"""),"FXRate")</f>
        <v>FXRate</v>
      </c>
      <c r="Y5" s="23" t="str">
        <f ca="1">IFERROR(__xludf.DUMMYFUNCTION("""COMPUTED_VALUE"""),"FXRateoperator")</f>
        <v>FXRateoperator</v>
      </c>
      <c r="Z5" s="23" t="str">
        <f ca="1">IFERROR(__xludf.DUMMYFUNCTION("""COMPUTED_VALUE"""),"ID")</f>
        <v>ID</v>
      </c>
      <c r="AA5" s="23" t="str">
        <f ca="1">IFERROR(__xludf.DUMMYFUNCTION("""COMPUTED_VALUE"""),"If Pay/Recevie Changes")</f>
        <v>If Pay/Recevie Changes</v>
      </c>
      <c r="AB5" s="23" t="str">
        <f ca="1">IFERROR(__xludf.DUMMYFUNCTION("""COMPUTED_VALUE"""),"IntPositionType")</f>
        <v>IntPositionType</v>
      </c>
      <c r="AC5" s="23" t="str">
        <f ca="1">IFERROR(__xludf.DUMMYFUNCTION("""COMPUTED_VALUE"""),"LeadCurrencyID")</f>
        <v>LeadCurrencyID</v>
      </c>
      <c r="AD5" s="23" t="str">
        <f ca="1">IFERROR(__xludf.DUMMYFUNCTION("""COMPUTED_VALUE"""),"Leveraged Factor")</f>
        <v>Leveraged Factor</v>
      </c>
      <c r="AE5" s="23" t="str">
        <f ca="1">IFERROR(__xludf.DUMMYFUNCTION("""COMPUTED_VALUE"""),"MarkPriceForMonth")</f>
        <v>MarkPriceForMonth</v>
      </c>
      <c r="AF5" s="23" t="str">
        <f ca="1">IFERROR(__xludf.DUMMYFUNCTION("""COMPUTED_VALUE"""),"MonthToDateRealizedProfit")</f>
        <v>MonthToDateRealizedProfit</v>
      </c>
      <c r="AG5" s="23" t="str">
        <f ca="1">IFERROR(__xludf.DUMMYFUNCTION("""COMPUTED_VALUE"""),"Multiplier")</f>
        <v>Multiplier</v>
      </c>
      <c r="AH5" s="23" t="str">
        <f ca="1">IFERROR(__xludf.DUMMYFUNCTION("""COMPUTED_VALUE"""),"NotionalValue")</f>
        <v>NotionalValue</v>
      </c>
      <c r="AI5" s="23" t="str">
        <f ca="1">IFERROR(__xludf.DUMMYFUNCTION("""COMPUTED_VALUE"""),"OCC Fee")</f>
        <v>OCC Fee</v>
      </c>
      <c r="AJ5" s="23" t="str">
        <f ca="1">IFERROR(__xludf.DUMMYFUNCTION("""COMPUTED_VALUE"""),"OpenQty")</f>
        <v>OpenQty</v>
      </c>
      <c r="AK5" s="23" t="str">
        <f ca="1">IFERROR(__xludf.DUMMYFUNCTION("""COMPUTED_VALUE"""),"Option Activated")</f>
        <v>Option Activated</v>
      </c>
      <c r="AL5" s="23" t="str">
        <f ca="1">IFERROR(__xludf.DUMMYFUNCTION("""COMPUTED_VALUE"""),"Option Type")</f>
        <v>Option Type</v>
      </c>
      <c r="AM5" s="23" t="str">
        <f ca="1">IFERROR(__xludf.DUMMYFUNCTION("""COMPUTED_VALUE"""),"OptionPremiumAdjustment")</f>
        <v>OptionPremiumAdjustment</v>
      </c>
      <c r="AN5" s="23" t="str">
        <f ca="1">IFERROR(__xludf.DUMMYFUNCTION("""COMPUTED_VALUE"""),"ORF Fee")</f>
        <v>ORF Fee</v>
      </c>
      <c r="AO5" s="23" t="str">
        <f ca="1">IFERROR(__xludf.DUMMYFUNCTION("""COMPUTED_VALUE"""),"Original Side")</f>
        <v>Original Side</v>
      </c>
      <c r="AP5" s="23" t="str">
        <f ca="1">IFERROR(__xludf.DUMMYFUNCTION("""COMPUTED_VALUE"""),"OriginalPurchaseDate")</f>
        <v>OriginalPurchaseDate</v>
      </c>
      <c r="AQ5" s="23" t="str">
        <f ca="1">IFERROR(__xludf.DUMMYFUNCTION("""COMPUTED_VALUE"""),"Other Broker Fees")</f>
        <v>Other Broker Fees</v>
      </c>
      <c r="AR5" s="23" t="str">
        <f ca="1">IFERROR(__xludf.DUMMYFUNCTION("""COMPUTED_VALUE"""),"ParentTradeDate")</f>
        <v>ParentTradeDate</v>
      </c>
      <c r="AS5" s="23" t="str">
        <f ca="1">IFERROR(__xludf.DUMMYFUNCTION("""COMPUTED_VALUE"""),"Pay/Recive")</f>
        <v>Pay/Recive</v>
      </c>
      <c r="AT5" s="23" t="str">
        <f ca="1">IFERROR(__xludf.DUMMYFUNCTION("""COMPUTED_VALUE"""),"PositionType")</f>
        <v>PositionType</v>
      </c>
      <c r="AU5" s="23" t="str">
        <f ca="1">IFERROR(__xludf.DUMMYFUNCTION("""COMPUTED_VALUE"""),"ProcessDate")</f>
        <v>ProcessDate</v>
      </c>
      <c r="AV5" s="23" t="str">
        <f ca="1">IFERROR(__xludf.DUMMYFUNCTION("""COMPUTED_VALUE"""),"QtyCurrency")</f>
        <v>QtyCurrency</v>
      </c>
      <c r="AW5" s="23" t="str">
        <f ca="1">IFERROR(__xludf.DUMMYFUNCTION("""COMPUTED_VALUE"""),"Quantity")</f>
        <v>Quantity</v>
      </c>
      <c r="AX5" s="23" t="str">
        <f ca="1">IFERROR(__xludf.DUMMYFUNCTION("""COMPUTED_VALUE"""),"RecordType")</f>
        <v>RecordType</v>
      </c>
      <c r="AY5" s="23" t="str">
        <f ca="1">IFERROR(__xludf.DUMMYFUNCTION("""COMPUTED_VALUE"""),"SEC Fee")</f>
        <v>SEC Fee</v>
      </c>
      <c r="AZ5" s="23" t="str">
        <f ca="1">IFERROR(__xludf.DUMMYFUNCTION("""COMPUTED_VALUE"""),"Settlement Currency")</f>
        <v>Settlement Currency</v>
      </c>
      <c r="BA5" s="23" t="str">
        <f ca="1">IFERROR(__xludf.DUMMYFUNCTION("""COMPUTED_VALUE"""),"Settlement Date")</f>
        <v>Settlement Date</v>
      </c>
      <c r="BB5" s="23" t="str">
        <f ca="1">IFERROR(__xludf.DUMMYFUNCTION("""COMPUTED_VALUE"""),"Settlement FxRate")</f>
        <v>Settlement FxRate</v>
      </c>
      <c r="BC5" s="23" t="str">
        <f ca="1">IFERROR(__xludf.DUMMYFUNCTION("""COMPUTED_VALUE"""),"Settlement FxRate Operator")</f>
        <v>Settlement FxRate Operator</v>
      </c>
      <c r="BD5" s="23" t="str">
        <f ca="1">IFERROR(__xludf.DUMMYFUNCTION("""COMPUTED_VALUE"""),"Settlement Price")</f>
        <v>Settlement Price</v>
      </c>
      <c r="BE5" s="23" t="str">
        <f ca="1">IFERROR(__xludf.DUMMYFUNCTION("""COMPUTED_VALUE"""),"Side")</f>
        <v>Side</v>
      </c>
      <c r="BF5" s="23" t="str">
        <f ca="1">IFERROR(__xludf.DUMMYFUNCTION("""COMPUTED_VALUE"""),"Soft Commission")</f>
        <v>Soft Commission</v>
      </c>
      <c r="BG5" s="23" t="str">
        <f ca="1">IFERROR(__xludf.DUMMYFUNCTION("""COMPUTED_VALUE"""),"Stamp Duty")</f>
        <v>Stamp Duty</v>
      </c>
      <c r="BH5" s="23" t="str">
        <f ca="1">IFERROR(__xludf.DUMMYFUNCTION("""COMPUTED_VALUE"""),"StartTaxlotID")</f>
        <v>StartTaxlotID</v>
      </c>
      <c r="BI5" s="23" t="str">
        <f ca="1">IFERROR(__xludf.DUMMYFUNCTION("""COMPUTED_VALUE"""),"Status")</f>
        <v>Status</v>
      </c>
      <c r="BJ5" s="23" t="str">
        <f ca="1">IFERROR(__xludf.DUMMYFUNCTION("""COMPUTED_VALUE"""),"Strategy")</f>
        <v>Strategy</v>
      </c>
      <c r="BK5" s="23" t="str">
        <f ca="1">IFERROR(__xludf.DUMMYFUNCTION("""COMPUTED_VALUE"""),"Strike Price")</f>
        <v>Strike Price</v>
      </c>
      <c r="BL5" s="23" t="str">
        <f ca="1">IFERROR(__xludf.DUMMYFUNCTION("""COMPUTED_VALUE"""),"Symbol")</f>
        <v>Symbol</v>
      </c>
      <c r="BM5" s="23" t="str">
        <f ca="1">IFERROR(__xludf.DUMMYFUNCTION("""COMPUTED_VALUE"""),"SymbolAveragePrice")</f>
        <v>SymbolAveragePrice</v>
      </c>
      <c r="BN5" s="23" t="str">
        <f ca="1">IFERROR(__xludf.DUMMYFUNCTION("""COMPUTED_VALUE"""),"Tax On Commissions")</f>
        <v>Tax On Commissions</v>
      </c>
      <c r="BO5" s="23" t="str">
        <f ca="1">IFERROR(__xludf.DUMMYFUNCTION("""COMPUTED_VALUE"""),"TaxLotClosingId")</f>
        <v>TaxLotClosingId</v>
      </c>
      <c r="BP5" s="23" t="str">
        <f ca="1">IFERROR(__xludf.DUMMYFUNCTION("""COMPUTED_VALUE"""),"Trade Date")</f>
        <v>Trade Date</v>
      </c>
      <c r="BQ5" s="23" t="str">
        <f ca="1">IFERROR(__xludf.DUMMYFUNCTION("""COMPUTED_VALUE"""),"Transaction Levy")</f>
        <v>Transaction Levy</v>
      </c>
      <c r="BR5" s="23" t="str">
        <f ca="1">IFERROR(__xludf.DUMMYFUNCTION("""COMPUTED_VALUE"""),"Transaction Type")</f>
        <v>Transaction Type</v>
      </c>
      <c r="BS5" s="23" t="str">
        <f ca="1">IFERROR(__xludf.DUMMYFUNCTION("""COMPUTED_VALUE"""),"TransactionSource")</f>
        <v>TransactionSource</v>
      </c>
      <c r="BT5" s="23" t="str">
        <f ca="1">IFERROR(__xludf.DUMMYFUNCTION("""COMPUTED_VALUE"""),"Underlying Symbol")</f>
        <v>Underlying Symbol</v>
      </c>
      <c r="BU5" s="23" t="str">
        <f ca="1">IFERROR(__xludf.DUMMYFUNCTION("""COMPUTED_VALUE"""),"UnderlyingID")</f>
        <v>UnderlyingID</v>
      </c>
      <c r="BV5" s="23" t="str">
        <f ca="1">IFERROR(__xludf.DUMMYFUNCTION("""COMPUTED_VALUE"""),"Venue")</f>
        <v>Venue</v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4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4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8</v>
      </c>
      <c r="C3" s="16" t="s">
        <v>25</v>
      </c>
      <c r="D3" s="3" t="s">
        <v>9</v>
      </c>
      <c r="E3" s="16" t="s">
        <v>26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 Name")</f>
        <v>Account Name</v>
      </c>
      <c r="C5" s="21" t="str">
        <f ca="1">IFERROR(__xludf.DUMMYFUNCTION("""COMPUTED_VALUE"""),"Accrual Basis")</f>
        <v>Accrual Basis</v>
      </c>
      <c r="D5" s="21" t="str">
        <f ca="1">IFERROR(__xludf.DUMMYFUNCTION("""COMPUTED_VALUE"""),"Accrued Interest")</f>
        <v>Accrued Interest</v>
      </c>
      <c r="E5" s="21" t="str">
        <f ca="1">IFERROR(__xludf.DUMMYFUNCTION("""COMPUTED_VALUE"""),"Allocated Qty")</f>
        <v>Allocated Qty</v>
      </c>
      <c r="F5" s="22" t="str">
        <f ca="1">IFERROR(__xludf.DUMMYFUNCTION("""COMPUTED_VALUE"""),"Allocation Scheme Name")</f>
        <v>Allocation Scheme Name</v>
      </c>
      <c r="G5" s="21" t="str">
        <f ca="1">IFERROR(__xludf.DUMMYFUNCTION("""COMPUTED_VALUE"""),"Asset Category")</f>
        <v>Asset Category</v>
      </c>
      <c r="H5" s="21" t="str">
        <f ca="1">IFERROR(__xludf.DUMMYFUNCTION("""COMPUTED_VALUE"""),"AUEC Fee1")</f>
        <v>AUEC Fee1</v>
      </c>
      <c r="I5" s="21" t="str">
        <f ca="1">IFERROR(__xludf.DUMMYFUNCTION("""COMPUTED_VALUE"""),"AUEC Fee2")</f>
        <v>AUEC Fee2</v>
      </c>
      <c r="J5" s="21" t="str">
        <f ca="1">IFERROR(__xludf.DUMMYFUNCTION("""COMPUTED_VALUE"""),"AUECID")</f>
        <v>AUECID</v>
      </c>
      <c r="K5" s="21" t="str">
        <f ca="1">IFERROR(__xludf.DUMMYFUNCTION("""COMPUTED_VALUE"""),"Avg Price(Base)")</f>
        <v>Avg Price(Base)</v>
      </c>
      <c r="L5" s="21" t="str">
        <f ca="1">IFERROR(__xludf.DUMMYFUNCTION("""COMPUTED_VALUE"""),"Avg Price(Local)")</f>
        <v>Avg Price(Local)</v>
      </c>
      <c r="M5" s="21" t="str">
        <f ca="1">IFERROR(__xludf.DUMMYFUNCTION("""COMPUTED_VALUE"""),"Bloomberg")</f>
        <v>Bloomberg</v>
      </c>
      <c r="N5" s="21" t="str">
        <f ca="1">IFERROR(__xludf.DUMMYFUNCTION("""COMPUTED_VALUE"""),"Bond Type")</f>
        <v>Bond Type</v>
      </c>
      <c r="O5" s="21" t="str">
        <f ca="1">IFERROR(__xludf.DUMMYFUNCTION("""COMPUTED_VALUE"""),"Broker")</f>
        <v>Broker</v>
      </c>
      <c r="P5" s="21" t="str">
        <f ca="1">IFERROR(__xludf.DUMMYFUNCTION("""COMPUTED_VALUE"""),"Change Comment")</f>
        <v>Change Comment</v>
      </c>
      <c r="Q5" s="21" t="str">
        <f ca="1">IFERROR(__xludf.DUMMYFUNCTION("""COMPUTED_VALUE"""),"Change Type")</f>
        <v>Change Type</v>
      </c>
      <c r="R5" s="21" t="str">
        <f ca="1">IFERROR(__xludf.DUMMYFUNCTION("""COMPUTED_VALUE"""),"Clearing Broker Fee")</f>
        <v>Clearing Broker Fee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IFERROR(__xludf.DUMMYFUNCTION("""COMPUTED_VALUE"""),"Exceution Time")</f>
        <v>Exceution Time</v>
      </c>
      <c r="AG5" s="23" t="str">
        <f ca="1">IFERROR(__xludf.DUMMYFUNCTION("""COMPUTED_VALUE"""),"Expiration Date")</f>
        <v>Expiration Date</v>
      </c>
      <c r="AH5" s="23" t="str">
        <f ca="1">IFERROR(__xludf.DUMMYFUNCTION("""COMPUTED_VALUE"""),"FX Conversion Operator")</f>
        <v>FX Conversion Operator</v>
      </c>
      <c r="AI5" s="23" t="str">
        <f ca="1">IFERROR(__xludf.DUMMYFUNCTION("""COMPUTED_VALUE"""),"FX Rate")</f>
        <v>FX Rate</v>
      </c>
      <c r="AJ5" s="23" t="str">
        <f ca="1">IFERROR(__xludf.DUMMYFUNCTION("""COMPUTED_VALUE"""),"Group Status")</f>
        <v>Group Status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IFERROR(__xludf.DUMMYFUNCTION("""COMPUTED_VALUE"""),"IsManualGroup")</f>
        <v>IsManualGroup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IFERROR(__xludf.DUMMYFUNCTION("""COMPUTED_VALUE"""),"Strategy Name")</f>
        <v>Strategy Name</v>
      </c>
      <c r="BT5" s="23" t="str">
        <f ca="1">IFERROR(__xludf.DUMMYFUNCTION("""COMPUTED_VALUE"""),"Symbol")</f>
        <v>Symbol</v>
      </c>
      <c r="BU5" s="23" t="str">
        <f ca="1">IFERROR(__xludf.DUMMYFUNCTION("""COMPUTED_VALUE"""),"Tax On Commissions")</f>
        <v>Tax On Commissions</v>
      </c>
      <c r="BV5" s="23" t="str">
        <f ca="1">IFERROR(__xludf.DUMMYFUNCTION("""COMPUTED_VALUE"""),"Total Commission")</f>
        <v>Total Commission</v>
      </c>
      <c r="BW5" s="23" t="str">
        <f ca="1">IFERROR(__xludf.DUMMYFUNCTION("""COMPUTED_VALUE"""),"Total Commission And Fee")</f>
        <v>Total Commission And Fee</v>
      </c>
      <c r="BX5" s="23" t="str">
        <f ca="1">IFERROR(__xludf.DUMMYFUNCTION("""COMPUTED_VALUE"""),"Total Commission Per Share")</f>
        <v>Total Commission Per Share</v>
      </c>
      <c r="BY5" s="23" t="str">
        <f ca="1">IFERROR(__xludf.DUMMYFUNCTION("""COMPUTED_VALUE"""),"Trade Attribute 1")</f>
        <v>Trade Attribute 1</v>
      </c>
      <c r="BZ5" s="23" t="str">
        <f ca="1">IFERROR(__xludf.DUMMYFUNCTION("""COMPUTED_VALUE"""),"Trade Attribute 2")</f>
        <v>Trade Attribute 2</v>
      </c>
      <c r="CA5" s="23" t="str">
        <f ca="1">IFERROR(__xludf.DUMMYFUNCTION("""COMPUTED_VALUE"""),"Trade Attribute 3")</f>
        <v>Trade Attribute 3</v>
      </c>
      <c r="CB5" s="23" t="str">
        <f ca="1">IFERROR(__xludf.DUMMYFUNCTION("""COMPUTED_VALUE"""),"Trade Attribute 4")</f>
        <v>Trade Attribute 4</v>
      </c>
      <c r="CC5" s="23" t="str">
        <f ca="1">IFERROR(__xludf.DUMMYFUNCTION("""COMPUTED_VALUE"""),"Trade Attribute 5")</f>
        <v>Trade Attribute 5</v>
      </c>
      <c r="CD5" s="23" t="str">
        <f ca="1">IFERROR(__xludf.DUMMYFUNCTION("""COMPUTED_VALUE"""),"Trade Attribute 6")</f>
        <v>Trade Attribute 6</v>
      </c>
      <c r="CE5" s="23" t="str">
        <f ca="1">IFERROR(__xludf.DUMMYFUNCTION("""COMPUTED_VALUE"""),"Trade Date")</f>
        <v>Trade Date</v>
      </c>
      <c r="CF5" s="23" t="str">
        <f ca="1">IFERROR(__xludf.DUMMYFUNCTION("""COMPUTED_VALUE"""),"Trading Account")</f>
        <v>Trading Account</v>
      </c>
      <c r="CG5" s="23" t="str">
        <f ca="1">IFERROR(__xludf.DUMMYFUNCTION("""COMPUTED_VALUE"""),"Transaction Levy")</f>
        <v>Transaction Levy</v>
      </c>
      <c r="CH5" s="23" t="str">
        <f ca="1">IFERROR(__xludf.DUMMYFUNCTION("""COMPUTED_VALUE"""),"Transaction Source")</f>
        <v>Transaction Source</v>
      </c>
      <c r="CI5" s="23" t="str">
        <f ca="1">IFERROR(__xludf.DUMMYFUNCTION("""COMPUTED_VALUE"""),"Transaction Type")</f>
        <v>Transaction Type</v>
      </c>
      <c r="CJ5" s="23" t="str">
        <f ca="1">IFERROR(__xludf.DUMMYFUNCTION("""COMPUTED_VALUE"""),"UnAllocatedQty")</f>
        <v>UnAllocatedQty</v>
      </c>
      <c r="CK5" s="23" t="str">
        <f ca="1">IFERROR(__xludf.DUMMYFUNCTION("""COMPUTED_VALUE"""),"Underlying")</f>
        <v>Underlying</v>
      </c>
      <c r="CL5" s="23" t="str">
        <f ca="1">IFERROR(__xludf.DUMMYFUNCTION("""COMPUTED_VALUE"""),"Underlying Delta")</f>
        <v>Underlying Delta</v>
      </c>
      <c r="CM5" s="23" t="str">
        <f ca="1">IFERROR(__xludf.DUMMYFUNCTION("""COMPUTED_VALUE"""),"Underlying Symbol")</f>
        <v>Underlying Symbol</v>
      </c>
      <c r="CN5" s="23" t="str">
        <f ca="1">IFERROR(__xludf.DUMMYFUNCTION("""COMPUTED_VALUE"""),"User")</f>
        <v>User</v>
      </c>
      <c r="CO5" s="23" t="str">
        <f ca="1">IFERROR(__xludf.DUMMYFUNCTION("""COMPUTED_VALUE"""),"Venue")</f>
        <v>Venue</v>
      </c>
      <c r="CP5" s="23" t="str">
        <f ca="1">IFERROR(__xludf.DUMMYFUNCTION("""COMPUTED_VALUE"""),"Closing Method")</f>
        <v>Closing Method</v>
      </c>
      <c r="CQ5" s="23" t="str">
        <f ca="1">IFERROR(__xludf.DUMMYFUNCTION("""COMPUTED_VALUE"""),"Closing Date")</f>
        <v>Closing Date</v>
      </c>
      <c r="CR5" s="23" t="str">
        <f ca="1">IFERROR(__xludf.DUMMYFUNCTION("""COMPUTED_VALUE"""),"GroupID")</f>
        <v>GroupID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"/>
      <c r="B6" s="4" t="s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AX6" s="29">
        <v>0</v>
      </c>
      <c r="BG6" s="33">
        <f t="shared" ref="BG6:BG11" ca="1" si="0">TODAY()</f>
        <v>43867</v>
      </c>
      <c r="BO6" s="29" t="s">
        <v>19</v>
      </c>
      <c r="BT6" s="29" t="s">
        <v>18</v>
      </c>
      <c r="CE6" s="33">
        <f t="shared" ref="CE6:CE11" ca="1" si="1">TODAY()</f>
        <v>43867</v>
      </c>
    </row>
    <row r="7" spans="1:154" ht="15.75" customHeight="1" x14ac:dyDescent="0.2">
      <c r="A7" s="2"/>
      <c r="B7" s="4" t="s">
        <v>20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AX7" s="29">
        <v>0</v>
      </c>
      <c r="BG7" s="33">
        <f t="shared" ca="1" si="0"/>
        <v>43867</v>
      </c>
      <c r="BO7" s="29" t="s">
        <v>19</v>
      </c>
      <c r="BT7" s="29" t="s">
        <v>21</v>
      </c>
      <c r="CE7" s="33">
        <f t="shared" ca="1" si="1"/>
        <v>43867</v>
      </c>
    </row>
    <row r="8" spans="1:154" ht="15.75" customHeight="1" x14ac:dyDescent="0.2">
      <c r="A8" s="2"/>
      <c r="B8" s="4" t="s">
        <v>20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AX8" s="29">
        <v>800000</v>
      </c>
      <c r="BG8" s="33">
        <f t="shared" ca="1" si="0"/>
        <v>43867</v>
      </c>
      <c r="BO8" s="29" t="s">
        <v>27</v>
      </c>
      <c r="BT8" s="29" t="s">
        <v>28</v>
      </c>
      <c r="CE8" s="33">
        <f t="shared" ca="1" si="1"/>
        <v>43867</v>
      </c>
    </row>
    <row r="9" spans="1:154" ht="15.75" customHeight="1" x14ac:dyDescent="0.2">
      <c r="A9" s="2"/>
      <c r="B9" s="4" t="s">
        <v>20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AX9" s="29">
        <v>700000</v>
      </c>
      <c r="BG9" s="33">
        <f t="shared" ca="1" si="0"/>
        <v>43867</v>
      </c>
      <c r="BO9" s="29" t="s">
        <v>29</v>
      </c>
      <c r="BT9" s="29" t="s">
        <v>30</v>
      </c>
      <c r="CE9" s="33">
        <f t="shared" ca="1" si="1"/>
        <v>43867</v>
      </c>
    </row>
    <row r="10" spans="1:154" ht="15.75" customHeight="1" x14ac:dyDescent="0.2">
      <c r="A10" s="2"/>
      <c r="B10" s="4" t="s">
        <v>20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AX10" s="29">
        <v>-700000</v>
      </c>
      <c r="BG10" s="33">
        <f t="shared" ca="1" si="0"/>
        <v>43867</v>
      </c>
      <c r="BO10" s="29" t="s">
        <v>31</v>
      </c>
      <c r="BT10" s="29" t="s">
        <v>18</v>
      </c>
      <c r="CE10" s="33">
        <f t="shared" ca="1" si="1"/>
        <v>43867</v>
      </c>
    </row>
    <row r="11" spans="1:154" ht="15.75" customHeight="1" x14ac:dyDescent="0.2">
      <c r="A11" s="2"/>
      <c r="B11" s="4" t="s">
        <v>20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AX11" s="29">
        <v>-800000</v>
      </c>
      <c r="BG11" s="33">
        <f t="shared" ca="1" si="0"/>
        <v>43867</v>
      </c>
      <c r="BO11" s="29" t="s">
        <v>31</v>
      </c>
      <c r="BT11" s="29" t="s">
        <v>21</v>
      </c>
      <c r="CE11" s="33">
        <f t="shared" ca="1" si="1"/>
        <v>43867</v>
      </c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0" width="37.7109375" customWidth="1"/>
    <col min="11" max="11" width="17.42578125" customWidth="1"/>
    <col min="12" max="154" width="14.42578125" customWidth="1"/>
  </cols>
  <sheetData>
    <row r="1" spans="1:154" ht="15.75" customHeight="1" x14ac:dyDescent="0.3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8</v>
      </c>
      <c r="C3" s="16" t="s">
        <v>12</v>
      </c>
      <c r="D3" s="3" t="s">
        <v>9</v>
      </c>
      <c r="E3" s="16" t="s">
        <v>13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IFERROR(__xludf.DUMMYFUNCTION("""COMPUTED_VALUE"""),"Method")</f>
        <v>Method</v>
      </c>
      <c r="C5" s="21" t="str">
        <f ca="1">IFERROR(__xludf.DUMMYFUNCTION("""COMPUTED_VALUE"""),"Global Algorithm")</f>
        <v>Global Algorithm</v>
      </c>
      <c r="D5" s="21" t="str">
        <f ca="1">IFERROR(__xludf.DUMMYFUNCTION("""COMPUTED_VALUE"""),"Secondary Sort Criteria")</f>
        <v>Secondary Sort Criteria</v>
      </c>
      <c r="E5" s="21" t="str">
        <f ca="1">IFERROR(__xludf.DUMMYFUNCTION("""COMPUTED_VALUE"""),"Override Global Algorithm")</f>
        <v>Override Global Algorithm</v>
      </c>
      <c r="F5" s="22" t="str">
        <f ca="1">IFERROR(__xludf.DUMMYFUNCTION("""COMPUTED_VALUE"""),"Can close Sell Short with Buy and Buy to Open")</f>
        <v>Can close Sell Short with Buy and Buy to Open</v>
      </c>
      <c r="G5" s="21" t="str">
        <f ca="1">IFERROR(__xludf.DUMMYFUNCTION("""COMPUTED_VALUE"""),"Can close Sell with Buy to Close")</f>
        <v>Can close Sell with Buy to Close</v>
      </c>
      <c r="H5" s="21" t="str">
        <f ca="1">IFERROR(__xludf.DUMMYFUNCTION("""COMPUTED_VALUE"""),"Fetch Data Automatically")</f>
        <v>Fetch Data Automatically</v>
      </c>
      <c r="I5" s="21" t="str">
        <f ca="1">IFERROR(__xludf.DUMMYFUNCTION("""COMPUTED_VALUE"""),"Auto Close Stategy")</f>
        <v>Auto Close Stategy</v>
      </c>
      <c r="J5" s="21" t="str">
        <f ca="1">IFERROR(__xludf.DUMMYFUNCTION("""COMPUTED_VALUE"""),"Exercise/Assign CheckSide Validation")</f>
        <v>Exercise/Assign CheckSide Validation</v>
      </c>
      <c r="K5" s="21" t="str">
        <f ca="1">IFERROR(__xludf.DUMMYFUNCTION("""COMPUTED_VALUE"""),"Long Term Tax Rate (%)")</f>
        <v>Long Term Tax Rate (%)</v>
      </c>
      <c r="L5" s="21" t="str">
        <f ca="1">IFERROR(__xludf.DUMMYFUNCTION("""COMPUTED_VALUE"""),"Short Term Tax Rate (%)")</f>
        <v>Short Term Tax Rate (%)</v>
      </c>
      <c r="M5" s="21" t="str">
        <f ca="1">IFERROR(__xludf.DUMMYFUNCTION("""COMPUTED_VALUE"""),"Quantity round off digits")</f>
        <v>Quantity round off digits</v>
      </c>
      <c r="N5" s="21" t="str">
        <f ca="1">IFERROR(__xludf.DUMMYFUNCTION("""COMPUTED_VALUE"""),"Price round off digits")</f>
        <v>Price round off digits</v>
      </c>
      <c r="O5" s="21" t="str">
        <f ca="1">IFERROR(__xludf.DUMMYFUNCTION("""COMPUTED_VALUE"""),"Closing Field")</f>
        <v>Closing Field</v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4" t="b">
        <v>0</v>
      </c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8</v>
      </c>
      <c r="C3" s="16" t="s">
        <v>12</v>
      </c>
      <c r="D3" s="3" t="s">
        <v>9</v>
      </c>
      <c r="E3" s="16" t="s">
        <v>32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IFERROR(__xludf.DUMMYFUNCTION("""COMPUTED_VALUE"""),"Asset Class")</f>
        <v>Asset Class</v>
      </c>
      <c r="D5" s="21" t="str">
        <f ca="1">IFERROR(__xludf.DUMMYFUNCTION("""COMPUTED_VALUE"""),"checkBox")</f>
        <v>checkBox</v>
      </c>
      <c r="E5" s="21" t="str">
        <f ca="1">IFERROR(__xludf.DUMMYFUNCTION("""COMPUTED_VALUE"""),"Close Date")</f>
        <v>Close Date</v>
      </c>
      <c r="F5" s="22" t="str">
        <f ca="1">IFERROR(__xludf.DUMMYFUNCTION("""COMPUTED_VALUE"""),"ClosedAveragePrice")</f>
        <v>ClosedAveragePrice</v>
      </c>
      <c r="G5" s="21" t="str">
        <f ca="1">IFERROR(__xludf.DUMMYFUNCTION("""COMPUTED_VALUE"""),"ClosedQty")</f>
        <v>ClosedQty</v>
      </c>
      <c r="H5" s="21" t="str">
        <f ca="1">IFERROR(__xludf.DUMMYFUNCTION("""COMPUTED_VALUE"""),"Closing Method")</f>
        <v>Closing Method</v>
      </c>
      <c r="I5" s="21" t="str">
        <f ca="1">IFERROR(__xludf.DUMMYFUNCTION("""COMPUTED_VALUE"""),"ClosingID")</f>
        <v>ClosingID</v>
      </c>
      <c r="J5" s="21" t="str">
        <f ca="1">IFERROR(__xludf.DUMMYFUNCTION("""COMPUTED_VALUE"""),"ClosingMode")</f>
        <v>ClosingMode</v>
      </c>
      <c r="K5" s="21" t="str">
        <f ca="1">IFERROR(__xludf.DUMMYFUNCTION("""COMPUTED_VALUE"""),"ClosingPositionTag")</f>
        <v>ClosingPositionTag</v>
      </c>
      <c r="L5" s="21" t="str">
        <f ca="1">IFERROR(__xludf.DUMMYFUNCTION("""COMPUTED_VALUE"""),"ClosingSide")</f>
        <v>ClosingSide</v>
      </c>
      <c r="M5" s="21" t="str">
        <f ca="1">IFERROR(__xludf.DUMMYFUNCTION("""COMPUTED_VALUE"""),"ClosingTotalCommissionandFees")</f>
        <v>ClosingTotalCommissionandFees</v>
      </c>
      <c r="N5" s="21" t="str">
        <f ca="1">IFERROR(__xludf.DUMMYFUNCTION("""COMPUTED_VALUE"""),"Column1")</f>
        <v>Column1</v>
      </c>
      <c r="O5" s="21" t="str">
        <f ca="1">IFERROR(__xludf.DUMMYFUNCTION("""COMPUTED_VALUE"""),"CostBasisGrossPNL")</f>
        <v>CostBasisGrossPNL</v>
      </c>
      <c r="P5" s="21" t="str">
        <f ca="1">IFERROR(__xludf.DUMMYFUNCTION("""COMPUTED_VALUE"""),"Currency")</f>
        <v>Currency</v>
      </c>
      <c r="Q5" s="21" t="str">
        <f ca="1">IFERROR(__xludf.DUMMYFUNCTION("""COMPUTED_VALUE"""),"CurrencyID")</f>
        <v>CurrencyID</v>
      </c>
      <c r="R5" s="21" t="str">
        <f ca="1">IFERROR(__xludf.DUMMYFUNCTION("""COMPUTED_VALUE"""),"Exchange")</f>
        <v>Exchange</v>
      </c>
      <c r="S5" s="21" t="str">
        <f ca="1">IFERROR(__xludf.DUMMYFUNCTION("""COMPUTED_VALUE"""),"NotionalChange")</f>
        <v>NotionalChange</v>
      </c>
      <c r="T5" s="23" t="str">
        <f ca="1">IFERROR(__xludf.DUMMYFUNCTION("""COMPUTED_VALUE"""),"OpenAveragePrice")</f>
        <v>OpenAveragePrice</v>
      </c>
      <c r="U5" s="23" t="str">
        <f ca="1">IFERROR(__xludf.DUMMYFUNCTION("""COMPUTED_VALUE"""),"Original Purchase Date")</f>
        <v>Original Purchase Date</v>
      </c>
      <c r="V5" s="23" t="str">
        <f ca="1">IFERROR(__xludf.DUMMYFUNCTION("""COMPUTED_VALUE"""),"Position Type")</f>
        <v>Position Type</v>
      </c>
      <c r="W5" s="23" t="str">
        <f ca="1">IFERROR(__xludf.DUMMYFUNCTION("""COMPUTED_VALUE"""),"PositionSide")</f>
        <v>PositionSide</v>
      </c>
      <c r="X5" s="23" t="str">
        <f ca="1">IFERROR(__xludf.DUMMYFUNCTION("""COMPUTED_VALUE"""),"PositionTotalCommissionandFees")</f>
        <v>PositionTotalCommissionandFees</v>
      </c>
      <c r="Y5" s="23" t="str">
        <f ca="1">IFERROR(__xludf.DUMMYFUNCTION("""COMPUTED_VALUE"""),"Realized PNL(C.B.)")</f>
        <v>Realized PNL(C.B.)</v>
      </c>
      <c r="Z5" s="23" t="str">
        <f ca="1">IFERROR(__xludf.DUMMYFUNCTION("""COMPUTED_VALUE"""),"Side")</f>
        <v>Side</v>
      </c>
      <c r="AA5" s="23" t="str">
        <f ca="1">IFERROR(__xludf.DUMMYFUNCTION("""COMPUTED_VALUE"""),"Strategy")</f>
        <v>Strategy</v>
      </c>
      <c r="AB5" s="23" t="str">
        <f ca="1">IFERROR(__xludf.DUMMYFUNCTION("""COMPUTED_VALUE"""),"Symbol")</f>
        <v>Symbol</v>
      </c>
      <c r="AC5" s="23" t="str">
        <f ca="1">IFERROR(__xludf.DUMMYFUNCTION("""COMPUTED_VALUE"""),"Taxlot ID")</f>
        <v>Taxlot ID</v>
      </c>
      <c r="AD5" s="23" t="str">
        <f ca="1">IFERROR(__xludf.DUMMYFUNCTION("""COMPUTED_VALUE"""),"UnderlyingName")</f>
        <v>UnderlyingName</v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"/>
      <c r="B6" s="4" t="s">
        <v>20</v>
      </c>
      <c r="C6" s="2"/>
      <c r="D6" s="2"/>
      <c r="E6" s="34">
        <f t="shared" ref="E6:E7" ca="1" si="0">TODAY()</f>
        <v>43867</v>
      </c>
      <c r="F6" s="2"/>
      <c r="G6" s="2"/>
      <c r="H6" s="2"/>
      <c r="I6" s="2"/>
      <c r="J6" s="2"/>
      <c r="K6" s="2"/>
      <c r="L6" s="2"/>
      <c r="M6" s="2"/>
      <c r="N6" s="2"/>
      <c r="O6" s="2"/>
      <c r="Z6" s="29" t="s">
        <v>19</v>
      </c>
      <c r="AB6" s="29" t="s">
        <v>18</v>
      </c>
    </row>
    <row r="7" spans="1:154" ht="15.75" customHeight="1" x14ac:dyDescent="0.2">
      <c r="A7" s="2"/>
      <c r="B7" s="4" t="s">
        <v>20</v>
      </c>
      <c r="C7" s="2"/>
      <c r="D7" s="2"/>
      <c r="E7" s="34">
        <f t="shared" ca="1" si="0"/>
        <v>43867</v>
      </c>
      <c r="F7" s="2"/>
      <c r="G7" s="2"/>
      <c r="H7" s="2"/>
      <c r="I7" s="2"/>
      <c r="J7" s="2"/>
      <c r="K7" s="2"/>
      <c r="L7" s="2"/>
      <c r="M7" s="2"/>
      <c r="N7" s="2"/>
      <c r="O7" s="2"/>
      <c r="Z7" s="29" t="s">
        <v>19</v>
      </c>
      <c r="AB7" s="29" t="s">
        <v>21</v>
      </c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_Modules</vt:lpstr>
      <vt:lpstr>_Settings</vt:lpstr>
      <vt:lpstr>_MasterData</vt:lpstr>
      <vt:lpstr>SetClosingPreference</vt:lpstr>
      <vt:lpstr>CreateDoneAwayOrder</vt:lpstr>
      <vt:lpstr>SelectTradeUnexpiredUnsettled</vt:lpstr>
      <vt:lpstr>EditTradeUnexpiredUnsettled</vt:lpstr>
      <vt:lpstr>ExerciseAssignment</vt:lpstr>
      <vt:lpstr>CheckAllocatedGroups</vt:lpstr>
      <vt:lpstr>SetClosingPreference1</vt:lpstr>
      <vt:lpstr>VerifyExpiredSettledGrid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2020-02-06T10:27:19Z</dcterms:modified>
</cp:coreProperties>
</file>