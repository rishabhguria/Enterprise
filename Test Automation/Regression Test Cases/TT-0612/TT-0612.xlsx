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VerifyTT" sheetId="6" r:id="rId8"/>
    <sheet state="visible" name="CustomOrderTT1" sheetId="7" r:id="rId9"/>
    <sheet state="visible" name="VerifyTT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<sst xmlns="http://schemas.openxmlformats.org/spreadsheetml/2006/main" count="340" uniqueCount="49">
  <si>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</si>
  <si>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</si>
  <si>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</si>
  <si>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</si>
  <si>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</si>
  <si>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</si>
  <si>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</si>
  <si>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</si>
  <si>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</si>
  <si>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</si>
  <si>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</si>
  <si>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</si>
  <si>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</si>
  <si>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</si>
  <si>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</si>
  <si>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</si>
  <si>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</si>
  <si>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</si>
  <si>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</si>
  <si>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</si>
  <si>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CustomOrderTT</t>
  </si>
  <si>
    <t>AAPL</t>
  </si>
  <si>
    <t>SEND</t>
  </si>
  <si>
    <t>VerifyTT</t>
  </si>
  <si>
    <t>MSFT</t>
  </si>
  <si>
    <t>DONEAWAY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</si>
  <si>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</si>
  <si>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</si>
  <si>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</si>
  <si>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</si>
  <si>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</si>
  <si>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</si>
  <si>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</si>
  <si>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</si>
  <si>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</si>
  <si>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</si>
  <si>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</si>
  <si>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</si>
  <si>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</si>
  <si>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</si>
  <si>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Buy</t>
  </si>
  <si>
    <t>New</t>
  </si>
  <si>
    <t>MS</t>
  </si>
  <si>
    <t>Allocation1</t>
  </si>
  <si>
    <t>Market</t>
  </si>
  <si>
    <t>Manual</t>
  </si>
  <si>
    <t>Day</t>
  </si>
  <si>
    <t>MSFT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</si>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</sst>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5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4" fontId="14" numFmtId="0" xfId="0" applyAlignment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b">
        <v>1</v>
      </c>
      <c r="C6" s="33" t="s">
        <v>16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b">
        <v>1</v>
      </c>
      <c r="C7" s="3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b">
        <v>1</v>
      </c>
      <c r="C8" s="33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IFERROR(__xludf.DUMMYFUNCTION("""COMPUTED_VALUE"""),"Price")</f>
        <v>Price</v>
      </c>
      <c r="E5" s="29" t="str">
        <f>IFERROR(__xludf.DUMMYFUNCTION("""COMPUTED_VALUE"""),"Order type button")</f>
        <v>Order type button</v>
      </c>
      <c r="F5" s="30" t="str">
        <f>IFERROR(__xludf.DUMMYFUNCTION("""COMPUTED_VALUE"""),"SharesOutstandingPopUp")</f>
        <v>SharesOutstandingPopUp</v>
      </c>
      <c r="G5" s="29" t="str">
        <f>IFERROR(__xludf.DUMMYFUNCTION("""COMPUTED_VALUE"""),"TT_Open")</f>
        <v>TT_Open</v>
      </c>
      <c r="H5" s="29" t="str">
        <f>IFERROR(__xludf.DUMMYFUNCTION("""COMPUTED_VALUE"""),"SharesOutstandingPopUpQty")</f>
        <v>SharesOutstandingPopUpQty</v>
      </c>
      <c r="I5" s="29" t="str">
        <f>IFERROR(__xludf.DUMMYFUNCTION("""COMPUTED_VALUE"""),"AllocationMethod")</f>
        <v>AllocationMethod</v>
      </c>
      <c r="J5" s="29" t="str">
        <f>IFERROR(__xludf.DUMMYFUNCTION("""COMPUTED_VALUE"""),"Order Side")</f>
        <v>Order Side</v>
      </c>
      <c r="K5" s="29" t="str">
        <f>IFERROR(__xludf.DUMMYFUNCTION("""COMPUTED_VALUE"""),"DB_Check")</f>
        <v>DB_Check</v>
      </c>
      <c r="L5" s="29" t="str">
        <f>IFERROR(__xludf.DUMMYFUNCTION("""COMPUTED_VALUE"""),"CommissionBasis")</f>
        <v>CommissionBasis</v>
      </c>
      <c r="M5" s="29" t="str">
        <f>IFERROR(__xludf.DUMMYFUNCTION("""COMPUTED_VALUE"""),"CommissionRate")</f>
        <v>CommissionRate</v>
      </c>
      <c r="N5" s="29" t="str">
        <f>IFERROR(__xludf.DUMMYFUNCTION("""COMPUTED_VALUE"""),"SoftBasis")</f>
        <v>SoftBasis</v>
      </c>
      <c r="O5" s="29" t="str">
        <f>IFERROR(__xludf.DUMMYFUNCTION("""COMPUTED_VALUE"""),"SoftRate")</f>
        <v>SoftRate</v>
      </c>
      <c r="P5" s="29" t="str">
        <f>IFERROR(__xludf.DUMMYFUNCTION("""COMPUTED_VALUE"""),"Account")</f>
        <v>Account</v>
      </c>
      <c r="Q5" s="29" t="str">
        <f>IFERROR(__xludf.DUMMYFUNCTION("""COMPUTED_VALUE"""),"Account %")</f>
        <v>Account %</v>
      </c>
      <c r="R5" s="29" t="str">
        <f>IFERROR(__xludf.DUMMYFUNCTION("""COMPUTED_VALUE"""),"VerifySuggestions")</f>
        <v>VerifySuggestions</v>
      </c>
      <c r="S5" s="29" t="str">
        <f>IFERROR(__xludf.DUMMYFUNCTION("""COMPUTED_VALUE"""),"SymbolToPickFromSuggesstions")</f>
        <v>SymbolToPickFromSuggesstions</v>
      </c>
      <c r="T5" s="31" t="str">
        <f>IFERROR(__xludf.DUMMYFUNCTION("""COMPUTED_VALUE"""),"TypedSymbolAvailableOnSuggestion")</f>
        <v>TypedSymbolAvailableOnSuggestion</v>
      </c>
      <c r="U5" s="31" t="str">
        <f>IFERROR(__xludf.DUMMYFUNCTION("""COMPUTED_VALUE"""),"TIF")</f>
        <v>TIF</v>
      </c>
      <c r="V5" s="31" t="str">
        <f>IFERROR(__xludf.DUMMYFUNCTION("""COMPUTED_VALUE"""),"Order Type")</f>
        <v>Order Type</v>
      </c>
      <c r="W5" s="31" t="str">
        <f>IFERROR(__xludf.DUMMYFUNCTION("""COMPUTED_VALUE"""),"Stop")</f>
        <v>Stop</v>
      </c>
      <c r="X5" s="31" t="str">
        <f>IFERROR(__xludf.DUMMYFUNCTION("""COMPUTED_VALUE"""),"Limit")</f>
        <v>Limit</v>
      </c>
      <c r="Y5" s="31" t="str">
        <f>IFERROR(__xludf.DUMMYFUNCTION("""COMPUTED_VALUE"""),"Expiration Date")</f>
        <v>Expiration Date</v>
      </c>
      <c r="Z5" s="31" t="str">
        <f>IFERROR(__xludf.DUMMYFUNCTION("""COMPUTED_VALUE"""),"Trade Date")</f>
        <v>Trade Date</v>
      </c>
      <c r="AA5" s="31" t="str">
        <f>IFERROR(__xludf.DUMMYFUNCTION("""COMPUTED_VALUE"""),"Broker")</f>
        <v>Broker</v>
      </c>
      <c r="AB5" s="31" t="str">
        <f>IFERROR(__xludf.DUMMYFUNCTION("""COMPUTED_VALUE"""),"Padlock Visiblity")</f>
        <v>Padlock Visiblity</v>
      </c>
      <c r="AC5" s="31" t="str">
        <f>IFERROR(__xludf.DUMMYFUNCTION("""COMPUTED_VALUE"""),"Padlock Unlock")</f>
        <v>Padlock Unlock</v>
      </c>
      <c r="AD5" s="31" t="str">
        <f>IFERROR(__xludf.DUMMYFUNCTION("""COMPUTED_VALUE"""),"Venue")</f>
        <v>Venue</v>
      </c>
      <c r="AE5" s="31" t="str">
        <f>IFERROR(__xludf.DUMMYFUNCTION("""COMPUTED_VALUE"""),"Fx Rate")</f>
        <v>Fx Rate</v>
      </c>
      <c r="AF5" s="31" t="str">
        <f>IFERROR(__xludf.DUMMYFUNCTION("""COMPUTED_VALUE"""),"Fx Operator")</f>
        <v>Fx Operator</v>
      </c>
      <c r="AG5" s="31" t="str">
        <f>IFERROR(__xludf.DUMMYFUNCTION("""COMPUTED_VALUE"""),"PendingApprovalPopUp")</f>
        <v>PendingApprovalPopUp</v>
      </c>
      <c r="AH5" s="31" t="str">
        <f>IFERROR(__xludf.DUMMYFUNCTION("""COMPUTED_VALUE"""),"TradeBy")</f>
        <v>TradeBy</v>
      </c>
      <c r="AI5" s="31" t="str">
        <f>IFERROR(__xludf.DUMMYFUNCTION("""COMPUTED_VALUE"""),"BookAsSwap")</f>
        <v>BookAsSwap</v>
      </c>
      <c r="AJ5" s="31" t="str">
        <f>IFERROR(__xludf.DUMMYFUNCTION("""COMPUTED_VALUE"""),"RoundLot")</f>
        <v>RoundLot</v>
      </c>
      <c r="AK5" s="31" t="str">
        <f>IFERROR(__xludf.DUMMYFUNCTION("""COMPUTED_VALUE"""),"Increment")</f>
        <v>Increment</v>
      </c>
      <c r="AL5" s="31" t="str">
        <f>IFERROR(__xludf.DUMMYFUNCTION("""COMPUTED_VALUE"""),"Decrement")</f>
        <v>Decrement</v>
      </c>
      <c r="AM5" s="31" t="str">
        <f>IFERROR(__xludf.DUMMYFUNCTION("""COMPUTED_VALUE"""),"Trade Attribute 01")</f>
        <v>Trade Attribute 01</v>
      </c>
      <c r="AN5" s="31" t="str">
        <f>IFERROR(__xludf.DUMMYFUNCTION("""COMPUTED_VALUE"""),"Trade Attribute 02")</f>
        <v>Trade Attribute 02</v>
      </c>
      <c r="AO5" s="31" t="str">
        <f>IFERROR(__xludf.DUMMYFUNCTION("""COMPUTED_VALUE"""),"Trade Attribute 03")</f>
        <v>Trade Attribute 03</v>
      </c>
      <c r="AP5" s="31" t="str">
        <f>IFERROR(__xludf.DUMMYFUNCTION("""COMPUTED_VALUE"""),"Trade Attribute 04")</f>
        <v>Trade Attribute 04</v>
      </c>
      <c r="AQ5" s="31" t="str">
        <f>IFERROR(__xludf.DUMMYFUNCTION("""COMPUTED_VALUE"""),"Trade Attribute 05")</f>
        <v>Trade Attribute 05</v>
      </c>
      <c r="AR5" s="31" t="str">
        <f>IFERROR(__xludf.DUMMYFUNCTION("""COMPUTED_VALUE"""),"Trade Attribute 06")</f>
        <v>Trade Attribute 06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13">
        <v>100.0</v>
      </c>
      <c r="D6" s="13">
        <v>15.0</v>
      </c>
      <c r="E6" s="13" t="s">
        <v>22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IFERROR(__xludf.DUMMYFUNCTION("""COMPUTED_VALUE"""),"MasterFund")</f>
        <v>MasterFund</v>
      </c>
      <c r="AG5" s="31" t="str">
        <f>IFERROR(__xludf.DUMMYFUNCTION("""COMPUTED_VALUE"""),"RoundLotStrip")</f>
        <v>RoundLotStrip</v>
      </c>
      <c r="AH5" s="31" t="str">
        <f>IFERROR(__xludf.DUMMYFUNCTION("""COMPUTED_VALUE"""),"Round Lots")</f>
        <v>Round Lots</v>
      </c>
      <c r="AI5" s="31" t="str">
        <f>IFERROR(__xludf.DUMMYFUNCTION("""COMPUTED_VALUE"""),"Button_Status")</f>
        <v>Button_Status</v>
      </c>
      <c r="AJ5" s="31" t="str">
        <f>IFERROR(__xludf.DUMMYFUNCTION("""COMPUTED_VALUE"""),"Position")</f>
        <v>Position</v>
      </c>
      <c r="AK5" s="31" t="str">
        <f>IFERROR(__xludf.DUMMYFUNCTION("""COMPUTED_VALUE"""),"Symbol Name")</f>
        <v>Symbol Name</v>
      </c>
      <c r="AL5" s="31" t="str">
        <f>IFERROR(__xludf.DUMMYFUNCTION("""COMPUTED_VALUE"""),"Last")</f>
        <v>Last</v>
      </c>
      <c r="AM5" s="31" t="str">
        <f>IFERROR(__xludf.DUMMYFUNCTION("""COMPUTED_VALUE"""),"Change")</f>
        <v>Change</v>
      </c>
      <c r="AN5" s="31" t="str">
        <f>IFERROR(__xludf.DUMMYFUNCTION("""COMPUTED_VALUE"""),"Bid")</f>
        <v>Bid</v>
      </c>
      <c r="AO5" s="31" t="str">
        <f>IFERROR(__xludf.DUMMYFUNCTION("""COMPUTED_VALUE"""),"Ask")</f>
        <v>Ask</v>
      </c>
      <c r="AP5" s="31" t="str">
        <f>IFERROR(__xludf.DUMMYFUNCTION("""COMPUTED_VALUE"""),"Notional(Base)")</f>
        <v>Notional(Base)</v>
      </c>
      <c r="AQ5" s="31" t="str">
        <f>IFERROR(__xludf.DUMMYFUNCTION("""COMPUTED_VALUE"""),"Notional(Local)")</f>
        <v>Notional(Local)</v>
      </c>
      <c r="AR5" s="31" t="str">
        <f>IFERROR(__xludf.DUMMYFUNCTION("""COMPUTED_VALUE"""),"Exposure")</f>
        <v>Exposure</v>
      </c>
      <c r="AS5" s="31" t="str">
        <f>IFERROR(__xludf.DUMMYFUNCTION("""COMPUTED_VALUE"""),"Day P&amp;L")</f>
        <v>Day P&amp;L</v>
      </c>
      <c r="AT5" s="31" t="str">
        <f>IFERROR(__xludf.DUMMYFUNCTION("""COMPUTED_VALUE"""),"VerifyDisableVenue")</f>
        <v>VerifyDisableVenue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IFERROR(__xludf.DUMMYFUNCTION("""COMPUTED_VALUE"""),"Price")</f>
        <v>Price</v>
      </c>
      <c r="E5" s="29" t="str">
        <f>IFERROR(__xludf.DUMMYFUNCTION("""COMPUTED_VALUE"""),"Order type button")</f>
        <v>Order type button</v>
      </c>
      <c r="F5" s="30" t="str">
        <f>IFERROR(__xludf.DUMMYFUNCTION("""COMPUTED_VALUE"""),"SharesOutstandingPopUp")</f>
        <v>SharesOutstandingPopUp</v>
      </c>
      <c r="G5" s="29" t="str">
        <f>IFERROR(__xludf.DUMMYFUNCTION("""COMPUTED_VALUE"""),"TT_Open")</f>
        <v>TT_Open</v>
      </c>
      <c r="H5" s="29" t="str">
        <f>IFERROR(__xludf.DUMMYFUNCTION("""COMPUTED_VALUE"""),"SharesOutstandingPopUpQty")</f>
        <v>SharesOutstandingPopUpQty</v>
      </c>
      <c r="I5" s="29" t="str">
        <f>IFERROR(__xludf.DUMMYFUNCTION("""COMPUTED_VALUE"""),"AllocationMethod")</f>
        <v>AllocationMethod</v>
      </c>
      <c r="J5" s="29" t="str">
        <f>IFERROR(__xludf.DUMMYFUNCTION("""COMPUTED_VALUE"""),"Order Side")</f>
        <v>Order Side</v>
      </c>
      <c r="K5" s="29" t="str">
        <f>IFERROR(__xludf.DUMMYFUNCTION("""COMPUTED_VALUE"""),"DB_Check")</f>
        <v>DB_Check</v>
      </c>
      <c r="L5" s="29" t="str">
        <f>IFERROR(__xludf.DUMMYFUNCTION("""COMPUTED_VALUE"""),"CommissionBasis")</f>
        <v>CommissionBasis</v>
      </c>
      <c r="M5" s="29" t="str">
        <f>IFERROR(__xludf.DUMMYFUNCTION("""COMPUTED_VALUE"""),"CommissionRate")</f>
        <v>CommissionRate</v>
      </c>
      <c r="N5" s="29" t="str">
        <f>IFERROR(__xludf.DUMMYFUNCTION("""COMPUTED_VALUE"""),"SoftBasis")</f>
        <v>SoftBasis</v>
      </c>
      <c r="O5" s="29" t="str">
        <f>IFERROR(__xludf.DUMMYFUNCTION("""COMPUTED_VALUE"""),"SoftRate")</f>
        <v>SoftRate</v>
      </c>
      <c r="P5" s="29" t="str">
        <f>IFERROR(__xludf.DUMMYFUNCTION("""COMPUTED_VALUE"""),"Account")</f>
        <v>Account</v>
      </c>
      <c r="Q5" s="29" t="str">
        <f>IFERROR(__xludf.DUMMYFUNCTION("""COMPUTED_VALUE"""),"Account %")</f>
        <v>Account %</v>
      </c>
      <c r="R5" s="29" t="str">
        <f>IFERROR(__xludf.DUMMYFUNCTION("""COMPUTED_VALUE"""),"VerifySuggestions")</f>
        <v>VerifySuggestions</v>
      </c>
      <c r="S5" s="29" t="str">
        <f>IFERROR(__xludf.DUMMYFUNCTION("""COMPUTED_VALUE"""),"SymbolToPickFromSuggesstions")</f>
        <v>SymbolToPickFromSuggesstions</v>
      </c>
      <c r="T5" s="31" t="str">
        <f>IFERROR(__xludf.DUMMYFUNCTION("""COMPUTED_VALUE"""),"TypedSymbolAvailableOnSuggestion")</f>
        <v>TypedSymbolAvailableOnSuggestion</v>
      </c>
      <c r="U5" s="31" t="str">
        <f>IFERROR(__xludf.DUMMYFUNCTION("""COMPUTED_VALUE"""),"TIF")</f>
        <v>TIF</v>
      </c>
      <c r="V5" s="31" t="str">
        <f>IFERROR(__xludf.DUMMYFUNCTION("""COMPUTED_VALUE"""),"Order Type")</f>
        <v>Order Type</v>
      </c>
      <c r="W5" s="31" t="str">
        <f>IFERROR(__xludf.DUMMYFUNCTION("""COMPUTED_VALUE"""),"Stop")</f>
        <v>Stop</v>
      </c>
      <c r="X5" s="31" t="str">
        <f>IFERROR(__xludf.DUMMYFUNCTION("""COMPUTED_VALUE"""),"Limit")</f>
        <v>Limit</v>
      </c>
      <c r="Y5" s="31" t="str">
        <f>IFERROR(__xludf.DUMMYFUNCTION("""COMPUTED_VALUE"""),"Expiration Date")</f>
        <v>Expiration Date</v>
      </c>
      <c r="Z5" s="31" t="str">
        <f>IFERROR(__xludf.DUMMYFUNCTION("""COMPUTED_VALUE"""),"Trade Date")</f>
        <v>Trade Date</v>
      </c>
      <c r="AA5" s="31" t="str">
        <f>IFERROR(__xludf.DUMMYFUNCTION("""COMPUTED_VALUE"""),"Broker")</f>
        <v>Broker</v>
      </c>
      <c r="AB5" s="31" t="str">
        <f>IFERROR(__xludf.DUMMYFUNCTION("""COMPUTED_VALUE"""),"Padlock Visiblity")</f>
        <v>Padlock Visiblity</v>
      </c>
      <c r="AC5" s="31" t="str">
        <f>IFERROR(__xludf.DUMMYFUNCTION("""COMPUTED_VALUE"""),"Padlock Unlock")</f>
        <v>Padlock Unlock</v>
      </c>
      <c r="AD5" s="31" t="str">
        <f>IFERROR(__xludf.DUMMYFUNCTION("""COMPUTED_VALUE"""),"Venue")</f>
        <v>Venue</v>
      </c>
      <c r="AE5" s="31" t="str">
        <f>IFERROR(__xludf.DUMMYFUNCTION("""COMPUTED_VALUE"""),"Fx Rate")</f>
        <v>Fx Rate</v>
      </c>
      <c r="AF5" s="31" t="str">
        <f>IFERROR(__xludf.DUMMYFUNCTION("""COMPUTED_VALUE"""),"Fx Operator")</f>
        <v>Fx Operator</v>
      </c>
      <c r="AG5" s="31" t="str">
        <f>IFERROR(__xludf.DUMMYFUNCTION("""COMPUTED_VALUE"""),"PendingApprovalPopUp")</f>
        <v>PendingApprovalPopUp</v>
      </c>
      <c r="AH5" s="31" t="str">
        <f>IFERROR(__xludf.DUMMYFUNCTION("""COMPUTED_VALUE"""),"TradeBy")</f>
        <v>TradeBy</v>
      </c>
      <c r="AI5" s="31" t="str">
        <f>IFERROR(__xludf.DUMMYFUNCTION("""COMPUTED_VALUE"""),"BookAsSwap")</f>
        <v>BookAsSwap</v>
      </c>
      <c r="AJ5" s="31" t="str">
        <f>IFERROR(__xludf.DUMMYFUNCTION("""COMPUTED_VALUE"""),"RoundLot")</f>
        <v>RoundLot</v>
      </c>
      <c r="AK5" s="31" t="str">
        <f>IFERROR(__xludf.DUMMYFUNCTION("""COMPUTED_VALUE"""),"Increment")</f>
        <v>Increment</v>
      </c>
      <c r="AL5" s="31" t="str">
        <f>IFERROR(__xludf.DUMMYFUNCTION("""COMPUTED_VALUE"""),"Decrement")</f>
        <v>Decrement</v>
      </c>
      <c r="AM5" s="31" t="str">
        <f>IFERROR(__xludf.DUMMYFUNCTION("""COMPUTED_VALUE"""),"Trade Attribute 01")</f>
        <v>Trade Attribute 01</v>
      </c>
      <c r="AN5" s="31" t="str">
        <f>IFERROR(__xludf.DUMMYFUNCTION("""COMPUTED_VALUE"""),"Trade Attribute 02")</f>
        <v>Trade Attribute 02</v>
      </c>
      <c r="AO5" s="31" t="str">
        <f>IFERROR(__xludf.DUMMYFUNCTION("""COMPUTED_VALUE"""),"Trade Attribute 03")</f>
        <v>Trade Attribute 03</v>
      </c>
      <c r="AP5" s="31" t="str">
        <f>IFERROR(__xludf.DUMMYFUNCTION("""COMPUTED_VALUE"""),"Trade Attribute 04")</f>
        <v>Trade Attribute 04</v>
      </c>
      <c r="AQ5" s="31" t="str">
        <f>IFERROR(__xludf.DUMMYFUNCTION("""COMPUTED_VALUE"""),"Trade Attribute 05")</f>
        <v>Trade Attribute 05</v>
      </c>
      <c r="AR5" s="31" t="str">
        <f>IFERROR(__xludf.DUMMYFUNCTION("""COMPUTED_VALUE"""),"Trade Attribute 06")</f>
        <v>Trade Attribute 06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24</v>
      </c>
      <c r="C6" s="13">
        <v>100.0</v>
      </c>
      <c r="D6" s="13">
        <v>15.0</v>
      </c>
      <c r="E6" s="13" t="s">
        <v>25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IFERROR(__xludf.DUMMYFUNCTION("""COMPUTED_VALUE"""),"MasterFund")</f>
        <v>MasterFund</v>
      </c>
      <c r="AG5" s="31" t="str">
        <f>IFERROR(__xludf.DUMMYFUNCTION("""COMPUTED_VALUE"""),"RoundLotStrip")</f>
        <v>RoundLotStrip</v>
      </c>
      <c r="AH5" s="31" t="str">
        <f>IFERROR(__xludf.DUMMYFUNCTION("""COMPUTED_VALUE"""),"Round Lots")</f>
        <v>Round Lots</v>
      </c>
      <c r="AI5" s="31" t="str">
        <f>IFERROR(__xludf.DUMMYFUNCTION("""COMPUTED_VALUE"""),"Button_Status")</f>
        <v>Button_Status</v>
      </c>
      <c r="AJ5" s="31" t="str">
        <f>IFERROR(__xludf.DUMMYFUNCTION("""COMPUTED_VALUE"""),"Position")</f>
        <v>Position</v>
      </c>
      <c r="AK5" s="31" t="str">
        <f>IFERROR(__xludf.DUMMYFUNCTION("""COMPUTED_VALUE"""),"Symbol Name")</f>
        <v>Symbol Name</v>
      </c>
      <c r="AL5" s="31" t="str">
        <f>IFERROR(__xludf.DUMMYFUNCTION("""COMPUTED_VALUE"""),"Last")</f>
        <v>Last</v>
      </c>
      <c r="AM5" s="31" t="str">
        <f>IFERROR(__xludf.DUMMYFUNCTION("""COMPUTED_VALUE"""),"Change")</f>
        <v>Change</v>
      </c>
      <c r="AN5" s="31" t="str">
        <f>IFERROR(__xludf.DUMMYFUNCTION("""COMPUTED_VALUE"""),"Bid")</f>
        <v>Bid</v>
      </c>
      <c r="AO5" s="31" t="str">
        <f>IFERROR(__xludf.DUMMYFUNCTION("""COMPUTED_VALUE"""),"Ask")</f>
        <v>Ask</v>
      </c>
      <c r="AP5" s="31" t="str">
        <f>IFERROR(__xludf.DUMMYFUNCTION("""COMPUTED_VALUE"""),"Notional(Base)")</f>
        <v>Notional(Base)</v>
      </c>
      <c r="AQ5" s="31" t="str">
        <f>IFERROR(__xludf.DUMMYFUNCTION("""COMPUTED_VALUE"""),"Notional(Local)")</f>
        <v>Notional(Local)</v>
      </c>
      <c r="AR5" s="31" t="str">
        <f>IFERROR(__xludf.DUMMYFUNCTION("""COMPUTED_VALUE"""),"Exposure")</f>
        <v>Exposure</v>
      </c>
      <c r="AS5" s="31" t="str">
        <f>IFERROR(__xludf.DUMMYFUNCTION("""COMPUTED_VALUE"""),"Day P&amp;L")</f>
        <v>Day P&amp;L</v>
      </c>
      <c r="AT5" s="31" t="str">
        <f>IFERROR(__xludf.DUMMYFUNCTION("""COMPUTED_VALUE"""),"VerifyDisableVenue")</f>
        <v>VerifyDisableVenue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24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 t="str">
        <f>IFERROR(__xludf.DUMMYFUNCTION("""COMPUTED_VALUE"""),"Testing Type")</f>
        <v>Testing Type</v>
      </c>
      <c r="BC5" s="31" t="str">
        <f>IFERROR(__xludf.DUMMYFUNCTION("""COMPUTED_VALUE"""),"Testing Column")</f>
        <v>Testing Column</v>
      </c>
      <c r="BD5" s="31" t="str">
        <f>IFERROR(__xludf.DUMMYFUNCTION("""COMPUTED_VALUE"""),"Testing Col Value")</f>
        <v>Testing Col Value</v>
      </c>
      <c r="BE5" s="31" t="str">
        <f>IFERROR(__xludf.DUMMYFUNCTION("""COMPUTED_VALUE"""),"DuplicateRow")</f>
        <v>DuplicateRow</v>
      </c>
      <c r="BF5" s="31" t="str">
        <f>IFERROR(__xludf.DUMMYFUNCTION("""COMPUTED_VALUE"""),"DuplicateCountOnUI")</f>
        <v>DuplicateCountOnUI</v>
      </c>
      <c r="BG5" s="31" t="str">
        <f>IFERROR(__xludf.DUMMYFUNCTION("""COMPUTED_VALUE"""),"Transaction Source")</f>
        <v>Transaction Source</v>
      </c>
      <c r="BH5" s="31" t="str">
        <f>IFERROR(__xludf.DUMMYFUNCTION("""COMPUTED_VALUE"""),"TIF")</f>
        <v>TIF</v>
      </c>
      <c r="BI5" s="31" t="str">
        <f>IFERROR(__xludf.DUMMYFUNCTION("""COMPUTED_VALUE"""),"ACTIV Symbol")</f>
        <v>ACTIV Symbol</v>
      </c>
      <c r="BJ5" s="31" t="str">
        <f>IFERROR(__xludf.DUMMYFUNCTION("""COMPUTED_VALUE"""),"FactSet Symbol")</f>
        <v>FactSet Symbol</v>
      </c>
      <c r="BK5" s="31" t="str">
        <f>IFERROR(__xludf.DUMMYFUNCTION("""COMPUTED_VALUE"""),"MandatoryColumn")</f>
        <v>MandatoryColumn</v>
      </c>
      <c r="BL5" s="31" t="str">
        <f>IFERROR(__xludf.DUMMYFUNCTION("""COMPUTED_VALUE"""),"Rebalancer File Name")</f>
        <v>Rebalancer File Name</v>
      </c>
      <c r="BM5" s="31" t="str">
        <f>IFERROR(__xludf.DUMMYFUNCTION("""COMPUTED_VALUE"""),"Borrower ID")</f>
        <v>Borrower ID</v>
      </c>
      <c r="BN5" s="31" t="str">
        <f>IFERROR(__xludf.DUMMYFUNCTION("""COMPUTED_VALUE"""),"Borrow Rate(%)")</f>
        <v>Borrow Rate(%)</v>
      </c>
      <c r="BO5" s="31" t="str">
        <f>IFERROR(__xludf.DUMMYFUNCTION("""COMPUTED_VALUE"""),"Borrow Broker")</f>
        <v>Borrow Broker</v>
      </c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</row>
    <row r="6" ht="15.75" customHeight="1">
      <c r="A6" s="36" t="s">
        <v>28</v>
      </c>
      <c r="B6" s="36"/>
      <c r="C6" s="8"/>
      <c r="D6" s="36"/>
      <c r="E6" s="8" t="s">
        <v>29</v>
      </c>
      <c r="F6" s="8"/>
      <c r="G6" s="8"/>
      <c r="H6" s="8" t="s">
        <v>30</v>
      </c>
      <c r="I6" s="8" t="s">
        <v>31</v>
      </c>
      <c r="J6" s="8" t="s">
        <v>21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C6" t="s">
        <v>37</v>
      </c>
      <c r="AD6">
        <v>1.0</v>
      </c>
      <c r="AF6" t="s">
        <v>38</v>
      </c>
      <c r="AH6" t="s">
        <v>39</v>
      </c>
      <c r="AI6" t="s">
        <v>21</v>
      </c>
      <c r="AJ6" t="s">
        <v>40</v>
      </c>
      <c r="AK6" t="s">
        <v>41</v>
      </c>
      <c r="AL6">
        <v>100.0</v>
      </c>
      <c r="AS6" t="s">
        <v>42</v>
      </c>
      <c r="AT6" t="s">
        <v>43</v>
      </c>
      <c r="AU6" t="s">
        <v>44</v>
      </c>
      <c r="AX6" t="s">
        <v>45</v>
      </c>
      <c r="AY6">
        <v>100.0</v>
      </c>
      <c r="AZ6">
        <v>100.0</v>
      </c>
      <c r="BA6" t="s">
        <v>31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s="37" t="s">
        <v>19</v>
      </c>
      <c r="BH6" t="s">
        <v>46</v>
      </c>
      <c r="BK6" t="s">
        <v>28</v>
      </c>
      <c r="BL6" t="s">
        <v>28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 t="s">
        <v>28</v>
      </c>
      <c r="B7" s="8"/>
      <c r="C7" s="8"/>
      <c r="D7" s="8"/>
      <c r="E7" s="8" t="s">
        <v>47</v>
      </c>
      <c r="F7" s="8"/>
      <c r="G7" s="8"/>
      <c r="H7" s="8" t="s">
        <v>30</v>
      </c>
      <c r="I7" s="8" t="s">
        <v>31</v>
      </c>
      <c r="J7" s="8" t="s">
        <v>24</v>
      </c>
      <c r="K7" s="8" t="s">
        <v>32</v>
      </c>
      <c r="L7" s="8" t="s">
        <v>33</v>
      </c>
      <c r="M7" s="8"/>
      <c r="N7" s="8"/>
      <c r="O7" s="8"/>
      <c r="U7" t="s">
        <v>34</v>
      </c>
      <c r="V7" t="s">
        <v>35</v>
      </c>
      <c r="AA7" t="s">
        <v>36</v>
      </c>
      <c r="AC7" t="s">
        <v>37</v>
      </c>
      <c r="AD7">
        <v>1.0</v>
      </c>
      <c r="AF7" t="s">
        <v>38</v>
      </c>
      <c r="AH7" t="s">
        <v>39</v>
      </c>
      <c r="AI7" t="s">
        <v>24</v>
      </c>
      <c r="AJ7" t="s">
        <v>40</v>
      </c>
      <c r="AK7" s="9" t="s">
        <v>48</v>
      </c>
      <c r="AL7">
        <v>100.0</v>
      </c>
      <c r="AS7" t="s">
        <v>42</v>
      </c>
      <c r="AT7" t="s">
        <v>43</v>
      </c>
      <c r="AU7" t="s">
        <v>44</v>
      </c>
      <c r="AX7" t="s">
        <v>45</v>
      </c>
      <c r="AY7">
        <v>100.0</v>
      </c>
      <c r="AZ7" s="9">
        <v>0.0</v>
      </c>
      <c r="BA7" t="s">
        <v>31</v>
      </c>
      <c r="BB7" t="s">
        <v>28</v>
      </c>
      <c r="BC7" t="s">
        <v>28</v>
      </c>
      <c r="BD7" t="s">
        <v>28</v>
      </c>
      <c r="BE7" t="s">
        <v>28</v>
      </c>
      <c r="BF7" t="s">
        <v>28</v>
      </c>
      <c r="BG7" s="37" t="s">
        <v>19</v>
      </c>
      <c r="BH7" t="s">
        <v>46</v>
      </c>
      <c r="BK7" t="s">
        <v>28</v>
      </c>
      <c r="BL7" t="s">
        <v>28</v>
      </c>
      <c r="BM7" t="s">
        <v>28</v>
      </c>
      <c r="BN7" t="s">
        <v>28</v>
      </c>
      <c r="BO7" t="s">
        <v>28</v>
      </c>
      <c r="BP7" t="s">
        <v>28</v>
      </c>
      <c r="BQ7" t="s">
        <v>28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28</v>
      </c>
      <c r="BZ7" t="s">
        <v>28</v>
      </c>
      <c r="CA7" t="s">
        <v>28</v>
      </c>
      <c r="CB7" t="s">
        <v>28</v>
      </c>
      <c r="CC7" t="s">
        <v>28</v>
      </c>
      <c r="CD7" t="s">
        <v>28</v>
      </c>
      <c r="CE7" t="s">
        <v>28</v>
      </c>
      <c r="CF7" t="s">
        <v>28</v>
      </c>
      <c r="CG7" t="s">
        <v>28</v>
      </c>
      <c r="CH7" t="s">
        <v>28</v>
      </c>
      <c r="CI7" t="s">
        <v>28</v>
      </c>
      <c r="CJ7" t="s">
        <v>28</v>
      </c>
      <c r="CK7" t="s">
        <v>28</v>
      </c>
      <c r="CL7" t="s">
        <v>28</v>
      </c>
      <c r="CM7" t="s">
        <v>28</v>
      </c>
      <c r="CN7" t="s">
        <v>28</v>
      </c>
      <c r="CO7" t="s">
        <v>28</v>
      </c>
      <c r="CP7" t="s">
        <v>28</v>
      </c>
      <c r="CQ7" t="s">
        <v>28</v>
      </c>
      <c r="CR7" t="s">
        <v>28</v>
      </c>
      <c r="CS7" t="s">
        <v>28</v>
      </c>
      <c r="CT7" t="s">
        <v>28</v>
      </c>
      <c r="CU7" t="s">
        <v>28</v>
      </c>
      <c r="CV7" t="s">
        <v>28</v>
      </c>
      <c r="CW7" t="s">
        <v>28</v>
      </c>
      <c r="CX7" t="s">
        <v>28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EY7" t="s">
        <v>28</v>
      </c>
      <c r="EZ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J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