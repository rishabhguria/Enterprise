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TradePTT" sheetId="7" r:id="rId9"/>
    <sheet state="visible" name="CreateDoneAwayOrderPTT" sheetId="8" r:id="rId10"/>
    <sheet state="visible" name="Unallocate" sheetId="9" r:id="rId11"/>
    <sheet state="visible" name="PricingInput" sheetId="10" r:id="rId12"/>
    <sheet state="visible" name="SelectUnallocatedGroup" sheetId="11" r:id="rId13"/>
    <sheet state="visible" name="EnterAllocatePreference" sheetId="12" r:id="rId14"/>
    <sheet state="visible" name="CheckAllocatedGroups" sheetId="13" r:id="rId15"/>
    <sheet state="visible" name="CheckUnallocatedGroups" sheetId="14" r:id="rId16"/>
    <sheet state="visible" name="GetDataAllocation" sheetId="15" r:id="rId17"/>
    <sheet state="visible" name="GetDataClosing" sheetId="16" r:id="rId18"/>
    <sheet state="visible" name="VerifyShortPositionsGrid" sheetId="17" r:id="rId19"/>
    <sheet state="visible" name="VerifyLongPositionsGrid" sheetId="18" r:id="rId20"/>
    <sheet state="visible" name="GetActivityData" sheetId="19" r:id="rId21"/>
    <sheet state="visible" name="VerifyActivity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<sst xmlns="http://schemas.openxmlformats.org/spreadsheetml/2006/main" count="299" uniqueCount="67">
  <si>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</si>
  <si>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</si>
  <si>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</si>
  <si>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</si>
  <si>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</si>
  <si>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</si>
  <si>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</si>
  <si>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</si>
  <si>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</si>
  <si>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</si>
  <si>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</si>
  <si>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</si>
  <si>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</si>
  <si>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</si>
  <si>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</si>
  <si>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</si>
  <si>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</si>
  <si>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</si>
  <si>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</si>
  <si>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</si>
  <si>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</si>
  <si>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</si>
  <si>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</si>
  <si>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</si>
  <si>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</si>
  <si>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</si>
  <si>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</si>
  <si>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</si>
  <si>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</si>
  <si>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DailyValuation</t>
  </si>
  <si>
    <t>GetDailyCash</t>
  </si>
  <si>
    <t>UpdateDailyCash</t>
  </si>
  <si>
    <t>Allocation1</t>
  </si>
  <si>
    <t>USD</t>
  </si>
  <si>
    <t>Allocation2</t>
  </si>
  <si>
    <t>Allocation3</t>
  </si>
  <si>
    <t>PTT</t>
  </si>
  <si>
    <t>TradePTT</t>
  </si>
  <si>
    <t>HITT</t>
  </si>
  <si>
    <t>Percentage</t>
  </si>
  <si>
    <t>No</t>
  </si>
  <si>
    <t>Account</t>
  </si>
  <si>
    <t>Allocation</t>
  </si>
  <si>
    <t>Unallocate</t>
  </si>
  <si>
    <t>PricingInput</t>
  </si>
  <si>
    <t>SelectUnallocatedGroup</t>
  </si>
  <si>
    <t>EnterAllocatePreference</t>
  </si>
  <si>
    <t>Calculated</t>
  </si>
  <si>
    <t>Pro-rata (NAV)</t>
  </si>
  <si>
    <t>CheckAllocatedGroups</t>
  </si>
  <si>
    <t>CheckUnallocatedGroups</t>
  </si>
  <si>
    <t>GetDataAllocation</t>
  </si>
  <si>
    <t>Current</t>
  </si>
  <si>
    <t>Closing</t>
  </si>
  <si>
    <t>GetDataClosing</t>
  </si>
  <si>
    <t>VerifyShortPositionsGrid</t>
  </si>
  <si>
    <t>VerifyLongPositionsGrid</t>
  </si>
  <si>
    <t>GeneralLedger</t>
  </si>
  <si>
    <t>GetActivityData</t>
  </si>
  <si>
    <t>SelectAll</t>
  </si>
  <si>
    <t>Allocation1,Allocation2,Allocation3,OFFSHORE</t>
  </si>
  <si>
    <t>Yes</t>
  </si>
  <si>
    <t>VerifyActivity</t>
  </si>
  <si>
    <t>EquityL</t>
  </si>
  <si>
    <t>EquityS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</si>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</sst>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vertical="bottom"/>
    </xf>
    <xf borderId="6" fillId="3" fontId="4" numFmtId="0" xfId="0" applyAlignment="1" applyBorder="1" applyFont="1">
      <alignment shrinkToFit="0" vertical="bottom" wrapText="0"/>
    </xf>
    <xf borderId="7" fillId="3" fontId="7" numFmtId="0" xfId="0" applyAlignment="1" applyBorder="1" applyFont="1">
      <alignment shrinkToFit="0" vertical="bottom" wrapText="0"/>
    </xf>
    <xf borderId="7" fillId="3" fontId="3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0" fillId="6" fontId="10" numFmtId="0" xfId="0" applyFont="1"/>
    <xf borderId="0" fillId="0" fontId="2" numFmtId="3" xfId="0" applyAlignment="1" applyFont="1" applyNumberFormat="1">
      <alignment readingOrder="0"/>
    </xf>
    <xf borderId="0" fillId="0" fontId="2" numFmtId="14" xfId="0" applyFont="1" applyNumberFormat="1"/>
    <xf borderId="4" fillId="6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8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8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14" t="s">
        <v>7</v>
      </c>
      <c r="B1" s="2"/>
      <c r="C1" s="2"/>
      <c r="D1" s="2"/>
      <c r="E1" s="2"/>
      <c r="F1" s="3"/>
    </row>
    <row r="2">
      <c r="A2" s="15"/>
      <c r="B2" s="15"/>
      <c r="C2" s="15"/>
      <c r="D2" s="15"/>
      <c r="E2" s="15"/>
      <c r="F2" s="15"/>
    </row>
    <row r="3">
      <c r="A3" s="16" t="s">
        <v>8</v>
      </c>
      <c r="B3" s="17" t="s">
        <v>9</v>
      </c>
      <c r="C3" s="17" t="s">
        <v>10</v>
      </c>
      <c r="D3" s="18"/>
      <c r="E3" s="18"/>
      <c r="F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8" t="str">
        <f>IFERROR(__xludf.DUMMYFUNCTION("""COMPUTED_VALUE"""),"CreateLiveOrder")</f>
        <v>CreateLiveOrder</v>
      </c>
      <c r="Q4" s="28" t="str">
        <f>IFERROR(__xludf.DUMMYFUNCTION("""COMPUTED_VALUE"""),"ShowMasterFundOnTT")</f>
        <v>ShowMasterFundOnTT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IFERROR(__xludf.DUMMYFUNCTION("""COMPUTED_VALUE"""),"CreateDoneAway")</f>
        <v>CreateDoneAway</v>
      </c>
      <c r="AB4" s="28" t="str">
        <f>IFERROR(__xludf.DUMMYFUNCTION("""COMPUTED_VALUE"""),"CreateDoneAwayOrder")</f>
        <v>CreateDoneAwayOrder</v>
      </c>
      <c r="AC4" s="28" t="str">
        <f>IFERROR(__xludf.DUMMYFUNCTION("""COMPUTED_VALUE"""),"SendLiveBloomberg")</f>
        <v>SendLiveBloomberg</v>
      </c>
      <c r="AD4" s="28" t="str">
        <f>IFERROR(__xludf.DUMMYFUNCTION("""COMPUTED_VALUE"""),"AddOptionTrade")</f>
        <v>AddOptionTrade</v>
      </c>
      <c r="AE4" s="28" t="str">
        <f>IFERROR(__xludf.DUMMYFUNCTION("""COMPUTED_VALUE"""),"ViewAllocation")</f>
        <v>ViewAllocation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IFERROR(__xludf.DUMMYFUNCTION("""COMPUTED_VALUE"""),"Rate(%)")</f>
        <v>Rate(%)</v>
      </c>
      <c r="AS5" s="31" t="str">
        <f>IFERROR(__xludf.DUMMYFUNCTION("""COMPUTED_VALUE"""),"SharesOutstandingPopUpQty")</f>
        <v>SharesOutstandingPopUpQty</v>
      </c>
      <c r="AT5" s="31" t="str">
        <f>IFERROR(__xludf.DUMMYFUNCTION("""COMPUTED_VALUE"""),"SharesOutstandingPopUp")</f>
        <v>SharesOutstandingPopUp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16</v>
      </c>
      <c r="C6" s="9" t="s">
        <v>17</v>
      </c>
      <c r="D6" s="9">
        <v>400.0</v>
      </c>
      <c r="E6" s="9">
        <v>400.0</v>
      </c>
      <c r="F6" s="9"/>
      <c r="J6" s="9">
        <v>1.0</v>
      </c>
      <c r="AK6" s="9" t="s">
        <v>18</v>
      </c>
      <c r="AL6" s="32" t="s">
        <v>19</v>
      </c>
    </row>
    <row r="7" ht="15.75" customHeight="1">
      <c r="A7" s="8"/>
      <c r="B7" s="11" t="s">
        <v>20</v>
      </c>
      <c r="C7" s="9" t="s">
        <v>17</v>
      </c>
      <c r="D7" s="9">
        <v>400.0</v>
      </c>
      <c r="E7" s="9">
        <v>400.0</v>
      </c>
      <c r="F7" s="9"/>
      <c r="J7" s="9">
        <v>1.0</v>
      </c>
      <c r="K7" s="8"/>
      <c r="L7" s="8"/>
      <c r="M7" s="8"/>
      <c r="N7" s="8"/>
      <c r="O7" s="8"/>
      <c r="AK7" s="9" t="s">
        <v>21</v>
      </c>
      <c r="AL7" s="32" t="s">
        <v>22</v>
      </c>
    </row>
    <row r="8" ht="15.75" customHeight="1">
      <c r="A8" s="8"/>
      <c r="B8" s="11" t="s">
        <v>23</v>
      </c>
      <c r="C8" s="9" t="s">
        <v>17</v>
      </c>
      <c r="D8" s="9">
        <v>400.0</v>
      </c>
      <c r="E8" s="9">
        <v>400.0</v>
      </c>
      <c r="F8" s="9" t="s">
        <v>24</v>
      </c>
      <c r="J8" s="9">
        <v>1.0</v>
      </c>
      <c r="K8" s="8"/>
      <c r="L8" s="8"/>
      <c r="M8" s="8"/>
      <c r="N8" s="8"/>
      <c r="O8" s="8"/>
      <c r="AL8" s="9"/>
    </row>
    <row r="9" ht="15.75" customHeight="1">
      <c r="A9" s="8"/>
      <c r="B9" s="11" t="s">
        <v>16</v>
      </c>
      <c r="C9" s="11" t="s">
        <v>17</v>
      </c>
      <c r="D9" s="11">
        <v>100.0</v>
      </c>
      <c r="E9" s="11">
        <v>100.0</v>
      </c>
      <c r="F9" s="11" t="s">
        <v>25</v>
      </c>
      <c r="G9" s="8"/>
      <c r="H9" s="8"/>
      <c r="I9" s="8"/>
      <c r="J9" s="11">
        <v>1.0</v>
      </c>
      <c r="K9" s="8"/>
      <c r="L9" s="8"/>
      <c r="M9" s="8"/>
      <c r="N9" s="8"/>
      <c r="O9" s="8"/>
    </row>
    <row r="10" ht="15.75" customHeight="1">
      <c r="A10" s="8"/>
      <c r="B10" s="11" t="s">
        <v>20</v>
      </c>
      <c r="C10" s="11" t="s">
        <v>26</v>
      </c>
      <c r="D10" s="11">
        <v>600.0</v>
      </c>
      <c r="E10" s="11">
        <v>600.0</v>
      </c>
      <c r="F10" s="11" t="s">
        <v>25</v>
      </c>
      <c r="G10" s="8"/>
      <c r="H10" s="8"/>
      <c r="I10" s="8"/>
      <c r="J10" s="11">
        <v>1.0</v>
      </c>
      <c r="K10" s="8"/>
      <c r="L10" s="8"/>
      <c r="M10" s="8"/>
      <c r="N10" s="8"/>
      <c r="O10" s="8"/>
    </row>
    <row r="11" ht="15.75" customHeight="1">
      <c r="A11" s="8"/>
      <c r="B11" s="11" t="s">
        <v>23</v>
      </c>
      <c r="C11" s="11" t="s">
        <v>26</v>
      </c>
      <c r="D11" s="11">
        <v>400.0</v>
      </c>
      <c r="E11" s="11">
        <v>400.0</v>
      </c>
      <c r="F11" s="11" t="s">
        <v>25</v>
      </c>
      <c r="G11" s="8"/>
      <c r="H11" s="8"/>
      <c r="I11" s="8"/>
      <c r="J11" s="11">
        <v>1.0</v>
      </c>
      <c r="K11" s="8"/>
      <c r="L11" s="8"/>
      <c r="M11" s="8"/>
      <c r="N11" s="8"/>
      <c r="O11" s="8"/>
    </row>
    <row r="12" ht="15.75" customHeight="1">
      <c r="A12" s="8"/>
      <c r="B12" s="11" t="s">
        <v>27</v>
      </c>
      <c r="C12" s="11" t="s">
        <v>28</v>
      </c>
      <c r="D12" s="11">
        <v>100.0</v>
      </c>
      <c r="E12" s="11">
        <v>100.0</v>
      </c>
      <c r="F12" s="11" t="s">
        <v>25</v>
      </c>
      <c r="G12" s="8"/>
      <c r="H12" s="8"/>
      <c r="I12" s="8"/>
      <c r="J12" s="11">
        <v>1.0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29</v>
      </c>
      <c r="D3" s="5" t="s">
        <v>9</v>
      </c>
      <c r="E3" s="24" t="s">
        <v>30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IFERROR(__xludf.DUMMYFUNCTION("""COMPUTED_VALUE"""),"Select Date")</f>
        <v>Select Date</v>
      </c>
      <c r="C5" s="30" t="str">
        <f>IFERROR(__xludf.DUMMYFUNCTION("""COMPUTED_VALUE"""),"Copy From")</f>
        <v>Copy From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33">
        <f>TODAY()-1</f>
        <v>44480</v>
      </c>
      <c r="C6" s="33">
        <f>TODAY()</f>
        <v>44481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29</v>
      </c>
      <c r="D3" s="5" t="s">
        <v>9</v>
      </c>
      <c r="E3" s="24" t="s">
        <v>31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IFERROR(__xludf.DUMMYFUNCTION("""COMPUTED_VALUE"""),"Local Currency")</f>
        <v>Local Currency</v>
      </c>
      <c r="D5" s="30" t="str">
        <f>IFERROR(__xludf.DUMMYFUNCTION("""COMPUTED_VALUE"""),"Cash Value Local")</f>
        <v>Cash Value Local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32</v>
      </c>
      <c r="C6" s="9" t="s">
        <v>33</v>
      </c>
      <c r="D6" s="9">
        <v>71218.0</v>
      </c>
    </row>
    <row r="7" ht="15.75" customHeight="1">
      <c r="A7" s="8"/>
      <c r="B7" s="11" t="s">
        <v>34</v>
      </c>
      <c r="C7" s="11" t="s">
        <v>33</v>
      </c>
      <c r="D7" s="11">
        <v>14894.0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35</v>
      </c>
      <c r="C8" s="11" t="s">
        <v>33</v>
      </c>
      <c r="D8" s="11">
        <v>35679.0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36</v>
      </c>
      <c r="D3" s="5" t="s">
        <v>9</v>
      </c>
      <c r="E3" s="24" t="s">
        <v>37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IFERROR(__xludf.DUMMYFUNCTION("IF(C3="""","""",Transpose(IMPORTRANGE('_Settings'!$B$3,C3&amp;""!A4:A1000"")))"),"CalculatePTT")</f>
        <v>CalculatePTT</v>
      </c>
      <c r="C4" s="27" t="str">
        <f>IFERROR(__xludf.DUMMYFUNCTION("""COMPUTED_VALUE"""),"TradeUsingPTT")</f>
        <v>TradeUsingPTT</v>
      </c>
      <c r="D4" s="27" t="str">
        <f>IFERROR(__xludf.DUMMYFUNCTION("""COMPUTED_VALUE"""),"StageOrderUsingPTT")</f>
        <v>StageOrderUsingPTT</v>
      </c>
      <c r="E4" s="27" t="str">
        <f>IFERROR(__xludf.DUMMYFUNCTION("""COMPUTED_VALUE"""),"CreateOrderPTT")</f>
        <v>CreateOrderPTT</v>
      </c>
      <c r="F4" s="27" t="str">
        <f>IFERROR(__xludf.DUMMYFUNCTION("""COMPUTED_VALUE"""),"TradePTT")</f>
        <v>TradePTT</v>
      </c>
      <c r="G4" s="27" t="str">
        <f>IFERROR(__xludf.DUMMYFUNCTION("""COMPUTED_VALUE"""),"VerifyPTT")</f>
        <v>VerifyPTT</v>
      </c>
      <c r="H4" s="27" t="str">
        <f>IFERROR(__xludf.DUMMYFUNCTION("""COMPUTED_VALUE"""),"OpenMultiTTFromPTT")</f>
        <v>OpenMultiTTFromPTT</v>
      </c>
      <c r="I4" s="27" t="str">
        <f>IFERROR(__xludf.DUMMYFUNCTION("""COMPUTED_VALUE"""),"SelectMultiTT")</f>
        <v>SelectMultiTT</v>
      </c>
      <c r="J4" s="27" t="str">
        <f>IFERROR(__xludf.DUMMYFUNCTION("""COMPUTED_VALUE"""),"EditMultiTT")</f>
        <v>EditMultiTT</v>
      </c>
      <c r="K4" s="27" t="str">
        <f>IFERROR(__xludf.DUMMYFUNCTION("""COMPUTED_VALUE"""),"SetAccountFactor")</f>
        <v>SetAccountFactor</v>
      </c>
      <c r="L4" s="27" t="str">
        <f>IFERROR(__xludf.DUMMYFUNCTION("""COMPUTED_VALUE"""),"SetPTTPreference")</f>
        <v>SetPTTPreference</v>
      </c>
      <c r="M4" s="27" t="str">
        <f>IFERROR(__xludf.DUMMYFUNCTION("""COMPUTED_VALUE"""),"SetLongShortPTTPreference")</f>
        <v>SetLongShortPTTPreference</v>
      </c>
      <c r="N4" s="27" t="str">
        <f>IFERROR(__xludf.DUMMYFUNCTION("""COMPUTED_VALUE"""),"SelectPTTRecord")</f>
        <v>SelectPTTRecord</v>
      </c>
      <c r="O4" s="27" t="str">
        <f>IFERROR(__xludf.DUMMYFUNCTION("""COMPUTED_VALUE"""),"EditPTTRecord")</f>
        <v>EditPTTRecord</v>
      </c>
      <c r="P4" s="28" t="str">
        <f>IFERROR(__xludf.DUMMYFUNCTION("""COMPUTED_VALUE"""),"SetDefaultSymbology")</f>
        <v>SetDefaultSymbology</v>
      </c>
      <c r="Q4" s="28" t="str">
        <f>IFERROR(__xludf.DUMMYFUNCTION("""COMPUTED_VALUE"""),"EditPTTAccountLevelWPF")</f>
        <v>EditPTTAccountLevelWPF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IFERROR(__xludf.DUMMYFUNCTION("""COMPUTED_VALUE"""),"Ticker")</f>
        <v>Ticker</v>
      </c>
      <c r="C5" s="30" t="str">
        <f>IFERROR(__xludf.DUMMYFUNCTION("""COMPUTED_VALUE"""),"Add/Set")</f>
        <v>Add/Set</v>
      </c>
      <c r="D5" s="30" t="str">
        <f>IFERROR(__xludf.DUMMYFUNCTION("""COMPUTED_VALUE"""),"Type")</f>
        <v>Type</v>
      </c>
      <c r="E5" s="30" t="str">
        <f>IFERROR(__xludf.DUMMYFUNCTION("""COMPUTED_VALUE"""),"Target")</f>
        <v>Target</v>
      </c>
      <c r="F5" s="30" t="str">
        <f>IFERROR(__xludf.DUMMYFUNCTION("""COMPUTED_VALUE"""),"Price")</f>
        <v>Price</v>
      </c>
      <c r="G5" s="30" t="str">
        <f>IFERROR(__xludf.DUMMYFUNCTION("""COMPUTED_VALUE"""),"Combined Account Total")</f>
        <v>Combined Account Total</v>
      </c>
      <c r="H5" s="30" t="str">
        <f>IFERROR(__xludf.DUMMYFUNCTION("""COMPUTED_VALUE"""),"MasterFund/Account")</f>
        <v>MasterFund/Account</v>
      </c>
      <c r="I5" s="30" t="str">
        <f>IFERROR(__xludf.DUMMYFUNCTION("""COMPUTED_VALUE"""),"Accounts")</f>
        <v>Accounts</v>
      </c>
      <c r="J5" s="30" t="str">
        <f>IFERROR(__xludf.DUMMYFUNCTION("""COMPUTED_VALUE"""),"Default Symbology")</f>
        <v>Default Symbology</v>
      </c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38</v>
      </c>
      <c r="D6" s="9" t="s">
        <v>39</v>
      </c>
      <c r="E6" s="9">
        <v>5.0</v>
      </c>
      <c r="F6" s="9">
        <v>1.0</v>
      </c>
      <c r="G6" s="9" t="s">
        <v>40</v>
      </c>
      <c r="H6" s="9" t="s">
        <v>41</v>
      </c>
      <c r="I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8" t="str">
        <f>IFERROR(__xludf.DUMMYFUNCTION("""COMPUTED_VALUE"""),"CreateLiveOrder")</f>
        <v>CreateLiveOrder</v>
      </c>
      <c r="Q4" s="28" t="str">
        <f>IFERROR(__xludf.DUMMYFUNCTION("""COMPUTED_VALUE"""),"ShowMasterFundOnTT")</f>
        <v>ShowMasterFundOnTT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IFERROR(__xludf.DUMMYFUNCTION("""COMPUTED_VALUE"""),"CreateDoneAway")</f>
        <v>CreateDoneAway</v>
      </c>
      <c r="AB4" s="28" t="str">
        <f>IFERROR(__xludf.DUMMYFUNCTION("""COMPUTED_VALUE"""),"CreateDoneAwayOrder")</f>
        <v>CreateDoneAwayOrder</v>
      </c>
      <c r="AC4" s="28" t="str">
        <f>IFERROR(__xludf.DUMMYFUNCTION("""COMPUTED_VALUE"""),"SendLiveBloomberg")</f>
        <v>SendLiveBloomberg</v>
      </c>
      <c r="AD4" s="28" t="str">
        <f>IFERROR(__xludf.DUMMYFUNCTION("""COMPUTED_VALUE"""),"AddOptionTrade")</f>
        <v>AddOptionTrade</v>
      </c>
      <c r="AE4" s="28" t="str">
        <f>IFERROR(__xludf.DUMMYFUNCTION("""COMPUTED_VALUE"""),"ViewAllocation")</f>
        <v>ViewAllocation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IFERROR(__xludf.DUMMYFUNCTION("""COMPUTED_VALUE"""),"Rate(%)")</f>
        <v>Rate(%)</v>
      </c>
      <c r="AS5" s="31" t="str">
        <f>IFERROR(__xludf.DUMMYFUNCTION("""COMPUTED_VALUE"""),"SharesOutstandingPopUpQty")</f>
        <v>SharesOutstandingPopUpQty</v>
      </c>
      <c r="AT5" s="31" t="str">
        <f>IFERROR(__xludf.DUMMYFUNCTION("""COMPUTED_VALUE"""),"SharesOutstandingPopUp")</f>
        <v>SharesOutstandingPopUp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38</v>
      </c>
      <c r="D6" s="9">
        <v>500.0</v>
      </c>
      <c r="E6" s="9">
        <v>500.0</v>
      </c>
      <c r="J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IFERROR(__xludf.DUMMYFUNCTION("""COMPUTED_VALUE"""),"Quantity")</f>
        <v>Quantity</v>
      </c>
      <c r="D5" s="30" t="str">
        <f>IFERROR(__xludf.DUMMYFUNCTION("""COMPUTED_VALUE"""),"Trade Date")</f>
        <v>Trade Date</v>
      </c>
      <c r="E5" s="30" t="str">
        <f>IFERROR(__xludf.DUMMYFUNCTION("""COMPUTED_VALUE"""),"Account Name")</f>
        <v>Account Name</v>
      </c>
      <c r="F5" s="30" t="str">
        <f>IFERROR(__xludf.DUMMYFUNCTION("""COMPUTED_VALUE"""),"Side")</f>
        <v>Side</v>
      </c>
      <c r="G5" s="30" t="str">
        <f>IFERROR(__xludf.DUMMYFUNCTION("""COMPUTED_VALUE"""),"Group Status")</f>
        <v>Group Status</v>
      </c>
      <c r="H5" s="30" t="str">
        <f>IFERROR(__xludf.DUMMYFUNCTION("""COMPUTED_VALUE"""),"Avg Price( Base)")</f>
        <v>Avg Price( Base)</v>
      </c>
      <c r="I5" s="30" t="str">
        <f>IFERROR(__xludf.DUMMYFUNCTION("""COMPUTED_VALUE"""),"Execution Time")</f>
        <v>Execution Time</v>
      </c>
      <c r="J5" s="30" t="str">
        <f>IFERROR(__xludf.DUMMYFUNCTION("""COMPUTED_VALUE"""),"Trade Attribute 1")</f>
        <v>Trade Attribute 1</v>
      </c>
      <c r="K5" s="30" t="str">
        <f>IFERROR(__xludf.DUMMYFUNCTION("""COMPUTED_VALUE"""),"Avg Price(Local)")</f>
        <v>Avg Price(Local)</v>
      </c>
      <c r="L5" s="30" t="str">
        <f>IFERROR(__xludf.DUMMYFUNCTION("""COMPUTED_VALUE"""),"Trade Attribute 2")</f>
        <v>Trade Attribute 2</v>
      </c>
      <c r="M5" s="30" t="str">
        <f>IFERROR(__xludf.DUMMYFUNCTION("""COMPUTED_VALUE"""),"Accrued Interest")</f>
        <v>Accrued Interest</v>
      </c>
      <c r="N5" s="30" t="str">
        <f>IFERROR(__xludf.DUMMYFUNCTION("""COMPUTED_VALUE"""),"Commission")</f>
        <v>Commission</v>
      </c>
      <c r="O5" s="30" t="str">
        <f>IFERROR(__xludf.DUMMYFUNCTION("""COMPUTED_VALUE"""),"Soft Commission")</f>
        <v>Soft Commission</v>
      </c>
      <c r="P5" s="30" t="str">
        <f>IFERROR(__xludf.DUMMYFUNCTION("""COMPUTED_VALUE"""),"Broker")</f>
        <v>Broker</v>
      </c>
      <c r="Q5" s="30" t="str">
        <f>IFERROR(__xludf.DUMMYFUNCTION("""COMPUTED_VALUE"""),"Transaction Type")</f>
        <v>Transaction Type</v>
      </c>
      <c r="R5" s="30" t="str">
        <f>IFERROR(__xludf.DUMMYFUNCTION("""COMPUTED_VALUE"""),"AUEC Fee1")</f>
        <v>AUEC Fee1</v>
      </c>
      <c r="S5" s="30" t="str">
        <f>IFERROR(__xludf.DUMMYFUNCTION("""COMPUTED_VALUE"""),"AUEC Fee2")</f>
        <v>AUEC Fee2</v>
      </c>
      <c r="T5" s="31" t="str">
        <f>IFERROR(__xludf.DUMMYFUNCTION("""COMPUTED_VALUE"""),"Clearing Broker Fee")</f>
        <v>Clearing Broker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IFERROR(__xludf.DUMMYFUNCTION("""COMPUTED_VALUE"""),"OCC Fee")</f>
        <v>OCC Fee</v>
      </c>
      <c r="W5" s="31" t="str">
        <f>IFERROR(__xludf.DUMMYFUNCTION("""COMPUTED_VALUE"""),"SEC Fee")</f>
        <v>SEC Fee</v>
      </c>
      <c r="X5" s="31" t="str">
        <f>IFERROR(__xludf.DUMMYFUNCTION("""COMPUTED_VALUE"""),"ORF Fee")</f>
        <v>ORF Fee</v>
      </c>
      <c r="Y5" s="31" t="str">
        <f>IFERROR(__xludf.DUMMYFUNCTION("""COMPUTED_VALUE"""),"IsPreAllocated")</f>
        <v>IsPreAllocated</v>
      </c>
      <c r="Z5" s="31" t="str">
        <f>IFERROR(__xludf.DUMMYFUNCTION("""COMPUTED_VALUE"""),"Stamp Duty")</f>
        <v>Stamp Duty</v>
      </c>
      <c r="AA5" s="31" t="str">
        <f>IFERROR(__xludf.DUMMYFUNCTION("""COMPUTED_VALUE"""),"IsManual Group")</f>
        <v>IsManual Group</v>
      </c>
      <c r="AB5" s="31" t="str">
        <f>IFERROR(__xludf.DUMMYFUNCTION("""COMPUTED_VALUE"""),"Tax On Commissions")</f>
        <v>Tax On Commissions</v>
      </c>
      <c r="AC5" s="31" t="str">
        <f>IFERROR(__xludf.DUMMYFUNCTION("""COMPUTED_VALUE"""),"IsAnotherTaxlotAttributesUpdated")</f>
        <v>IsAnotherTaxlotAttributesUpdated</v>
      </c>
      <c r="AD5" s="31" t="str">
        <f>IFERROR(__xludf.DUMMYFUNCTION("""COMPUTED_VALUE"""),"ISNDF")</f>
        <v>ISNDF</v>
      </c>
      <c r="AE5" s="31" t="str">
        <f>IFERROR(__xludf.DUMMYFUNCTION("""COMPUTED_VALUE"""),"Transaction Levy")</f>
        <v>Transaction Levy</v>
      </c>
      <c r="AF5" s="31" t="str">
        <f>IFERROR(__xludf.DUMMYFUNCTION("""COMPUTED_VALUE"""),"Description")</f>
        <v>Description</v>
      </c>
      <c r="AG5" s="31" t="str">
        <f>IFERROR(__xludf.DUMMYFUNCTION("""COMPUTED_VALUE"""),"GroupID")</f>
        <v>GroupID</v>
      </c>
      <c r="AH5" s="31" t="str">
        <f>IFERROR(__xludf.DUMMYFUNCTION("""COMPUTED_VALUE"""),"Internal Comments")</f>
        <v>Internal Comments</v>
      </c>
      <c r="AI5" s="31" t="str">
        <f>IFERROR(__xludf.DUMMYFUNCTION("""COMPUTED_VALUE"""),"M2MProfitLoss")</f>
        <v>M2MProfitLoss</v>
      </c>
      <c r="AJ5" s="31" t="str">
        <f>IFERROR(__xludf.DUMMYFUNCTION("""COMPUTED_VALUE"""),"FX Rate")</f>
        <v>FX Rate</v>
      </c>
      <c r="AK5" s="31" t="str">
        <f>IFERROR(__xludf.DUMMYFUNCTION("""COMPUTED_VALUE"""),"FX Conversion Operator")</f>
        <v>FX Conversion Operator</v>
      </c>
      <c r="AL5" s="31" t="str">
        <f>IFERROR(__xludf.DUMMYFUNCTION("""COMPUTED_VALUE"""),"Trade Attribute 3")</f>
        <v>Trade Attribute 3</v>
      </c>
      <c r="AM5" s="31" t="str">
        <f>IFERROR(__xludf.DUMMYFUNCTION("""COMPUTED_VALUE"""),"Trade Attribute 4")</f>
        <v>Trade Attribute 4</v>
      </c>
      <c r="AN5" s="31" t="str">
        <f>IFERROR(__xludf.DUMMYFUNCTION("""COMPUTED_VALUE"""),"Trade Attribute 5")</f>
        <v>Trade Attribute 5</v>
      </c>
      <c r="AO5" s="31" t="str">
        <f>IFERROR(__xludf.DUMMYFUNCTION("""COMPUTED_VALUE"""),"Trade Attribute 6")</f>
        <v>Trade Attribute 6</v>
      </c>
      <c r="AP5" s="31" t="str">
        <f>IFERROR(__xludf.DUMMYFUNCTION("""COMPUTED_VALUE"""),"Put Or Call")</f>
        <v>Put Or Call</v>
      </c>
      <c r="AQ5" s="31" t="str">
        <f>IFERROR(__xludf.DUMMYFUNCTION("""COMPUTED_VALUE"""),"Allocated Qty")</f>
        <v>Allocated Qty</v>
      </c>
      <c r="AR5" s="31" t="str">
        <f>IFERROR(__xludf.DUMMYFUNCTION("""COMPUTED_VALUE"""),"Total Commission And Fee")</f>
        <v>Total Commission And Fee</v>
      </c>
      <c r="AS5" s="31" t="str">
        <f>IFERROR(__xludf.DUMMYFUNCTION("""COMPUTED_VALUE"""),"Executed Qty")</f>
        <v>Executed Qty</v>
      </c>
      <c r="AT5" s="31" t="str">
        <f>IFERROR(__xludf.DUMMYFUNCTION("""COMPUTED_VALUE"""),"Net Amount( Local)")</f>
        <v>Net Amount( Local)</v>
      </c>
      <c r="AU5" s="31" t="str">
        <f>IFERROR(__xludf.DUMMYFUNCTION("""COMPUTED_VALUE"""),"Net Amount( Base)")</f>
        <v>Net Amount( Base)</v>
      </c>
      <c r="AV5" s="31" t="str">
        <f>IFERROR(__xludf.DUMMYFUNCTION("""COMPUTED_VALUE"""),"UnAllocatedQty")</f>
        <v>UnAllocatedQty</v>
      </c>
      <c r="AW5" s="31" t="str">
        <f>IFERROR(__xludf.DUMMYFUNCTION("""COMPUTED_VALUE"""),"Option Premium Adjustment")</f>
        <v>Option Premium Adjustment</v>
      </c>
      <c r="AX5" s="31" t="str">
        <f>IFERROR(__xludf.DUMMYFUNCTION("""COMPUTED_VALUE"""),"Principal Amount( Local)")</f>
        <v>Principal Amount( Local)</v>
      </c>
      <c r="AY5" s="31" t="str">
        <f>IFERROR(__xludf.DUMMYFUNCTION("""COMPUTED_VALUE"""),"Principal Amount( Base)")</f>
        <v>Principal Amount( Base)</v>
      </c>
      <c r="AZ5" s="31" t="str">
        <f>IFERROR(__xludf.DUMMYFUNCTION("""COMPUTED_VALUE"""),"Settlement Currency")</f>
        <v>Settlement Currency</v>
      </c>
      <c r="BA5" s="31" t="str">
        <f>IFERROR(__xludf.DUMMYFUNCTION("""COMPUTED_VALUE"""),"User")</f>
        <v>User</v>
      </c>
      <c r="BB5" s="31" t="str">
        <f>IFERROR(__xludf.DUMMYFUNCTION("""COMPUTED_VALUE"""),"Asset Category")</f>
        <v>Asset Category</v>
      </c>
      <c r="BC5" s="31" t="str">
        <f>IFERROR(__xludf.DUMMYFUNCTION("""COMPUTED_VALUE"""),"Change Type")</f>
        <v>Change Type</v>
      </c>
      <c r="BD5" s="31" t="str">
        <f>IFERROR(__xludf.DUMMYFUNCTION("""COMPUTED_VALUE"""),"Strategy Name")</f>
        <v>Strategy Name</v>
      </c>
      <c r="BE5" s="31" t="str">
        <f>IFERROR(__xludf.DUMMYFUNCTION("""COMPUTED_VALUE"""),"Prana Msg Type")</f>
        <v>Prana Msg Type</v>
      </c>
      <c r="BF5" s="31" t="str">
        <f>IFERROR(__xludf.DUMMYFUNCTION("""COMPUTED_VALUE"""),"Total Commission")</f>
        <v>Total Commission</v>
      </c>
      <c r="BG5" s="31" t="str">
        <f>IFERROR(__xludf.DUMMYFUNCTION("""COMPUTED_VALUE"""),"Commission Per Share")</f>
        <v>Commission Per Share</v>
      </c>
      <c r="BH5" s="31" t="str">
        <f>IFERROR(__xludf.DUMMYFUNCTION("""COMPUTED_VALUE"""),"Soft Commission Per Share")</f>
        <v>Soft Commission Per Share</v>
      </c>
      <c r="BI5" s="31" t="str">
        <f>IFERROR(__xludf.DUMMYFUNCTION("""COMPUTED_VALUE"""),"Total Commission Per Share")</f>
        <v>Total Commission Per Share</v>
      </c>
      <c r="BJ5" s="31" t="str">
        <f>IFERROR(__xludf.DUMMYFUNCTION("""COMPUTED_VALUE"""),"Closing Status")</f>
        <v>Closing Status</v>
      </c>
      <c r="BK5" s="31" t="str">
        <f>IFERROR(__xludf.DUMMYFUNCTION("""COMPUTED_VALUE"""),"Closing Method")</f>
        <v>Closing Method</v>
      </c>
      <c r="BL5" s="31" t="str">
        <f>IFERROR(__xludf.DUMMYFUNCTION("""COMPUTED_VALUE"""),"Allocation Scheme Name")</f>
        <v>Allocation Scheme Name</v>
      </c>
      <c r="BM5" s="31" t="str">
        <f>IFERROR(__xludf.DUMMYFUNCTION("""COMPUTED_VALUE"""),"Change Comment")</f>
        <v>Change Comment</v>
      </c>
      <c r="BN5" s="31" t="str">
        <f>IFERROR(__xludf.DUMMYFUNCTION("""COMPUTED_VALUE"""),"Order Type")</f>
        <v>Order Type</v>
      </c>
      <c r="BO5" s="31" t="str">
        <f>IFERROR(__xludf.DUMMYFUNCTION("""COMPUTED_VALUE"""),"Underlying")</f>
        <v>Underlying</v>
      </c>
      <c r="BP5" s="31" t="str">
        <f>IFERROR(__xludf.DUMMYFUNCTION("""COMPUTED_VALUE"""),"Exchange")</f>
        <v>Exchange</v>
      </c>
      <c r="BQ5" s="31" t="str">
        <f>IFERROR(__xludf.DUMMYFUNCTION("""COMPUTED_VALUE"""),"Currency")</f>
        <v>Currency</v>
      </c>
      <c r="BR5" s="31" t="str">
        <f>IFERROR(__xludf.DUMMYFUNCTION("""COMPUTED_VALUE"""),"AUECID")</f>
        <v>AUECID</v>
      </c>
      <c r="BS5" s="31" t="str">
        <f>IFERROR(__xludf.DUMMYFUNCTION("""COMPUTED_VALUE"""),"Trading Account")</f>
        <v>Trading Account</v>
      </c>
      <c r="BT5" s="31" t="str">
        <f>IFERROR(__xludf.DUMMYFUNCTION("""COMPUTED_VALUE"""),"Venue")</f>
        <v>Venue</v>
      </c>
      <c r="BU5" s="31" t="str">
        <f>IFERROR(__xludf.DUMMYFUNCTION("""COMPUTED_VALUE"""),"Cum Qty For Sub Order")</f>
        <v>Cum Qty For Sub Order</v>
      </c>
      <c r="BV5" s="31" t="str">
        <f>IFERROR(__xludf.DUMMYFUNCTION("""COMPUTED_VALUE"""),"Contract Multiplier")</f>
        <v>Contract Multiplier</v>
      </c>
      <c r="BW5" s="31" t="str">
        <f>IFERROR(__xludf.DUMMYFUNCTION("""COMPUTED_VALUE"""),"Company")</f>
        <v>Company</v>
      </c>
      <c r="BX5" s="31" t="str">
        <f>IFERROR(__xludf.DUMMYFUNCTION("""COMPUTED_VALUE"""),"Nirvana Process Date")</f>
        <v>Nirvana Process Date</v>
      </c>
      <c r="BY5" s="31" t="str">
        <f>IFERROR(__xludf.DUMMYFUNCTION("""COMPUTED_VALUE"""),"Process Date")</f>
        <v>Process Date</v>
      </c>
      <c r="BZ5" s="31" t="str">
        <f>IFERROR(__xludf.DUMMYFUNCTION("""COMPUTED_VALUE"""),"Original Purchase Date")</f>
        <v>Original Purchase Date</v>
      </c>
      <c r="CA5" s="31" t="str">
        <f>IFERROR(__xludf.DUMMYFUNCTION("""COMPUTED_VALUE"""),"Closing Date")</f>
        <v>Closing Date</v>
      </c>
      <c r="CB5" s="31" t="str">
        <f>IFERROR(__xludf.DUMMYFUNCTION("""COMPUTED_VALUE"""),"Settlement Date")</f>
        <v>Settlement Date</v>
      </c>
      <c r="CC5" s="31" t="str">
        <f>IFERROR(__xludf.DUMMYFUNCTION("""COMPUTED_VALUE"""),"Expiration Date")</f>
        <v>Expiration Date</v>
      </c>
      <c r="CD5" s="31" t="str">
        <f>IFERROR(__xludf.DUMMYFUNCTION("""COMPUTED_VALUE"""),"Underlying Symbol")</f>
        <v>Underlying Symbol</v>
      </c>
      <c r="CE5" s="31" t="str">
        <f>IFERROR(__xludf.DUMMYFUNCTION("""COMPUTED_VALUE"""),"Accrual Basis")</f>
        <v>Accrual Basis</v>
      </c>
      <c r="CF5" s="31" t="str">
        <f>IFERROR(__xludf.DUMMYFUNCTION("""COMPUTED_VALUE"""),"Bond Type")</f>
        <v>Bond Type</v>
      </c>
      <c r="CG5" s="31" t="str">
        <f>IFERROR(__xludf.DUMMYFUNCTION("""COMPUTED_VALUE"""),"Coupon Rate")</f>
        <v>Coupon Rate</v>
      </c>
      <c r="CH5" s="31" t="str">
        <f>IFERROR(__xludf.DUMMYFUNCTION("""COMPUTED_VALUE"""),"Delta")</f>
        <v>Delta</v>
      </c>
      <c r="CI5" s="31" t="str">
        <f>IFERROR(__xludf.DUMMYFUNCTION("""COMPUTED_VALUE"""),"Bloomberg")</f>
        <v>Bloomberg</v>
      </c>
      <c r="CJ5" s="31" t="str">
        <f>IFERROR(__xludf.DUMMYFUNCTION("""COMPUTED_VALUE"""),"Sedol Symbol")</f>
        <v>Sedol Symbol</v>
      </c>
      <c r="CK5" s="31" t="str">
        <f>IFERROR(__xludf.DUMMYFUNCTION("""COMPUTED_VALUE"""),"Cusip Symbol")</f>
        <v>Cusip Symbol</v>
      </c>
      <c r="CL5" s="31" t="str">
        <f>IFERROR(__xludf.DUMMYFUNCTION("""COMPUTED_VALUE"""),"ISIN")</f>
        <v>ISIN</v>
      </c>
      <c r="CM5" s="31" t="str">
        <f>IFERROR(__xludf.DUMMYFUNCTION("""COMPUTED_VALUE"""),"OSISSymbol")</f>
        <v>OSISSymbol</v>
      </c>
      <c r="CN5" s="31" t="str">
        <f>IFERROR(__xludf.DUMMYFUNCTION("""COMPUTED_VALUE"""),"IDCOSymbol")</f>
        <v>IDCOSymbol</v>
      </c>
      <c r="CO5" s="31" t="str">
        <f>IFERROR(__xludf.DUMMYFUNCTION("""COMPUTED_VALUE"""),"Underlying Delta")</f>
        <v>Underlying Delta</v>
      </c>
      <c r="CP5" s="31" t="str">
        <f>IFERROR(__xludf.DUMMYFUNCTION("""COMPUTED_VALUE"""),"Proxy Symbol")</f>
        <v>Proxy Symbol</v>
      </c>
      <c r="CQ5" s="31" t="str">
        <f>IFERROR(__xludf.DUMMYFUNCTION("""COMPUTED_VALUE"""),"Transaction Source")</f>
        <v>Transaction Source</v>
      </c>
      <c r="CR5" s="31" t="str">
        <f>IFERROR(__xludf.DUMMYFUNCTION("""COMPUTED_VALUE"""),"Import File Name")</f>
        <v>Import File Name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38</v>
      </c>
      <c r="C6" s="9">
        <v>500.0</v>
      </c>
      <c r="F6" s="9" t="s">
        <v>17</v>
      </c>
      <c r="H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44</v>
      </c>
      <c r="D3" s="5" t="s">
        <v>9</v>
      </c>
      <c r="E3" s="24" t="s">
        <v>44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IFERROR(__xludf.DUMMYFUNCTION("IF(C3="""","""",Transpose(IMPORTRANGE('_Settings'!$B$3,C3&amp;""!A4:A1000"")))"),"PricingInput")</f>
        <v>PricingInput</v>
      </c>
      <c r="C4" s="27" t="str">
        <f>IFERROR(__xludf.DUMMYFUNCTION("""COMPUTED_VALUE"""),"UpdateSharesOutstanding")</f>
        <v>UpdateSharesOutstanding</v>
      </c>
      <c r="D4" s="27" t="str">
        <f>IFERROR(__xludf.DUMMYFUNCTION("""COMPUTED_VALUE"""),"EODTPreferences")</f>
        <v>EODTPreferences</v>
      </c>
      <c r="E4" s="27" t="str">
        <f>IFERROR(__xludf.DUMMYFUNCTION("""COMPUTED_VALUE"""),"LiveData")</f>
        <v>LiveData</v>
      </c>
      <c r="F4" s="27" t="str">
        <f>IFERROR(__xludf.DUMMYFUNCTION("""COMPUTED_VALUE"""),"UncheckDividendYield")</f>
        <v>UncheckDividendYield</v>
      </c>
      <c r="G4" s="27"/>
      <c r="H4" s="27"/>
      <c r="I4" s="27"/>
      <c r="J4" s="27"/>
      <c r="K4" s="27"/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IFERROR(__xludf.DUMMYFUNCTION("""COMPUTED_VALUE"""),"User Px")</f>
        <v>User Px</v>
      </c>
      <c r="D5" s="30" t="str">
        <f>IFERROR(__xludf.DUMMYFUNCTION("""COMPUTED_VALUE"""),"Asset Class")</f>
        <v>Asset Class</v>
      </c>
      <c r="E5" s="30" t="str">
        <f>IFERROR(__xludf.DUMMYFUNCTION("""COMPUTED_VALUE"""),"Volatility(%)")</f>
        <v>Volatility(%)</v>
      </c>
      <c r="F5" s="30" t="str">
        <f>IFERROR(__xludf.DUMMYFUNCTION("""COMPUTED_VALUE"""),"Historical Volatility")</f>
        <v>Historical Volatility</v>
      </c>
      <c r="G5" s="30" t="str">
        <f>IFERROR(__xludf.DUMMYFUNCTION("""COMPUTED_VALUE"""),"User Volatility")</f>
        <v>User Volatility</v>
      </c>
      <c r="H5" s="30" t="str">
        <f>IFERROR(__xludf.DUMMYFUNCTION("""COMPUTED_VALUE"""),"Interest Rate")</f>
        <v>Interest Rate</v>
      </c>
      <c r="I5" s="30" t="str">
        <f>IFERROR(__xludf.DUMMYFUNCTION("""COMPUTED_VALUE"""),"User Interest Rate")</f>
        <v>User Interest Rate</v>
      </c>
      <c r="J5" s="30" t="str">
        <f>IFERROR(__xludf.DUMMYFUNCTION("""COMPUTED_VALUE"""),"Dividend Yield")</f>
        <v>Dividend Yield</v>
      </c>
      <c r="K5" s="30" t="str">
        <f>IFERROR(__xludf.DUMMYFUNCTION("""COMPUTED_VALUE"""),"User Dividend Yield")</f>
        <v>User Dividend Yield</v>
      </c>
      <c r="L5" s="30" t="str">
        <f>IFERROR(__xludf.DUMMYFUNCTION("""COMPUTED_VALUE"""),"Actual Delta")</f>
        <v>Actual Delta</v>
      </c>
      <c r="M5" s="30" t="str">
        <f>IFERROR(__xludf.DUMMYFUNCTION("""COMPUTED_VALUE"""),"User Delta")</f>
        <v>User Delta</v>
      </c>
      <c r="N5" s="30" t="str">
        <f>IFERROR(__xludf.DUMMYFUNCTION("""COMPUTED_VALUE"""),"Selected Px")</f>
        <v>Selected Px</v>
      </c>
      <c r="O5" s="30" t="str">
        <f>IFERROR(__xludf.DUMMYFUNCTION("""COMPUTED_VALUE"""),"Forward Points")</f>
        <v>Forward Points</v>
      </c>
      <c r="P5" s="30" t="str">
        <f>IFERROR(__xludf.DUMMYFUNCTION("""COMPUTED_VALUE"""),"Shares Outstanding")</f>
        <v>Shares Outstanding</v>
      </c>
      <c r="Q5" s="30" t="str">
        <f>IFERROR(__xludf.DUMMYFUNCTION("""COMPUTED_VALUE"""),"User Shares Outstanding")</f>
        <v>User Shares Outstanding</v>
      </c>
      <c r="R5" s="30" t="str">
        <f>IFERROR(__xludf.DUMMYFUNCTION("""COMPUTED_VALUE"""),"LastPriceUsed")</f>
        <v>LastPriceUsed</v>
      </c>
      <c r="S5" s="30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16</v>
      </c>
      <c r="C6" s="9">
        <v>5.0</v>
      </c>
      <c r="Q6" s="9">
        <v>1000.0</v>
      </c>
    </row>
    <row r="7" ht="15.75" customHeight="1">
      <c r="A7" s="8"/>
      <c r="B7" s="11" t="s">
        <v>20</v>
      </c>
      <c r="C7" s="11">
        <v>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s="9">
        <v>1000.0</v>
      </c>
    </row>
    <row r="8" ht="15.75" customHeight="1">
      <c r="A8" s="8"/>
      <c r="B8" s="11" t="s">
        <v>27</v>
      </c>
      <c r="C8" s="11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Q8" s="9">
        <v>1000.0</v>
      </c>
    </row>
    <row r="9" ht="15.75" customHeight="1">
      <c r="A9" s="8"/>
      <c r="B9" s="11" t="s">
        <v>23</v>
      </c>
      <c r="C9" s="11">
        <v>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Q9" s="9">
        <v>1000.0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IFERROR(__xludf.DUMMYFUNCTION("""COMPUTED_VALUE"""),"Side")</f>
        <v>Side</v>
      </c>
      <c r="D5" s="30" t="str">
        <f>IFERROR(__xludf.DUMMYFUNCTION("""COMPUTED_VALUE"""),"Quantity")</f>
        <v>Quantity</v>
      </c>
      <c r="E5" s="30" t="str">
        <f>IFERROR(__xludf.DUMMYFUNCTION("""COMPUTED_VALUE"""),"Executed Qty")</f>
        <v>Executed Qty</v>
      </c>
      <c r="F5" s="30" t="str">
        <f>IFERROR(__xludf.DUMMYFUNCTION("""COMPUTED_VALUE"""),"Trade Date")</f>
        <v>Trade Date</v>
      </c>
      <c r="G5" s="30" t="str">
        <f>IFERROR(__xludf.DUMMYFUNCTION("""COMPUTED_VALUE"""),"Net Amount( Local)")</f>
        <v>Net Amount( Local)</v>
      </c>
      <c r="H5" s="30" t="str">
        <f>IFERROR(__xludf.DUMMYFUNCTION("""COMPUTED_VALUE"""),"Net Amount( Base)")</f>
        <v>Net Amount( Base)</v>
      </c>
      <c r="I5" s="30" t="str">
        <f>IFERROR(__xludf.DUMMYFUNCTION("""COMPUTED_VALUE"""),"Principal Amount( Local)")</f>
        <v>Principal Amount( Local)</v>
      </c>
      <c r="J5" s="30" t="str">
        <f>IFERROR(__xludf.DUMMYFUNCTION("""COMPUTED_VALUE"""),"Transaction Type")</f>
        <v>Transaction Type</v>
      </c>
      <c r="K5" s="30" t="str">
        <f>IFERROR(__xludf.DUMMYFUNCTION("""COMPUTED_VALUE"""),"Principal Amount( Base)")</f>
        <v>Principal Amount( Base)</v>
      </c>
      <c r="L5" s="30" t="str">
        <f>IFERROR(__xludf.DUMMYFUNCTION("""COMPUTED_VALUE"""),"Execution Time")</f>
        <v>Execution Time</v>
      </c>
      <c r="M5" s="30" t="str">
        <f>IFERROR(__xludf.DUMMYFUNCTION("""COMPUTED_VALUE"""),"Trading Account")</f>
        <v>Trading Account</v>
      </c>
      <c r="N5" s="30" t="str">
        <f>IFERROR(__xludf.DUMMYFUNCTION("""COMPUTED_VALUE"""),"Avg Price(Local)")</f>
        <v>Avg Price(Local)</v>
      </c>
      <c r="O5" s="30" t="str">
        <f>IFERROR(__xludf.DUMMYFUNCTION("""COMPUTED_VALUE"""),"Avg Price(Base)")</f>
        <v>Avg Price(Base)</v>
      </c>
      <c r="P5" s="30" t="str">
        <f>IFERROR(__xludf.DUMMYFUNCTION("""COMPUTED_VALUE"""),"Broker")</f>
        <v>Broker</v>
      </c>
      <c r="Q5" s="30" t="str">
        <f>IFERROR(__xludf.DUMMYFUNCTION("""COMPUTED_VALUE"""),"FX Rate")</f>
        <v>FX Rate</v>
      </c>
      <c r="R5" s="30" t="str">
        <f>IFERROR(__xludf.DUMMYFUNCTION("""COMPUTED_VALUE"""),"Venue")</f>
        <v>Venue</v>
      </c>
      <c r="S5" s="30" t="str">
        <f>IFERROR(__xludf.DUMMYFUNCTION("""COMPUTED_VALUE"""),"FX Conversion Operator")</f>
        <v>FX Conversion Operator</v>
      </c>
      <c r="T5" s="31" t="str">
        <f>IFERROR(__xludf.DUMMYFUNCTION("""COMPUTED_VALUE"""),"User")</f>
        <v>User</v>
      </c>
      <c r="U5" s="31" t="str">
        <f>IFERROR(__xludf.DUMMYFUNCTION("""COMPUTED_VALUE"""),"Asset Category")</f>
        <v>Asset Category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IFERROR(__xludf.DUMMYFUNCTION("""COMPUTED_VALUE"""),"Commission Per Share")</f>
        <v>Commission Per Share</v>
      </c>
      <c r="X5" s="31" t="str">
        <f>IFERROR(__xludf.DUMMYFUNCTION("""COMPUTED_VALUE"""),"Soft Commission Per Share")</f>
        <v>Soft Commission Per Share</v>
      </c>
      <c r="Y5" s="31" t="str">
        <f>IFERROR(__xludf.DUMMYFUNCTION("""COMPUTED_VALUE"""),"Total Commission Per Share")</f>
        <v>Total Commission Per Share</v>
      </c>
      <c r="Z5" s="31" t="str">
        <f>IFERROR(__xludf.DUMMYFUNCTION("""COMPUTED_VALUE"""),"Change Type")</f>
        <v>Change Type</v>
      </c>
      <c r="AA5" s="31" t="str">
        <f>IFERROR(__xludf.DUMMYFUNCTION("""COMPUTED_VALUE"""),"Trade Attribute 1")</f>
        <v>Trade Attribute 1</v>
      </c>
      <c r="AB5" s="31" t="str">
        <f>IFERROR(__xludf.DUMMYFUNCTION("""COMPUTED_VALUE"""),"Trade Attribute 2")</f>
        <v>Trade Attribute 2</v>
      </c>
      <c r="AC5" s="31" t="str">
        <f>IFERROR(__xludf.DUMMYFUNCTION("""COMPUTED_VALUE"""),"Trade Attribute 3")</f>
        <v>Trade Attribute 3</v>
      </c>
      <c r="AD5" s="31" t="str">
        <f>IFERROR(__xludf.DUMMYFUNCTION("""COMPUTED_VALUE"""),"Trade Attribute 4")</f>
        <v>Trade Attribute 4</v>
      </c>
      <c r="AE5" s="31" t="str">
        <f>IFERROR(__xludf.DUMMYFUNCTION("""COMPUTED_VALUE"""),"Trade Attribute 5")</f>
        <v>Trade Attribute 5</v>
      </c>
      <c r="AF5" s="31" t="str">
        <f>IFERROR(__xludf.DUMMYFUNCTION("""COMPUTED_VALUE"""),"Trade Attribute 6")</f>
        <v>Trade Attribute 6</v>
      </c>
      <c r="AG5" s="31" t="str">
        <f>IFERROR(__xludf.DUMMYFUNCTION("""COMPUTED_VALUE"""),"IsPreAllocated")</f>
        <v>IsPreAllocated</v>
      </c>
      <c r="AH5" s="31" t="str">
        <f>IFERROR(__xludf.DUMMYFUNCTION("""COMPUTED_VALUE"""),"IsManual Group")</f>
        <v>IsManual Group</v>
      </c>
      <c r="AI5" s="31" t="str">
        <f>IFERROR(__xludf.DUMMYFUNCTION("""COMPUTED_VALUE"""),"IsAnotherTaxlotAttributesUpdated")</f>
        <v>IsAnotherTaxlotAttributesUpdated</v>
      </c>
      <c r="AJ5" s="31" t="str">
        <f>IFERROR(__xludf.DUMMYFUNCTION("""COMPUTED_VALUE"""),"ISNDF")</f>
        <v>ISNDF</v>
      </c>
      <c r="AK5" s="31" t="str">
        <f>IFERROR(__xludf.DUMMYFUNCTION("""COMPUTED_VALUE"""),"M2MProfitLoss")</f>
        <v>M2MProfitLoss</v>
      </c>
      <c r="AL5" s="31" t="str">
        <f>IFERROR(__xludf.DUMMYFUNCTION("""COMPUTED_VALUE"""),"Put Or Call")</f>
        <v>Put Or Call</v>
      </c>
      <c r="AM5" s="31" t="str">
        <f>IFERROR(__xludf.DUMMYFUNCTION("""COMPUTED_VALUE"""),"GroupID")</f>
        <v>GroupID</v>
      </c>
      <c r="AN5" s="31" t="str">
        <f>IFERROR(__xludf.DUMMYFUNCTION("""COMPUTED_VALUE"""),"UnAllocatedQty")</f>
        <v>UnAllocatedQty</v>
      </c>
      <c r="AO5" s="31" t="str">
        <f>IFERROR(__xludf.DUMMYFUNCTION("""COMPUTED_VALUE"""),"Allocated Qty")</f>
        <v>Allocated Qty</v>
      </c>
      <c r="AP5" s="31" t="str">
        <f>IFERROR(__xludf.DUMMYFUNCTION("""COMPUTED_VALUE"""),"Commission")</f>
        <v>Commission</v>
      </c>
      <c r="AQ5" s="31" t="str">
        <f>IFERROR(__xludf.DUMMYFUNCTION("""COMPUTED_VALUE"""),"Soft Commission")</f>
        <v>Soft Commission</v>
      </c>
      <c r="AR5" s="31" t="str">
        <f>IFERROR(__xludf.DUMMYFUNCTION("""COMPUTED_VALUE"""),"Other Broker Fees")</f>
        <v>Other Broker Fees</v>
      </c>
      <c r="AS5" s="31" t="str">
        <f>IFERROR(__xludf.DUMMYFUNCTION("""COMPUTED_VALUE"""),"Clearing Broker Fee")</f>
        <v>Clearing Broker Fee</v>
      </c>
      <c r="AT5" s="31" t="str">
        <f>IFERROR(__xludf.DUMMYFUNCTION("""COMPUTED_VALUE"""),"Total Commission And Fee")</f>
        <v>Total Commission And Fee</v>
      </c>
      <c r="AU5" s="31" t="str">
        <f>IFERROR(__xludf.DUMMYFUNCTION("""COMPUTED_VALUE"""),"Transaction Levy")</f>
        <v>Transaction Levy</v>
      </c>
      <c r="AV5" s="31" t="str">
        <f>IFERROR(__xludf.DUMMYFUNCTION("""COMPUTED_VALUE"""),"Stamp Duty")</f>
        <v>Stamp Duty</v>
      </c>
      <c r="AW5" s="31" t="str">
        <f>IFERROR(__xludf.DUMMYFUNCTION("""COMPUTED_VALUE"""),"AUEC Fee1")</f>
        <v>AUEC Fee1</v>
      </c>
      <c r="AX5" s="31" t="str">
        <f>IFERROR(__xludf.DUMMYFUNCTION("""COMPUTED_VALUE"""),"Tax On Commissions")</f>
        <v>Tax On Commissions</v>
      </c>
      <c r="AY5" s="31" t="str">
        <f>IFERROR(__xludf.DUMMYFUNCTION("""COMPUTED_VALUE"""),"AUEC Fee2")</f>
        <v>AUEC Fee2</v>
      </c>
      <c r="AZ5" s="31" t="str">
        <f>IFERROR(__xludf.DUMMYFUNCTION("""COMPUTED_VALUE"""),"SEC Fee")</f>
        <v>SEC Fee</v>
      </c>
      <c r="BA5" s="31" t="str">
        <f>IFERROR(__xludf.DUMMYFUNCTION("""COMPUTED_VALUE"""),"OCC Fee")</f>
        <v>OCC Fee</v>
      </c>
      <c r="BB5" s="31" t="str">
        <f>IFERROR(__xludf.DUMMYFUNCTION("""COMPUTED_VALUE"""),"ORF Fee")</f>
        <v>ORF Fee</v>
      </c>
      <c r="BC5" s="31" t="str">
        <f>IFERROR(__xludf.DUMMYFUNCTION("""COMPUTED_VALUE"""),"Option Premium Adjustment")</f>
        <v>Option Premium Adjustment</v>
      </c>
      <c r="BD5" s="31" t="str">
        <f>IFERROR(__xludf.DUMMYFUNCTION("""COMPUTED_VALUE"""),"Prana Msg Type")</f>
        <v>Prana Msg Type</v>
      </c>
      <c r="BE5" s="31" t="str">
        <f>IFERROR(__xludf.DUMMYFUNCTION("""COMPUTED_VALUE"""),"Total Commission")</f>
        <v>Total Commission</v>
      </c>
      <c r="BF5" s="31" t="str">
        <f>IFERROR(__xludf.DUMMYFUNCTION("""COMPUTED_VALUE"""),"Closing Status")</f>
        <v>Closing Status</v>
      </c>
      <c r="BG5" s="31" t="str">
        <f>IFERROR(__xludf.DUMMYFUNCTION("""COMPUTED_VALUE"""),"Closing Method")</f>
        <v>Closing Method</v>
      </c>
      <c r="BH5" s="31" t="str">
        <f>IFERROR(__xludf.DUMMYFUNCTION("""COMPUTED_VALUE"""),"Group Status")</f>
        <v>Group Status</v>
      </c>
      <c r="BI5" s="31" t="str">
        <f>IFERROR(__xludf.DUMMYFUNCTION("""COMPUTED_VALUE"""),"Allocation Scheme Name")</f>
        <v>Allocation Scheme Name</v>
      </c>
      <c r="BJ5" s="31" t="str">
        <f>IFERROR(__xludf.DUMMYFUNCTION("""COMPUTED_VALUE"""),"Change Comment")</f>
        <v>Change Comment</v>
      </c>
      <c r="BK5" s="31" t="str">
        <f>IFERROR(__xludf.DUMMYFUNCTION("""COMPUTED_VALUE"""),"Order Type")</f>
        <v>Order Type</v>
      </c>
      <c r="BL5" s="31" t="str">
        <f>IFERROR(__xludf.DUMMYFUNCTION("""COMPUTED_VALUE"""),"Underlying")</f>
        <v>Underlying</v>
      </c>
      <c r="BM5" s="31" t="str">
        <f>IFERROR(__xludf.DUMMYFUNCTION("""COMPUTED_VALUE"""),"Exchange")</f>
        <v>Exchange</v>
      </c>
      <c r="BN5" s="31" t="str">
        <f>IFERROR(__xludf.DUMMYFUNCTION("""COMPUTED_VALUE"""),"Currency")</f>
        <v>Currency</v>
      </c>
      <c r="BO5" s="31" t="str">
        <f>IFERROR(__xludf.DUMMYFUNCTION("""COMPUTED_VALUE"""),"AUECID")</f>
        <v>AUECID</v>
      </c>
      <c r="BP5" s="31" t="str">
        <f>IFERROR(__xludf.DUMMYFUNCTION("""COMPUTED_VALUE"""),"Cum Qty For Sub Order")</f>
        <v>Cum Qty For Sub Order</v>
      </c>
      <c r="BQ5" s="31" t="str">
        <f>IFERROR(__xludf.DUMMYFUNCTION("""COMPUTED_VALUE"""),"Contract Multiplier")</f>
        <v>Contract Multiplier</v>
      </c>
      <c r="BR5" s="31" t="str">
        <f>IFERROR(__xludf.DUMMYFUNCTION("""COMPUTED_VALUE"""),"Company")</f>
        <v>Company</v>
      </c>
      <c r="BS5" s="31" t="str">
        <f>IFERROR(__xludf.DUMMYFUNCTION("""COMPUTED_VALUE"""),"Nirvana Process Date")</f>
        <v>Nirvana Process Date</v>
      </c>
      <c r="BT5" s="31" t="str">
        <f>IFERROR(__xludf.DUMMYFUNCTION("""COMPUTED_VALUE"""),"Process Date")</f>
        <v>Process Date</v>
      </c>
      <c r="BU5" s="31" t="str">
        <f>IFERROR(__xludf.DUMMYFUNCTION("""COMPUTED_VALUE"""),"Original Purchase Date")</f>
        <v>Original Purchase Date</v>
      </c>
      <c r="BV5" s="31" t="str">
        <f>IFERROR(__xludf.DUMMYFUNCTION("""COMPUTED_VALUE"""),"Closing Date")</f>
        <v>Closing Date</v>
      </c>
      <c r="BW5" s="31" t="str">
        <f>IFERROR(__xludf.DUMMYFUNCTION("""COMPUTED_VALUE"""),"Settlement Date")</f>
        <v>Settlement Date</v>
      </c>
      <c r="BX5" s="31" t="str">
        <f>IFERROR(__xludf.DUMMYFUNCTION("""COMPUTED_VALUE"""),"Expiration Date")</f>
        <v>Expiration Date</v>
      </c>
      <c r="BY5" s="31" t="str">
        <f>IFERROR(__xludf.DUMMYFUNCTION("""COMPUTED_VALUE"""),"Description")</f>
        <v>Description</v>
      </c>
      <c r="BZ5" s="31" t="str">
        <f>IFERROR(__xludf.DUMMYFUNCTION("""COMPUTED_VALUE"""),"Underlying Symbol")</f>
        <v>Underlying Symbol</v>
      </c>
      <c r="CA5" s="31" t="str">
        <f>IFERROR(__xludf.DUMMYFUNCTION("""COMPUTED_VALUE"""),"Accrued Interest")</f>
        <v>Accrued Interest</v>
      </c>
      <c r="CB5" s="31" t="str">
        <f>IFERROR(__xludf.DUMMYFUNCTION("""COMPUTED_VALUE"""),"Accrual Basis")</f>
        <v>Accrual Basis</v>
      </c>
      <c r="CC5" s="31" t="str">
        <f>IFERROR(__xludf.DUMMYFUNCTION("""COMPUTED_VALUE"""),"Bond Type")</f>
        <v>Bond Type</v>
      </c>
      <c r="CD5" s="31" t="str">
        <f>IFERROR(__xludf.DUMMYFUNCTION("""COMPUTED_VALUE"""),"Coupon Rate")</f>
        <v>Coupon Rate</v>
      </c>
      <c r="CE5" s="31" t="str">
        <f>IFERROR(__xludf.DUMMYFUNCTION("""COMPUTED_VALUE"""),"Delta")</f>
        <v>Delta</v>
      </c>
      <c r="CF5" s="31" t="str">
        <f>IFERROR(__xludf.DUMMYFUNCTION("""COMPUTED_VALUE"""),"Bloomberg")</f>
        <v>Bloomberg</v>
      </c>
      <c r="CG5" s="31" t="str">
        <f>IFERROR(__xludf.DUMMYFUNCTION("""COMPUTED_VALUE"""),"Sedol Symbol")</f>
        <v>Sedol Symbol</v>
      </c>
      <c r="CH5" s="31" t="str">
        <f>IFERROR(__xludf.DUMMYFUNCTION("""COMPUTED_VALUE"""),"Cusip Symbol")</f>
        <v>Cusip Symbol</v>
      </c>
      <c r="CI5" s="31" t="str">
        <f>IFERROR(__xludf.DUMMYFUNCTION("""COMPUTED_VALUE"""),"ISIN")</f>
        <v>ISIN</v>
      </c>
      <c r="CJ5" s="31" t="str">
        <f>IFERROR(__xludf.DUMMYFUNCTION("""COMPUTED_VALUE"""),"OSISSymbol")</f>
        <v>OSISSymbol</v>
      </c>
      <c r="CK5" s="31" t="str">
        <f>IFERROR(__xludf.DUMMYFUNCTION("""COMPUTED_VALUE"""),"IDCOSymbol")</f>
        <v>IDCOSymbol</v>
      </c>
      <c r="CL5" s="31" t="str">
        <f>IFERROR(__xludf.DUMMYFUNCTION("""COMPUTED_VALUE"""),"Underlying Delta")</f>
        <v>Underlying Delta</v>
      </c>
      <c r="CM5" s="31" t="str">
        <f>IFERROR(__xludf.DUMMYFUNCTION("""COMPUTED_VALUE"""),"Internal Comments")</f>
        <v>Internal Comments</v>
      </c>
      <c r="CN5" s="31" t="str">
        <f>IFERROR(__xludf.DUMMYFUNCTION("""COMPUTED_VALUE"""),"Proxy Symbol")</f>
        <v>Proxy Symbol</v>
      </c>
      <c r="CO5" s="31" t="str">
        <f>IFERROR(__xludf.DUMMYFUNCTION("""COMPUTED_VALUE"""),"Transaction Source")</f>
        <v>Transaction Source</v>
      </c>
      <c r="CP5" s="31" t="str">
        <f>IFERROR(__xludf.DUMMYFUNCTION("""COMPUTED_VALUE"""),"Import File Name")</f>
        <v>Import File Name</v>
      </c>
      <c r="CQ5" s="31" t="str">
        <f>IFERROR(__xludf.DUMMYFUNCTION("""COMPUTED_VALUE"""),"Master Fund")</f>
        <v>Master Fund</v>
      </c>
      <c r="CR5" s="31" t="str">
        <f>IFERROR(__xludf.DUMMYFUNCTION("""COMPUTED_VALUE"""),"Client")</f>
        <v>Client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1" t="s">
        <v>16</v>
      </c>
      <c r="C6" s="11" t="s">
        <v>17</v>
      </c>
      <c r="D6" s="11">
        <v>100.0</v>
      </c>
      <c r="E6" s="11">
        <v>100.0</v>
      </c>
      <c r="O6" s="9">
        <v>1.0</v>
      </c>
    </row>
    <row r="7" ht="15.75" customHeight="1">
      <c r="A7" s="8"/>
      <c r="B7" s="11" t="s">
        <v>20</v>
      </c>
      <c r="C7" s="11" t="s">
        <v>26</v>
      </c>
      <c r="D7" s="11">
        <v>600.0</v>
      </c>
      <c r="E7" s="11">
        <v>600.0</v>
      </c>
      <c r="F7" s="8"/>
      <c r="G7" s="8"/>
      <c r="H7" s="8"/>
      <c r="I7" s="8"/>
      <c r="J7" s="8"/>
      <c r="K7" s="8"/>
      <c r="L7" s="8"/>
      <c r="M7" s="8"/>
      <c r="N7" s="8"/>
      <c r="O7" s="11">
        <v>1.0</v>
      </c>
    </row>
    <row r="8" ht="15.75" customHeight="1">
      <c r="A8" s="8"/>
      <c r="B8" s="11" t="s">
        <v>23</v>
      </c>
      <c r="C8" s="11" t="s">
        <v>26</v>
      </c>
      <c r="D8" s="11">
        <v>400.0</v>
      </c>
      <c r="E8" s="11">
        <v>400.0</v>
      </c>
      <c r="F8" s="8"/>
      <c r="G8" s="8"/>
      <c r="H8" s="8"/>
      <c r="I8" s="8"/>
      <c r="J8" s="8"/>
      <c r="K8" s="8"/>
      <c r="L8" s="8"/>
      <c r="M8" s="8"/>
      <c r="N8" s="8"/>
      <c r="O8" s="11">
        <v>1.0</v>
      </c>
    </row>
    <row r="9" ht="15.75" customHeight="1">
      <c r="A9" s="8"/>
      <c r="B9" s="11" t="s">
        <v>27</v>
      </c>
      <c r="C9" s="11" t="s">
        <v>28</v>
      </c>
      <c r="D9" s="11">
        <v>100.0</v>
      </c>
      <c r="E9" s="11">
        <v>100.0</v>
      </c>
      <c r="F9" s="8"/>
      <c r="G9" s="8"/>
      <c r="H9" s="8"/>
      <c r="I9" s="8"/>
      <c r="J9" s="8"/>
      <c r="K9" s="8"/>
      <c r="L9" s="8"/>
      <c r="M9" s="8"/>
      <c r="N9" s="8"/>
      <c r="O9" s="11">
        <v>1.0</v>
      </c>
    </row>
    <row r="10" ht="15.75" customHeight="1">
      <c r="A10" s="8"/>
      <c r="B10" s="11" t="s">
        <v>38</v>
      </c>
      <c r="C10" s="11" t="s">
        <v>17</v>
      </c>
      <c r="D10" s="11">
        <v>500.0</v>
      </c>
      <c r="E10" s="11">
        <v>500.0</v>
      </c>
      <c r="F10" s="8"/>
      <c r="G10" s="8"/>
      <c r="H10" s="8"/>
      <c r="I10" s="8"/>
      <c r="J10" s="8"/>
      <c r="K10" s="8"/>
      <c r="L10" s="8"/>
      <c r="M10" s="8"/>
      <c r="N10" s="8"/>
      <c r="O10" s="11">
        <v>1.0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IFERROR(__xludf.DUMMYFUNCTION("""COMPUTED_VALUE"""),"PreferenceType")</f>
        <v>PreferenceType</v>
      </c>
      <c r="C5" s="30" t="str">
        <f>IFERROR(__xludf.DUMMYFUNCTION("""COMPUTED_VALUE"""),"PreferenceName")</f>
        <v>PreferenceName</v>
      </c>
      <c r="D5" s="30" t="str">
        <f>IFERROR(__xludf.DUMMYFUNCTION("""COMPUTED_VALUE"""),"PTTPrefNeeded")</f>
        <v>PTTPrefNeeded</v>
      </c>
      <c r="E5" s="30" t="str">
        <f>IFERROR(__xludf.DUMMYFUNCTION("""COMPUTED_VALUE"""),"IsForceAllocation")</f>
        <v>IsForceAllocation</v>
      </c>
      <c r="F5" s="30" t="str">
        <f>IFERROR(__xludf.DUMMYFUNCTION("""COMPUTED_VALUE"""),"AllocationMethod")</f>
        <v>AllocationMethod</v>
      </c>
      <c r="G5" s="30" t="str">
        <f>IFERROR(__xludf.DUMMYFUNCTION("""COMPUTED_VALUE"""),"RemainderAllocationTo")</f>
        <v>RemainderAllocationTo</v>
      </c>
      <c r="H5" s="30" t="str">
        <f>IFERROR(__xludf.DUMMYFUNCTION("""COMPUTED_VALUE"""),"Target%AsOf")</f>
        <v>Target%AsOf</v>
      </c>
      <c r="I5" s="30" t="str">
        <f>IFERROR(__xludf.DUMMYFUNCTION("""COMPUTED_VALUE"""),"AccountsForProrata")</f>
        <v>AccountsForProrata</v>
      </c>
      <c r="J5" s="30" t="str">
        <f>IFERROR(__xludf.DUMMYFUNCTION("""COMPUTED_VALUE"""),"DateUptoDays")</f>
        <v>DateUptoDays</v>
      </c>
      <c r="K5" s="30" t="str">
        <f>IFERROR(__xludf.DUMMYFUNCTION("""COMPUTED_VALUE"""),"MatchClosingTransactions")</f>
        <v>MatchClosingTransactions</v>
      </c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 t="s">
        <v>47</v>
      </c>
      <c r="D6" s="9" t="b">
        <v>0</v>
      </c>
      <c r="G6" s="9"/>
      <c r="H6" s="9" t="s">
        <v>48</v>
      </c>
      <c r="I6" s="9" t="s">
        <v>18</v>
      </c>
      <c r="K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49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 Name")</f>
        <v>Account Name</v>
      </c>
      <c r="C5" s="30" t="str">
        <f>IFERROR(__xludf.DUMMYFUNCTION("""COMPUTED_VALUE"""),"Accrual Basis")</f>
        <v>Accrual Basis</v>
      </c>
      <c r="D5" s="30" t="str">
        <f>IFERROR(__xludf.DUMMYFUNCTION("""COMPUTED_VALUE"""),"Accrued Interest")</f>
        <v>Accrued Interest</v>
      </c>
      <c r="E5" s="30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30" t="str">
        <f>IFERROR(__xludf.DUMMYFUNCTION("""COMPUTED_VALUE"""),"Asset Category")</f>
        <v>Asset Category</v>
      </c>
      <c r="H5" s="30" t="str">
        <f>IFERROR(__xludf.DUMMYFUNCTION("""COMPUTED_VALUE"""),"AUEC Fee1")</f>
        <v>AUEC Fee1</v>
      </c>
      <c r="I5" s="30" t="str">
        <f>IFERROR(__xludf.DUMMYFUNCTION("""COMPUTED_VALUE"""),"AUEC Fee2")</f>
        <v>AUEC Fee2</v>
      </c>
      <c r="J5" s="30" t="str">
        <f>IFERROR(__xludf.DUMMYFUNCTION("""COMPUTED_VALUE"""),"AUECID")</f>
        <v>AUECID</v>
      </c>
      <c r="K5" s="30" t="str">
        <f>IFERROR(__xludf.DUMMYFUNCTION("""COMPUTED_VALUE"""),"Avg Price(Base)")</f>
        <v>Avg Price(Base)</v>
      </c>
      <c r="L5" s="30" t="str">
        <f>IFERROR(__xludf.DUMMYFUNCTION("""COMPUTED_VALUE"""),"Avg Price(Local)")</f>
        <v>Avg Price(Local)</v>
      </c>
      <c r="M5" s="30" t="str">
        <f>IFERROR(__xludf.DUMMYFUNCTION("""COMPUTED_VALUE"""),"Bloomberg")</f>
        <v>Bloomberg</v>
      </c>
      <c r="N5" s="30" t="str">
        <f>IFERROR(__xludf.DUMMYFUNCTION("""COMPUTED_VALUE"""),"Bond Type")</f>
        <v>Bond Type</v>
      </c>
      <c r="O5" s="30" t="str">
        <f>IFERROR(__xludf.DUMMYFUNCTION("""COMPUTED_VALUE"""),"Broker")</f>
        <v>Broker</v>
      </c>
      <c r="P5" s="30" t="str">
        <f>IFERROR(__xludf.DUMMYFUNCTION("""COMPUTED_VALUE"""),"Change Comment")</f>
        <v>Change Comment</v>
      </c>
      <c r="Q5" s="30" t="str">
        <f>IFERROR(__xludf.DUMMYFUNCTION("""COMPUTED_VALUE"""),"Change Type")</f>
        <v>Change Type</v>
      </c>
      <c r="R5" s="30" t="str">
        <f>IFERROR(__xludf.DUMMYFUNCTION("""COMPUTED_VALUE"""),"Clearing Broker Fee")</f>
        <v>Clearing Broker Fee</v>
      </c>
      <c r="S5" s="30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K6" s="9">
        <v>1.0</v>
      </c>
      <c r="L6" s="9">
        <v>1.0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9">
        <v>1.0</v>
      </c>
      <c r="L7" s="9">
        <v>1.0</v>
      </c>
      <c r="M7" s="8"/>
      <c r="N7" s="8"/>
      <c r="O7" s="8"/>
      <c r="BJ7" s="9">
        <v>500.0</v>
      </c>
      <c r="BO7" s="9" t="s">
        <v>17</v>
      </c>
      <c r="BT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9">
        <v>1.0</v>
      </c>
      <c r="L8" s="9">
        <v>1.0</v>
      </c>
      <c r="M8" s="8"/>
      <c r="N8" s="8"/>
      <c r="O8" s="8"/>
      <c r="BJ8" s="9">
        <v>100.0</v>
      </c>
      <c r="BO8" s="9" t="s">
        <v>28</v>
      </c>
      <c r="BT8" s="9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50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IFERROR(__xludf.DUMMYFUNCTION("""COMPUTED_VALUE"""),"Accrual Basis")</f>
        <v>Accrual Basis</v>
      </c>
      <c r="C5" s="30" t="str">
        <f>IFERROR(__xludf.DUMMYFUNCTION("""COMPUTED_VALUE"""),"Accrued Interest")</f>
        <v>Accrued Interest</v>
      </c>
      <c r="D5" s="30" t="str">
        <f>IFERROR(__xludf.DUMMYFUNCTION("""COMPUTED_VALUE"""),"Allocated Qty")</f>
        <v>Allocated Qty</v>
      </c>
      <c r="E5" s="30" t="str">
        <f>IFERROR(__xludf.DUMMYFUNCTION("""COMPUTED_VALUE"""),"Allocation Scheme Name")</f>
        <v>Allocation Scheme Name</v>
      </c>
      <c r="F5" s="30" t="str">
        <f>IFERROR(__xludf.DUMMYFUNCTION("""COMPUTED_VALUE"""),"Asset Category")</f>
        <v>Asset Category</v>
      </c>
      <c r="G5" s="30" t="str">
        <f>IFERROR(__xludf.DUMMYFUNCTION("""COMPUTED_VALUE"""),"AUEC Fee1")</f>
        <v>AUEC Fee1</v>
      </c>
      <c r="H5" s="30" t="str">
        <f>IFERROR(__xludf.DUMMYFUNCTION("""COMPUTED_VALUE"""),"AUEC Fee2")</f>
        <v>AUEC Fee2</v>
      </c>
      <c r="I5" s="30" t="str">
        <f>IFERROR(__xludf.DUMMYFUNCTION("""COMPUTED_VALUE"""),"AUECID")</f>
        <v>AUECID</v>
      </c>
      <c r="J5" s="30" t="str">
        <f>IFERROR(__xludf.DUMMYFUNCTION("""COMPUTED_VALUE"""),"Avg Price(Base)")</f>
        <v>Avg Price(Base)</v>
      </c>
      <c r="K5" s="30" t="str">
        <f>IFERROR(__xludf.DUMMYFUNCTION("""COMPUTED_VALUE"""),"Avg Price(Local)")</f>
        <v>Avg Price(Local)</v>
      </c>
      <c r="L5" s="30" t="str">
        <f>IFERROR(__xludf.DUMMYFUNCTION("""COMPUTED_VALUE"""),"Bloomberg")</f>
        <v>Bloomberg</v>
      </c>
      <c r="M5" s="30" t="str">
        <f>IFERROR(__xludf.DUMMYFUNCTION("""COMPUTED_VALUE"""),"Bond Type")</f>
        <v>Bond Type</v>
      </c>
      <c r="N5" s="30" t="str">
        <f>IFERROR(__xludf.DUMMYFUNCTION("""COMPUTED_VALUE"""),"Broker")</f>
        <v>Broker</v>
      </c>
      <c r="O5" s="30" t="str">
        <f>IFERROR(__xludf.DUMMYFUNCTION("""COMPUTED_VALUE"""),"Change Comment")</f>
        <v>Change Comment</v>
      </c>
      <c r="P5" s="30" t="str">
        <f>IFERROR(__xludf.DUMMYFUNCTION("""COMPUTED_VALUE"""),"Change Type")</f>
        <v>Change Type</v>
      </c>
      <c r="Q5" s="30" t="str">
        <f>IFERROR(__xludf.DUMMYFUNCTION("""COMPUTED_VALUE"""),"Clearing Broker Fee")</f>
        <v>Clearing Broker Fee</v>
      </c>
      <c r="R5" s="30" t="str">
        <f>IFERROR(__xludf.DUMMYFUNCTION("""COMPUTED_VALUE"""),"Closing Method")</f>
        <v>Closing Method</v>
      </c>
      <c r="S5" s="30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IFERROR(__xludf.DUMMYFUNCTION("""COMPUTED_VALUE"""),"Execution Time")</f>
        <v>Execution Time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IFERROR(__xludf.DUMMYFUNCTION("""COMPUTED_VALUE"""),"FX Rate")</f>
        <v>FX Rate</v>
      </c>
      <c r="AI5" s="31" t="str">
        <f>IFERROR(__xludf.DUMMYFUNCTION("""COMPUTED_VALUE"""),"Group Status")</f>
        <v>Group Status</v>
      </c>
      <c r="AJ5" s="31" t="str">
        <f>IFERROR(__xludf.DUMMYFUNCTION("""COMPUTED_VALUE"""),"GroupID")</f>
        <v>GroupID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IFERROR(__xludf.DUMMYFUNCTION("""COMPUTED_VALUE"""),"Symbol")</f>
        <v>Symbol</v>
      </c>
      <c r="BT5" s="31" t="str">
        <f>IFERROR(__xludf.DUMMYFUNCTION("""COMPUTED_VALUE"""),"Tax On Commissions")</f>
        <v>Tax On Commissions</v>
      </c>
      <c r="BU5" s="31" t="str">
        <f>IFERROR(__xludf.DUMMYFUNCTION("""COMPUTED_VALUE"""),"Total Commission")</f>
        <v>Total Commission</v>
      </c>
      <c r="BV5" s="31" t="str">
        <f>IFERROR(__xludf.DUMMYFUNCTION("""COMPUTED_VALUE"""),"Total Commission And Fee")</f>
        <v>Total Commission And Fee</v>
      </c>
      <c r="BW5" s="31" t="str">
        <f>IFERROR(__xludf.DUMMYFUNCTION("""COMPUTED_VALUE"""),"Total Commission Per Share")</f>
        <v>Total Commission Per Share</v>
      </c>
      <c r="BX5" s="31" t="str">
        <f>IFERROR(__xludf.DUMMYFUNCTION("""COMPUTED_VALUE"""),"Trade Attribute 1")</f>
        <v>Trade Attribute 1</v>
      </c>
      <c r="BY5" s="31" t="str">
        <f>IFERROR(__xludf.DUMMYFUNCTION("""COMPUTED_VALUE"""),"Trade Attribute 2")</f>
        <v>Trade Attribute 2</v>
      </c>
      <c r="BZ5" s="31" t="str">
        <f>IFERROR(__xludf.DUMMYFUNCTION("""COMPUTED_VALUE"""),"Trade Attribute 3")</f>
        <v>Trade Attribute 3</v>
      </c>
      <c r="CA5" s="31" t="str">
        <f>IFERROR(__xludf.DUMMYFUNCTION("""COMPUTED_VALUE"""),"Trade Attribute 4")</f>
        <v>Trade Attribute 4</v>
      </c>
      <c r="CB5" s="31" t="str">
        <f>IFERROR(__xludf.DUMMYFUNCTION("""COMPUTED_VALUE"""),"Trade Attribute 5")</f>
        <v>Trade Attribute 5</v>
      </c>
      <c r="CC5" s="31" t="str">
        <f>IFERROR(__xludf.DUMMYFUNCTION("""COMPUTED_VALUE"""),"Trade Attribute 6")</f>
        <v>Trade Attribute 6</v>
      </c>
      <c r="CD5" s="31" t="str">
        <f>IFERROR(__xludf.DUMMYFUNCTION("""COMPUTED_VALUE"""),"Trade Date")</f>
        <v>Trade Date</v>
      </c>
      <c r="CE5" s="31" t="str">
        <f>IFERROR(__xludf.DUMMYFUNCTION("""COMPUTED_VALUE"""),"Trading Account")</f>
        <v>Trading Account</v>
      </c>
      <c r="CF5" s="31" t="str">
        <f>IFERROR(__xludf.DUMMYFUNCTION("""COMPUTED_VALUE"""),"Transaction Levy")</f>
        <v>Transaction Levy</v>
      </c>
      <c r="CG5" s="31" t="str">
        <f>IFERROR(__xludf.DUMMYFUNCTION("""COMPUTED_VALUE"""),"Transaction Source")</f>
        <v>Transaction Source</v>
      </c>
      <c r="CH5" s="31" t="str">
        <f>IFERROR(__xludf.DUMMYFUNCTION("""COMPUTED_VALUE"""),"Transaction Type")</f>
        <v>Transaction Type</v>
      </c>
      <c r="CI5" s="31" t="str">
        <f>IFERROR(__xludf.DUMMYFUNCTION("""COMPUTED_VALUE"""),"UnAllocatedQty")</f>
        <v>UnAllocatedQty</v>
      </c>
      <c r="CJ5" s="31" t="str">
        <f>IFERROR(__xludf.DUMMYFUNCTION("""COMPUTED_VALUE"""),"Underlying")</f>
        <v>Underlying</v>
      </c>
      <c r="CK5" s="31" t="str">
        <f>IFERROR(__xludf.DUMMYFUNCTION("""COMPUTED_VALUE"""),"Underlying Delta")</f>
        <v>Underlying Delta</v>
      </c>
      <c r="CL5" s="31" t="str">
        <f>IFERROR(__xludf.DUMMYFUNCTION("""COMPUTED_VALUE"""),"Underlying Symbol")</f>
        <v>Underlying Symbol</v>
      </c>
      <c r="CM5" s="31" t="str">
        <f>IFERROR(__xludf.DUMMYFUNCTION("""COMPUTED_VALUE"""),"User")</f>
        <v>User</v>
      </c>
      <c r="CN5" s="31" t="str">
        <f>IFERROR(__xludf.DUMMYFUNCTION("""COMPUTED_VALUE"""),"Venue")</f>
        <v>Venue</v>
      </c>
      <c r="CO5" s="31" t="str">
        <f>IFERROR(__xludf.DUMMYFUNCTION("""COMPUTED_VALUE"""),"Closing Date")</f>
        <v>Closing Date</v>
      </c>
      <c r="CP5" s="31" t="str">
        <f>IFERROR(__xludf.DUMMYFUNCTION("""COMPUTED_VALUE"""),"Expiration Date")</f>
        <v>Expiration Date</v>
      </c>
      <c r="CQ5" s="31" t="str">
        <f>IFERROR(__xludf.DUMMYFUNCTION("""COMPUTED_VALUE"""),"Master Fund")</f>
        <v>Master Fund</v>
      </c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J6" s="9">
        <v>1.0</v>
      </c>
      <c r="K6" s="9">
        <v>1.0</v>
      </c>
      <c r="AE6" s="9">
        <v>600.0</v>
      </c>
      <c r="BJ6" s="9">
        <v>600.0</v>
      </c>
      <c r="BO6" s="9" t="s">
        <v>26</v>
      </c>
      <c r="BS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1">
        <v>1.0</v>
      </c>
      <c r="K7" s="11">
        <v>1.0</v>
      </c>
      <c r="L7" s="8"/>
      <c r="M7" s="8"/>
      <c r="N7" s="8"/>
      <c r="O7" s="8"/>
      <c r="AE7" s="9">
        <v>400.0</v>
      </c>
      <c r="BJ7" s="9">
        <v>400.0</v>
      </c>
      <c r="BO7" s="9" t="s">
        <v>26</v>
      </c>
      <c r="BS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42</v>
      </c>
      <c r="D3" s="5" t="s">
        <v>9</v>
      </c>
      <c r="E3" s="24" t="s">
        <v>51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IFERROR(__xludf.DUMMYFUNCTION("""COMPUTED_VALUE"""),"DisableChecksideForAsset")</f>
        <v>DisableChecksideForAsset</v>
      </c>
      <c r="CZ4" s="28" t="str">
        <f>IFERROR(__xludf.DUMMYFUNCTION("""COMPUTED_VALUE"""),"DisableChecksideForAccount")</f>
        <v>DisableChecksideForAccount</v>
      </c>
      <c r="DA4" s="28" t="str">
        <f>IFERROR(__xludf.DUMMYFUNCTION("""COMPUTED_VALUE"""),"DisableChecksideForCounterParty")</f>
        <v>DisableChecksideForCounterParty</v>
      </c>
      <c r="DB4" s="28" t="str">
        <f>IFERROR(__xludf.DUMMYFUNCTION("""COMPUTED_VALUE"""),"DisableCheckside")</f>
        <v>DisableCheckside</v>
      </c>
      <c r="DC4" s="28" t="str">
        <f>IFERROR(__xludf.DUMMYFUNCTION("""COMPUTED_VALUE"""),"ApplyMasterFundFilter")</f>
        <v>ApplyMasterFundFilter</v>
      </c>
      <c r="DD4" s="28" t="str">
        <f>IFERROR(__xludf.DUMMYFUNCTION("""COMPUTED_VALUE"""),"ShowMasterFundOnTT")</f>
        <v>ShowMasterFundOnTT</v>
      </c>
      <c r="DE4" s="28" t="str">
        <f>IFERROR(__xludf.DUMMYFUNCTION("""COMPUTED_VALUE"""),"ShowMasterFundAsClient")</f>
        <v>ShowMasterFundAsClient</v>
      </c>
      <c r="DF4" s="28" t="str">
        <f>IFERROR(__xludf.DUMMYFUNCTION("""COMPUTED_VALUE"""),"SetBrokerAccountMapping")</f>
        <v>SetBrokerAccountMapping</v>
      </c>
      <c r="DG4" s="28" t="str">
        <f>IFERROR(__xludf.DUMMYFUNCTION("""COMPUTED_VALUE"""),"EditUnallocatedGridWPF")</f>
        <v>EditUnallocatedGridWPF</v>
      </c>
      <c r="DH4" s="28" t="str">
        <f>IFERROR(__xludf.DUMMYFUNCTION("""COMPUTED_VALUE"""),"EditAllocatedGridWPF")</f>
        <v>EditAllocatedGridWPF</v>
      </c>
      <c r="DI4" s="28" t="str">
        <f>IFERROR(__xludf.DUMMYFUNCTION("""COMPUTED_VALUE"""),"EditAllocatedGridTaxlot")</f>
        <v>EditAllocatedGridTaxlot</v>
      </c>
      <c r="DJ4" s="28" t="str">
        <f>IFERROR(__xludf.DUMMYFUNCTION("""COMPUTED_VALUE"""),"ExpandCollapseAllocatedGrid")</f>
        <v>ExpandCollapseAllocatedGrid</v>
      </c>
      <c r="DK4" s="28" t="str">
        <f>IFERROR(__xludf.DUMMYFUNCTION("""COMPUTED_VALUE"""),"ExpandCollapseUnallocatedGrid")</f>
        <v>ExpandCollapseUnallocatedGrid</v>
      </c>
      <c r="DL4" s="28" t="str">
        <f>IFERROR(__xludf.DUMMYFUNCTION("""COMPUTED_VALUE"""),"SetTradeAttributePreferences")</f>
        <v>SetTradeAttributePreferences</v>
      </c>
      <c r="DM4" s="28" t="str">
        <f>IFERROR(__xludf.DUMMYFUNCTION("""COMPUTED_VALUE"""),"EnterCustomAllocatePreference")</f>
        <v>EnterCustomAllocatePreference</v>
      </c>
      <c r="DN4" s="28" t="str">
        <f>IFERROR(__xludf.DUMMYFUNCTION("""COMPUTED_VALUE"""),"SetAutoGroupingPreferences")</f>
        <v>SetAutoGroupingPreferences</v>
      </c>
      <c r="DO4" s="28" t="str">
        <f>IFERROR(__xludf.DUMMYFUNCTION("""COMPUTED_VALUE"""),"SetAutoGroupingAccount")</f>
        <v>SetAutoGroupingAccount</v>
      </c>
      <c r="DP4" s="28" t="str">
        <f>IFERROR(__xludf.DUMMYFUNCTION("""COMPUTED_VALUE"""),"SetAvgPriceRounding")</f>
        <v>SetAvgPriceRounding</v>
      </c>
      <c r="DQ4" s="28" t="str">
        <f>IFERROR(__xludf.DUMMYFUNCTION("""COMPUTED_VALUE"""),"IsAllocationOpen")</f>
        <v>IsAllocationOpen</v>
      </c>
      <c r="DR4" s="28" t="str">
        <f>IFERROR(__xludf.DUMMYFUNCTION("""COMPUTED_VALUE"""),"AllocationAuditTrail")</f>
        <v>AllocationAuditTrail</v>
      </c>
      <c r="DS4" s="28" t="str">
        <f>IFERROR(__xludf.DUMMYFUNCTION("""COMPUTED_VALUE"""),"GetAuditTrailData")</f>
        <v>GetAuditTrailData</v>
      </c>
      <c r="DT4" s="28" t="str">
        <f>IFERROR(__xludf.DUMMYFUNCTION("""COMPUTED_VALUE"""),"CheckAuditTrailData")</f>
        <v>CheckAuditTrailData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IFERROR(__xludf.DUMMYFUNCTION("""COMPUTED_VALUE"""),"FilterTabName")</f>
        <v>FilterTabName</v>
      </c>
      <c r="F5" s="34" t="str">
        <f>IFERROR(__xludf.DUMMYFUNCTION("""COMPUTED_VALUE"""),"Symbol")</f>
        <v>Symbol</v>
      </c>
      <c r="G5" s="30" t="str">
        <f>IFERROR(__xludf.DUMMYFUNCTION("""COMPUTED_VALUE"""),"Asset")</f>
        <v>Asset</v>
      </c>
      <c r="H5" s="30" t="str">
        <f>IFERROR(__xludf.DUMMYFUNCTION("""COMPUTED_VALUE"""),"Side")</f>
        <v>Side</v>
      </c>
      <c r="I5" s="30" t="str">
        <f>IFERROR(__xludf.DUMMYFUNCTION("""COMPUTED_VALUE"""),"Account")</f>
        <v>Account</v>
      </c>
      <c r="J5" s="30" t="str">
        <f>IFERROR(__xludf.DUMMYFUNCTION("""COMPUTED_VALUE"""),"Broker")</f>
        <v>Broker</v>
      </c>
      <c r="K5" s="30" t="str">
        <f>IFERROR(__xludf.DUMMYFUNCTION("""COMPUTED_VALUE"""),"Currency")</f>
        <v>Currency</v>
      </c>
      <c r="L5" s="30" t="str">
        <f>IFERROR(__xludf.DUMMYFUNCTION("""COMPUTED_VALUE"""),"Exchange")</f>
        <v>Exchange</v>
      </c>
      <c r="M5" s="30" t="str">
        <f>IFERROR(__xludf.DUMMYFUNCTION("""COMPUTED_VALUE"""),"StrategyName")</f>
        <v>StrategyName</v>
      </c>
      <c r="N5" s="30" t="str">
        <f>IFERROR(__xludf.DUMMYFUNCTION("""COMPUTED_VALUE"""),"Underlying")</f>
        <v>Underlying</v>
      </c>
      <c r="O5" s="30" t="str">
        <f>IFERROR(__xludf.DUMMYFUNCTION("""COMPUTED_VALUE"""),"Venue")</f>
        <v>Venue</v>
      </c>
      <c r="P5" s="30" t="str">
        <f>IFERROR(__xludf.DUMMYFUNCTION("""COMPUTED_VALUE"""),"TradingAccount")</f>
        <v>TradingAccount</v>
      </c>
      <c r="Q5" s="30" t="str">
        <f>IFERROR(__xludf.DUMMYFUNCTION("""COMPUTED_VALUE"""),"PreAllocated")</f>
        <v>PreAllocated</v>
      </c>
      <c r="R5" s="30" t="str">
        <f>IFERROR(__xludf.DUMMYFUNCTION("""COMPUTED_VALUE"""),"ManualGroup")</f>
        <v>ManualGroup</v>
      </c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52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54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IFERROR(__xludf.DUMMYFUNCTION("""COMPUTED_VALUE"""),"Account Filter")</f>
        <v>Account Filter</v>
      </c>
      <c r="F5" s="34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52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1" t="str">
        <f>IFERROR(__xludf.DUMMYFUNCTION("""COMPUTED_VALUE"""),"Total Fees and Commission")</f>
        <v>Total Fees and Commission</v>
      </c>
      <c r="U5" s="31" t="str">
        <f>IFERROR(__xludf.DUMMYFUNCTION("""COMPUTED_VALUE"""),"Trade Date")</f>
        <v>Trade Date</v>
      </c>
      <c r="V5" s="31" t="str">
        <f>IFERROR(__xludf.DUMMYFUNCTION("""COMPUTED_VALUE"""),"Transaction Type")</f>
        <v>Transaction Type</v>
      </c>
      <c r="W5" s="31" t="str">
        <f>IFERROR(__xludf.DUMMYFUNCTION("""COMPUTED_VALUE"""),"UnderlyingName")</f>
        <v>UnderlyingName</v>
      </c>
      <c r="X5" s="31" t="str">
        <f>IFERROR(__xludf.DUMMYFUNCTION("""COMPUTED_VALUE"""),"UnitCost")</f>
        <v>UnitCost</v>
      </c>
      <c r="Y5" s="31" t="str">
        <f>IFERROR(__xludf.DUMMYFUNCTION("""COMPUTED_VALUE"""),"Unit Cost(Base)")</f>
        <v>Unit Cost(Base)</v>
      </c>
      <c r="Z5" s="31" t="str">
        <f>IFERROR(__xludf.DUMMYFUNCTION("""COMPUTED_VALUE"""),"AvgPriceBase")</f>
        <v>AvgPriceBase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32</v>
      </c>
      <c r="C6" s="8"/>
      <c r="D6" s="11"/>
      <c r="E6" s="35"/>
      <c r="F6" s="8"/>
      <c r="G6" s="8"/>
      <c r="H6" s="8"/>
      <c r="I6" s="8"/>
      <c r="J6" s="8"/>
      <c r="K6" s="8"/>
      <c r="L6" s="8"/>
      <c r="M6" s="36">
        <v>58.0</v>
      </c>
      <c r="N6" s="8"/>
      <c r="O6" s="8"/>
      <c r="P6" s="9" t="s">
        <v>28</v>
      </c>
      <c r="R6" s="9" t="s">
        <v>27</v>
      </c>
    </row>
    <row r="7" ht="15.75" customHeight="1">
      <c r="A7" s="8"/>
      <c r="B7" s="11" t="s">
        <v>34</v>
      </c>
      <c r="C7" s="8"/>
      <c r="D7" s="8"/>
      <c r="E7" s="8"/>
      <c r="F7" s="8"/>
      <c r="G7" s="8"/>
      <c r="H7" s="8"/>
      <c r="I7" s="8"/>
      <c r="J7" s="8"/>
      <c r="K7" s="8"/>
      <c r="L7" s="8"/>
      <c r="M7" s="37">
        <v>12.0</v>
      </c>
      <c r="N7" s="8"/>
      <c r="O7" s="8"/>
      <c r="P7" s="9" t="s">
        <v>28</v>
      </c>
      <c r="R7" s="9" t="s">
        <v>27</v>
      </c>
    </row>
    <row r="8" ht="15.75" customHeight="1">
      <c r="A8" s="8"/>
      <c r="B8" s="11" t="s">
        <v>35</v>
      </c>
      <c r="C8" s="8"/>
      <c r="D8" s="8"/>
      <c r="E8" s="8"/>
      <c r="F8" s="8"/>
      <c r="G8" s="8"/>
      <c r="H8" s="8"/>
      <c r="I8" s="8"/>
      <c r="J8" s="8"/>
      <c r="K8" s="8"/>
      <c r="L8" s="8"/>
      <c r="M8" s="37">
        <v>30.0</v>
      </c>
      <c r="N8" s="8"/>
      <c r="O8" s="8"/>
      <c r="P8" s="9" t="s">
        <v>28</v>
      </c>
      <c r="R8" s="9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53</v>
      </c>
      <c r="D3" s="5" t="s">
        <v>9</v>
      </c>
      <c r="E3" s="24" t="s">
        <v>56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IFERROR(__xludf.DUMMYFUNCTION("""COMPUTED_VALUE"""),"AutoExercise")</f>
        <v>AutoExercise</v>
      </c>
      <c r="AE4" s="28" t="str">
        <f>IFERROR(__xludf.DUMMYFUNCTION("""COMPUTED_VALUE"""),"EditMultipleCloseQuantity")</f>
        <v>EditMultipleCloseQuantity</v>
      </c>
      <c r="AF4" s="28" t="str">
        <f>IFERROR(__xludf.DUMMYFUNCTION("""COMPUTED_VALUE"""),"ManualCloseOrder")</f>
        <v>ManualCloseOrder</v>
      </c>
      <c r="AG4" s="28" t="str">
        <f>IFERROR(__xludf.DUMMYFUNCTION("""COMPUTED_VALUE"""),"PreviewDataWithFilters")</f>
        <v>PreviewDataWithFilters</v>
      </c>
      <c r="AH4" s="28" t="str">
        <f>IFERROR(__xludf.DUMMYFUNCTION("""COMPUTED_VALUE"""),"CreateClosingTemplate")</f>
        <v>CreateClosingTemplate</v>
      </c>
      <c r="AI4" s="28" t="str">
        <f>IFERROR(__xludf.DUMMYFUNCTION("""COMPUTED_VALUE"""),"CreateUnwindingTemplate")</f>
        <v>CreateUnwindingTemplate</v>
      </c>
      <c r="AJ4" s="28" t="str">
        <f>IFERROR(__xludf.DUMMYFUNCTION("""COMPUTED_VALUE"""),"EditTemplate")</f>
        <v>EditTemplate</v>
      </c>
      <c r="AK4" s="28" t="str">
        <f>IFERROR(__xludf.DUMMYFUNCTION("""COMPUTED_VALUE"""),"DeleteTemplate")</f>
        <v>DeleteTemplate</v>
      </c>
      <c r="AL4" s="28" t="str">
        <f>IFERROR(__xludf.DUMMYFUNCTION("""COMPUTED_VALUE"""),"RunTemplate")</f>
        <v>RunTemplate</v>
      </c>
      <c r="AM4" s="28" t="str">
        <f>IFERROR(__xludf.DUMMYFUNCTION("""COMPUTED_VALUE"""),"CreateClosingTemplate")</f>
        <v>CreateClosingTemplate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1" t="str">
        <f>IFERROR(__xludf.DUMMYFUNCTION("""COMPUTED_VALUE"""),"Total Fees and Commission")</f>
        <v>Total Fees and Commission</v>
      </c>
      <c r="U5" s="31" t="str">
        <f>IFERROR(__xludf.DUMMYFUNCTION("""COMPUTED_VALUE"""),"Trade Date")</f>
        <v>Trade Date</v>
      </c>
      <c r="V5" s="31" t="str">
        <f>IFERROR(__xludf.DUMMYFUNCTION("""COMPUTED_VALUE"""),"Transaction Type")</f>
        <v>Transaction Type</v>
      </c>
      <c r="W5" s="31" t="str">
        <f>IFERROR(__xludf.DUMMYFUNCTION("""COMPUTED_VALUE"""),"UnderlyingName")</f>
        <v>UnderlyingName</v>
      </c>
      <c r="X5" s="31" t="str">
        <f>IFERROR(__xludf.DUMMYFUNCTION("""COMPUTED_VALUE"""),"UnitCost")</f>
        <v>UnitCost</v>
      </c>
      <c r="Y5" s="31" t="str">
        <f>IFERROR(__xludf.DUMMYFUNCTION("""COMPUTED_VALUE"""),"Unit Cost(Base)")</f>
        <v>Unit Cost(Base)</v>
      </c>
      <c r="Z5" s="31" t="str">
        <f>IFERROR(__xludf.DUMMYFUNCTION("""COMPUTED_VALUE"""),"AvgPriceBase")</f>
        <v>AvgPriceBase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32</v>
      </c>
      <c r="C6" s="8"/>
      <c r="D6" s="11"/>
      <c r="E6" s="35"/>
      <c r="F6" s="8"/>
      <c r="G6" s="8"/>
      <c r="H6" s="8"/>
      <c r="I6" s="8"/>
      <c r="J6" s="8"/>
      <c r="K6" s="8"/>
      <c r="L6" s="8"/>
      <c r="M6" s="11">
        <v>59.0</v>
      </c>
      <c r="N6" s="8"/>
      <c r="O6" s="8"/>
      <c r="P6" s="9" t="s">
        <v>17</v>
      </c>
      <c r="R6" s="9" t="s">
        <v>16</v>
      </c>
    </row>
    <row r="7" ht="15.75" customHeight="1">
      <c r="A7" s="8"/>
      <c r="B7" s="11" t="s">
        <v>34</v>
      </c>
      <c r="C7" s="8"/>
      <c r="D7" s="8"/>
      <c r="E7" s="8"/>
      <c r="F7" s="8"/>
      <c r="G7" s="8"/>
      <c r="H7" s="8"/>
      <c r="I7" s="8"/>
      <c r="J7" s="8"/>
      <c r="K7" s="8"/>
      <c r="L7" s="8"/>
      <c r="M7" s="11">
        <v>12.0</v>
      </c>
      <c r="N7" s="8"/>
      <c r="O7" s="8"/>
      <c r="P7" s="9" t="s">
        <v>17</v>
      </c>
      <c r="R7" s="9" t="s">
        <v>16</v>
      </c>
    </row>
    <row r="8" ht="15.75" customHeight="1">
      <c r="A8" s="8"/>
      <c r="B8" s="11" t="s">
        <v>35</v>
      </c>
      <c r="C8" s="8"/>
      <c r="D8" s="8"/>
      <c r="E8" s="8"/>
      <c r="F8" s="8"/>
      <c r="G8" s="8"/>
      <c r="H8" s="8"/>
      <c r="I8" s="8"/>
      <c r="J8" s="8"/>
      <c r="K8" s="8"/>
      <c r="L8" s="8"/>
      <c r="M8" s="11">
        <v>29.0</v>
      </c>
      <c r="N8" s="8"/>
      <c r="O8" s="8"/>
      <c r="P8" s="9" t="s">
        <v>17</v>
      </c>
      <c r="R8" s="9" t="s">
        <v>16</v>
      </c>
    </row>
    <row r="9" ht="15.75" customHeight="1">
      <c r="A9" s="8"/>
      <c r="B9" s="11" t="s">
        <v>32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9" t="s">
        <v>17</v>
      </c>
      <c r="R9" s="9" t="s">
        <v>38</v>
      </c>
    </row>
    <row r="10" ht="15.75" customHeight="1">
      <c r="A10" s="8"/>
      <c r="B10" s="11" t="s">
        <v>34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9" t="s">
        <v>17</v>
      </c>
      <c r="R10" s="9" t="s">
        <v>38</v>
      </c>
    </row>
    <row r="11" ht="15.75" customHeight="1">
      <c r="A11" s="8"/>
      <c r="B11" s="11" t="s">
        <v>35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" t="s">
        <v>17</v>
      </c>
      <c r="R11" s="9" t="s">
        <v>38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57</v>
      </c>
      <c r="D3" s="5" t="s">
        <v>9</v>
      </c>
      <c r="E3" s="24" t="s">
        <v>58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IFERROR(__xludf.DUMMYFUNCTION("""COMPUTED_VALUE"""),"VerifyAccountBalances")</f>
        <v>VerifyAccountBalances</v>
      </c>
      <c r="BD4" s="28" t="str">
        <f>IFERROR(__xludf.DUMMYFUNCTION("""COMPUTED_VALUE"""),"AddMultipleOpeningBalTranItem")</f>
        <v>AddMultipleOpeningBalTranItem</v>
      </c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IFERROR(__xludf.DUMMYFUNCTION("""COMPUTED_VALUE"""),"From")</f>
        <v>From</v>
      </c>
      <c r="E5" s="30" t="str">
        <f>IFERROR(__xludf.DUMMYFUNCTION("""COMPUTED_VALUE"""),"To")</f>
        <v>To</v>
      </c>
      <c r="F5" s="34" t="str">
        <f>IFERROR(__xludf.DUMMYFUNCTION("""COMPUTED_VALUE"""),"SettlementDate")</f>
        <v>SettlementDate</v>
      </c>
      <c r="G5" s="30" t="str">
        <f>IFERROR(__xludf.DUMMYFUNCTION("""COMPUTED_VALUE"""),"TradeDate")</f>
        <v>TradeDate</v>
      </c>
      <c r="H5" s="30" t="str">
        <f>IFERROR(__xludf.DUMMYFUNCTION("""COMPUTED_VALUE"""),"All")</f>
        <v>All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59</v>
      </c>
      <c r="C6" s="11" t="s">
        <v>60</v>
      </c>
      <c r="D6" s="38">
        <f t="shared" ref="D6:E6" si="1">TODAY()</f>
        <v>44481</v>
      </c>
      <c r="E6" s="38">
        <f t="shared" si="1"/>
        <v>44481</v>
      </c>
      <c r="F6" s="11" t="s">
        <v>40</v>
      </c>
      <c r="G6" s="11" t="s">
        <v>61</v>
      </c>
      <c r="H6" s="11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57</v>
      </c>
      <c r="D3" s="5" t="s">
        <v>9</v>
      </c>
      <c r="E3" s="24" t="s">
        <v>62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IFERROR(__xludf.DUMMYFUNCTION("""COMPUTED_VALUE"""),"VerifyAccountBalances")</f>
        <v>VerifyAccountBalances</v>
      </c>
      <c r="BD4" s="28" t="str">
        <f>IFERROR(__xludf.DUMMYFUNCTION("""COMPUTED_VALUE"""),"AddMultipleOpeningBalTranItem")</f>
        <v>AddMultipleOpeningBalTranItem</v>
      </c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IFERROR(__xludf.DUMMYFUNCTION("""COMPUTED_VALUE"""),"Activity Source")</f>
        <v>Activity Source</v>
      </c>
      <c r="D5" s="30" t="str">
        <f>IFERROR(__xludf.DUMMYFUNCTION("""COMPUTED_VALUE"""),"ActivityType")</f>
        <v>ActivityType</v>
      </c>
      <c r="E5" s="30" t="str">
        <f>IFERROR(__xludf.DUMMYFUNCTION("""COMPUTED_VALUE"""),"Net Amount(Local)")</f>
        <v>Net Amount(Local)</v>
      </c>
      <c r="F5" s="34" t="str">
        <f>IFERROR(__xludf.DUMMYFUNCTION("""COMPUTED_VALUE"""),"AUEC Fee1")</f>
        <v>AUEC Fee1</v>
      </c>
      <c r="G5" s="30" t="str">
        <f>IFERROR(__xludf.DUMMYFUNCTION("""COMPUTED_VALUE"""),"AUEC Fee2")</f>
        <v>AUEC Fee2</v>
      </c>
      <c r="H5" s="30" t="str">
        <f>IFERROR(__xludf.DUMMYFUNCTION("""COMPUTED_VALUE"""),"Balance Type")</f>
        <v>Balance Type</v>
      </c>
      <c r="I5" s="30" t="str">
        <f>IFERROR(__xludf.DUMMYFUNCTION("""COMPUTED_VALUE"""),"Clearing Broker Fees")</f>
        <v>Clearing Broker Fees</v>
      </c>
      <c r="J5" s="30" t="str">
        <f>IFERROR(__xludf.DUMMYFUNCTION("""COMPUTED_VALUE"""),"Commission")</f>
        <v>Commission</v>
      </c>
      <c r="K5" s="30" t="str">
        <f>IFERROR(__xludf.DUMMYFUNCTION("""COMPUTED_VALUE"""),"Currency")</f>
        <v>Currency</v>
      </c>
      <c r="L5" s="30" t="str">
        <f>IFERROR(__xludf.DUMMYFUNCTION("""COMPUTED_VALUE"""),"Description")</f>
        <v>Description</v>
      </c>
      <c r="M5" s="30" t="str">
        <f>IFERROR(__xludf.DUMMYFUNCTION("""COMPUTED_VALUE"""),"Entry Date")</f>
        <v>Entry Date</v>
      </c>
      <c r="N5" s="30" t="str">
        <f>IFERROR(__xludf.DUMMYFUNCTION("""COMPUTED_VALUE"""),"FX Conversion Method Operator")</f>
        <v>FX Conversion Method Operator</v>
      </c>
      <c r="O5" s="30" t="str">
        <f>IFERROR(__xludf.DUMMYFUNCTION("""COMPUTED_VALUE"""),"Fx Rate")</f>
        <v>Fx Rate</v>
      </c>
      <c r="P5" s="30" t="str">
        <f>IFERROR(__xludf.DUMMYFUNCTION("""COMPUTED_VALUE"""),"Lead Currency")</f>
        <v>Lead Currency</v>
      </c>
      <c r="Q5" s="30" t="str">
        <f>IFERROR(__xludf.DUMMYFUNCTION("""COMPUTED_VALUE"""),"Modify date")</f>
        <v>Modify date</v>
      </c>
      <c r="R5" s="30" t="str">
        <f>IFERROR(__xludf.DUMMYFUNCTION("""COMPUTED_VALUE"""),"OCC Fee")</f>
        <v>OCC Fee</v>
      </c>
      <c r="S5" s="30" t="str">
        <f>IFERROR(__xludf.DUMMYFUNCTION("""COMPUTED_VALUE"""),"OptionPremiumAdjustment")</f>
        <v>OptionPremiumAdjustment</v>
      </c>
      <c r="T5" s="31" t="str">
        <f>IFERROR(__xludf.DUMMYFUNCTION("""COMPUTED_VALUE"""),"ORF Fee")</f>
        <v>ORF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IFERROR(__xludf.DUMMYFUNCTION("""COMPUTED_VALUE"""),"Quantity")</f>
        <v>Quantity</v>
      </c>
      <c r="W5" s="31" t="str">
        <f>IFERROR(__xludf.DUMMYFUNCTION("""COMPUTED_VALUE"""),"SEC Fee")</f>
        <v>SEC Fee</v>
      </c>
      <c r="X5" s="31" t="str">
        <f>IFERROR(__xludf.DUMMYFUNCTION("""COMPUTED_VALUE"""),"Settlement Currency")</f>
        <v>Settlement Currency</v>
      </c>
      <c r="Y5" s="31" t="str">
        <f>IFERROR(__xludf.DUMMYFUNCTION("""COMPUTED_VALUE"""),"Settlement Date")</f>
        <v>Settlement Date</v>
      </c>
      <c r="Z5" s="31" t="str">
        <f>IFERROR(__xludf.DUMMYFUNCTION("""COMPUTED_VALUE"""),"Soft Commission")</f>
        <v>Soft Commission</v>
      </c>
      <c r="AA5" s="31" t="str">
        <f>IFERROR(__xludf.DUMMYFUNCTION("""COMPUTED_VALUE"""),"Stamp Duty")</f>
        <v>Stamp Duty</v>
      </c>
      <c r="AB5" s="31" t="str">
        <f>IFERROR(__xludf.DUMMYFUNCTION("""COMPUTED_VALUE"""),"Symbol")</f>
        <v>Symbol</v>
      </c>
      <c r="AC5" s="31" t="str">
        <f>IFERROR(__xludf.DUMMYFUNCTION("""COMPUTED_VALUE"""),"Tax On Commissions")</f>
        <v>Tax On Commissions</v>
      </c>
      <c r="AD5" s="31" t="str">
        <f>IFERROR(__xludf.DUMMYFUNCTION("""COMPUTED_VALUE"""),"Total Commissions")</f>
        <v>Total Commissions</v>
      </c>
      <c r="AE5" s="31" t="str">
        <f>IFERROR(__xludf.DUMMYFUNCTION("""COMPUTED_VALUE"""),"Trade Date")</f>
        <v>Trade Date</v>
      </c>
      <c r="AF5" s="31" t="str">
        <f>IFERROR(__xludf.DUMMYFUNCTION("""COMPUTED_VALUE"""),"Transaction Levy")</f>
        <v>Transaction Levy</v>
      </c>
      <c r="AG5" s="31" t="str">
        <f>IFERROR(__xludf.DUMMYFUNCTION("""COMPUTED_VALUE"""),"Transaction Source")</f>
        <v>Transaction Source</v>
      </c>
      <c r="AH5" s="31" t="str">
        <f>IFERROR(__xludf.DUMMYFUNCTION("""COMPUTED_VALUE"""),"User")</f>
        <v>User</v>
      </c>
      <c r="AI5" s="31" t="str">
        <f>IFERROR(__xludf.DUMMYFUNCTION("""COMPUTED_VALUE"""),"Vs Currency")</f>
        <v>Vs Currency</v>
      </c>
      <c r="AJ5" s="31" t="str">
        <f>IFERROR(__xludf.DUMMYFUNCTION("""COMPUTED_VALUE"""),"SettlCurrencyID")</f>
        <v>SettlCurrencyID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32</v>
      </c>
      <c r="C6" s="8"/>
      <c r="D6" s="11" t="s">
        <v>63</v>
      </c>
      <c r="E6" s="35"/>
      <c r="F6" s="8"/>
      <c r="G6" s="8"/>
      <c r="H6" s="8"/>
      <c r="I6" s="8"/>
      <c r="J6" s="8"/>
      <c r="K6" s="11" t="s">
        <v>33</v>
      </c>
      <c r="L6" s="8"/>
      <c r="M6" s="8"/>
      <c r="N6" s="8"/>
      <c r="O6" s="8"/>
      <c r="V6" s="9">
        <v>59.0</v>
      </c>
      <c r="AB6" s="9" t="s">
        <v>16</v>
      </c>
    </row>
    <row r="7" ht="15.75" customHeight="1">
      <c r="A7" s="8"/>
      <c r="B7" s="11" t="s">
        <v>34</v>
      </c>
      <c r="C7" s="8"/>
      <c r="D7" s="11" t="s">
        <v>63</v>
      </c>
      <c r="E7" s="8"/>
      <c r="F7" s="8"/>
      <c r="G7" s="8"/>
      <c r="H7" s="8"/>
      <c r="I7" s="8"/>
      <c r="J7" s="8"/>
      <c r="K7" s="11" t="s">
        <v>33</v>
      </c>
      <c r="L7" s="8"/>
      <c r="M7" s="8"/>
      <c r="N7" s="8"/>
      <c r="O7" s="8"/>
      <c r="V7" s="9">
        <v>12.0</v>
      </c>
      <c r="AB7" s="9" t="s">
        <v>16</v>
      </c>
    </row>
    <row r="8" ht="15.75" customHeight="1">
      <c r="A8" s="8"/>
      <c r="B8" s="11" t="s">
        <v>35</v>
      </c>
      <c r="C8" s="8"/>
      <c r="D8" s="11" t="s">
        <v>63</v>
      </c>
      <c r="E8" s="8"/>
      <c r="F8" s="8"/>
      <c r="G8" s="8"/>
      <c r="H8" s="8"/>
      <c r="I8" s="8"/>
      <c r="J8" s="8"/>
      <c r="K8" s="11" t="s">
        <v>33</v>
      </c>
      <c r="L8" s="8"/>
      <c r="M8" s="8"/>
      <c r="N8" s="8"/>
      <c r="O8" s="8"/>
      <c r="V8" s="9">
        <v>29.0</v>
      </c>
      <c r="AB8" s="9" t="s">
        <v>16</v>
      </c>
    </row>
    <row r="9" ht="15.75" customHeight="1">
      <c r="A9" s="8"/>
      <c r="B9" s="11" t="s">
        <v>32</v>
      </c>
      <c r="C9" s="8"/>
      <c r="D9" s="11" t="s">
        <v>63</v>
      </c>
      <c r="E9" s="8"/>
      <c r="F9" s="8"/>
      <c r="G9" s="8"/>
      <c r="H9" s="8"/>
      <c r="I9" s="8"/>
      <c r="J9" s="8"/>
      <c r="K9" s="11" t="s">
        <v>33</v>
      </c>
      <c r="L9" s="8"/>
      <c r="M9" s="8"/>
      <c r="N9" s="8"/>
      <c r="O9" s="8"/>
      <c r="AB9" s="9" t="s">
        <v>38</v>
      </c>
    </row>
    <row r="10" ht="15.75" customHeight="1">
      <c r="A10" s="8"/>
      <c r="B10" s="11" t="s">
        <v>34</v>
      </c>
      <c r="C10" s="8"/>
      <c r="D10" s="11" t="s">
        <v>63</v>
      </c>
      <c r="E10" s="8"/>
      <c r="F10" s="8"/>
      <c r="G10" s="8"/>
      <c r="H10" s="8"/>
      <c r="I10" s="8"/>
      <c r="J10" s="8"/>
      <c r="K10" s="11" t="s">
        <v>33</v>
      </c>
      <c r="L10" s="8"/>
      <c r="M10" s="8"/>
      <c r="N10" s="8"/>
      <c r="O10" s="8"/>
      <c r="AB10" s="9" t="s">
        <v>38</v>
      </c>
    </row>
    <row r="11" ht="15.75" customHeight="1">
      <c r="A11" s="8"/>
      <c r="B11" s="11" t="s">
        <v>35</v>
      </c>
      <c r="C11" s="8"/>
      <c r="D11" s="11" t="s">
        <v>63</v>
      </c>
      <c r="E11" s="8"/>
      <c r="F11" s="8"/>
      <c r="G11" s="8"/>
      <c r="H11" s="8"/>
      <c r="I11" s="8"/>
      <c r="J11" s="8"/>
      <c r="K11" s="11" t="s">
        <v>33</v>
      </c>
      <c r="L11" s="8"/>
      <c r="M11" s="8"/>
      <c r="N11" s="8"/>
      <c r="O11" s="8"/>
      <c r="AB11" s="9" t="s">
        <v>38</v>
      </c>
    </row>
    <row r="12" ht="15.75" customHeight="1">
      <c r="A12" s="8"/>
      <c r="B12" s="11" t="s">
        <v>32</v>
      </c>
      <c r="C12" s="8"/>
      <c r="D12" s="11" t="s">
        <v>64</v>
      </c>
      <c r="E12" s="8"/>
      <c r="F12" s="8"/>
      <c r="G12" s="8"/>
      <c r="H12" s="8"/>
      <c r="I12" s="8"/>
      <c r="J12" s="8"/>
      <c r="K12" s="11" t="s">
        <v>33</v>
      </c>
      <c r="L12" s="8"/>
      <c r="M12" s="8"/>
      <c r="N12" s="8"/>
      <c r="O12" s="8"/>
      <c r="V12" s="9">
        <v>59.0</v>
      </c>
      <c r="AB12" s="9" t="s">
        <v>27</v>
      </c>
    </row>
    <row r="13" ht="15.75" customHeight="1">
      <c r="A13" s="8"/>
      <c r="B13" s="11" t="s">
        <v>34</v>
      </c>
      <c r="C13" s="8"/>
      <c r="D13" s="11" t="s">
        <v>64</v>
      </c>
      <c r="E13" s="8"/>
      <c r="F13" s="8"/>
      <c r="G13" s="8"/>
      <c r="H13" s="8"/>
      <c r="I13" s="8"/>
      <c r="J13" s="8"/>
      <c r="K13" s="11" t="s">
        <v>33</v>
      </c>
      <c r="L13" s="8"/>
      <c r="M13" s="8"/>
      <c r="N13" s="8"/>
      <c r="O13" s="8"/>
      <c r="V13" s="9">
        <v>12.0</v>
      </c>
      <c r="AB13" s="9" t="s">
        <v>27</v>
      </c>
    </row>
    <row r="14" ht="15.75" customHeight="1">
      <c r="A14" s="8"/>
      <c r="B14" s="11" t="s">
        <v>35</v>
      </c>
      <c r="C14" s="8"/>
      <c r="D14" s="11" t="s">
        <v>64</v>
      </c>
      <c r="E14" s="8"/>
      <c r="F14" s="8"/>
      <c r="G14" s="8"/>
      <c r="H14" s="8"/>
      <c r="I14" s="8"/>
      <c r="J14" s="8"/>
      <c r="K14" s="11" t="s">
        <v>33</v>
      </c>
      <c r="L14" s="8"/>
      <c r="M14" s="8"/>
      <c r="N14" s="8"/>
      <c r="O14" s="8"/>
      <c r="V14" s="9">
        <v>29.0</v>
      </c>
      <c r="AB14" s="9" t="s">
        <v>27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65</v>
      </c>
      <c r="D3" s="5" t="s">
        <v>9</v>
      </c>
      <c r="E3" s="24" t="s">
        <v>66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tr">
        <f>IFERROR(__xludf.DUMMYFUNCTION("""COMPUTED_VALUE"""),"CheckPortfolioManagement")</f>
        <v>CheckPortfolioManagement</v>
      </c>
      <c r="D4" s="27" t="str">
        <f>IFERROR(__xludf.DUMMYFUNCTION("""COMPUTED_VALUE"""),"OpenPSTFromPM")</f>
        <v>OpenPSTFromPM</v>
      </c>
      <c r="E4" s="27" t="str">
        <f>IFERROR(__xludf.DUMMYFUNCTION("""COMPUTED_VALUE"""),"ClosePM")</f>
        <v>ClosePM</v>
      </c>
      <c r="F4" s="27" t="str">
        <f>IFERROR(__xludf.DUMMYFUNCTION("""COMPUTED_VALUE"""),"FilterPM")</f>
        <v>FilterPM</v>
      </c>
      <c r="G4" s="27" t="str">
        <f>IFERROR(__xludf.DUMMYFUNCTION("""COMPUTED_VALUE"""),"GroupRowPM")</f>
        <v>GroupRowPM</v>
      </c>
      <c r="H4" s="27" t="str">
        <f>IFERROR(__xludf.DUMMYFUNCTION("""COMPUTED_VALUE"""),"CheckDashboardWithPM")</f>
        <v>CheckDashboardWithPM</v>
      </c>
      <c r="I4" s="27" t="str">
        <f>IFERROR(__xludf.DUMMYFUNCTION("""COMPUTED_VALUE"""),"RemoveFilterPM")</f>
        <v>RemoveFilterPM</v>
      </c>
      <c r="J4" s="27" t="str">
        <f>IFERROR(__xludf.DUMMYFUNCTION("""COMPUTED_VALUE"""),"CheckSummaryRowsPM")</f>
        <v>CheckSummaryRowsPM</v>
      </c>
      <c r="K4" s="27" t="str">
        <f>IFERROR(__xludf.DUMMYFUNCTION("""COMPUTED_VALUE"""),"OpenPTTFromPM")</f>
        <v>OpenPTTFromPM</v>
      </c>
      <c r="L4" s="27" t="str">
        <f>IFERROR(__xludf.DUMMYFUNCTION("""COMPUTED_VALUE"""),"OpenClosingFromPM")</f>
        <v>OpenClosingFromPM</v>
      </c>
      <c r="M4" s="27" t="str">
        <f>IFERROR(__xludf.DUMMYFUNCTION("""COMPUTED_VALUE"""),"OpenCorporateActionFromPM")</f>
        <v>OpenCorporateActionFromPM</v>
      </c>
      <c r="N4" s="27" t="str">
        <f>IFERROR(__xludf.DUMMYFUNCTION("""COMPUTED_VALUE"""),"OpenDailyValuationFromPM")</f>
        <v>OpenDailyValuationFromPM</v>
      </c>
      <c r="O4" s="27" t="str">
        <f>IFERROR(__xludf.DUMMYFUNCTION("""COMPUTED_VALUE"""),"ClosePositionFromPM")</f>
        <v>ClosePositionFromPM</v>
      </c>
      <c r="P4" s="28" t="str">
        <f>IFERROR(__xludf.DUMMYFUNCTION("""COMPUTED_VALUE"""),"ShowSummaryToolFromPM")</f>
        <v>ShowSummaryToolFromPM</v>
      </c>
      <c r="Q4" s="28" t="str">
        <f>IFERROR(__xludf.DUMMYFUNCTION("""COMPUTED_VALUE"""),"HideSummaryToolFromPM")</f>
        <v>HideSummaryToolFromPM</v>
      </c>
      <c r="R4" s="28" t="str">
        <f>IFERROR(__xludf.DUMMYFUNCTION("""COMPUTED_VALUE"""),"CloseAccountPositionFromPM")</f>
        <v>CloseAccountPositionFromPM</v>
      </c>
      <c r="S4" s="28" t="str">
        <f>IFERROR(__xludf.DUMMYFUNCTION("""COMPUTED_VALUE"""),"CloseSelectedTaxlotsFromPM")</f>
        <v>CloseSelectedTaxlotsFromPM</v>
      </c>
      <c r="T4" s="28" t="str">
        <f>IFERROR(__xludf.DUMMYFUNCTION("""COMPUTED_VALUE"""),"ExpandCollapsePM")</f>
        <v>ExpandCollapsePM</v>
      </c>
      <c r="U4" s="28" t="str">
        <f>IFERROR(__xludf.DUMMYFUNCTION("""COMPUTED_VALUE"""),"AddCustomViewPM")</f>
        <v>AddCustomViewPM</v>
      </c>
      <c r="V4" s="28" t="str">
        <f>IFERROR(__xludf.DUMMYFUNCTION("""COMPUTED_VALUE"""),"AddCustomViewRightClickPM")</f>
        <v>AddCustomViewRightClickPM</v>
      </c>
      <c r="W4" s="28" t="str">
        <f>IFERROR(__xludf.DUMMYFUNCTION("""COMPUTED_VALUE"""),"RenameCustomViewPM")</f>
        <v>RenameCustomViewPM</v>
      </c>
      <c r="X4" s="28" t="str">
        <f>IFERROR(__xludf.DUMMYFUNCTION("""COMPUTED_VALUE"""),"DeleteCustomViewPM")</f>
        <v>DeleteCustomViewPM</v>
      </c>
      <c r="Y4" s="28" t="str">
        <f>IFERROR(__xludf.DUMMYFUNCTION("""COMPUTED_VALUE"""),"OpenCreateTransactionFromPM")</f>
        <v>OpenCreateTransactionFromPM</v>
      </c>
      <c r="Z4" s="28" t="str">
        <f>IFERROR(__xludf.DUMMYFUNCTION("""COMPUTED_VALUE"""),"RemoveGroupingFromPM")</f>
        <v>RemoveGroupingFromPM</v>
      </c>
      <c r="AA4" s="28" t="str">
        <f>IFERROR(__xludf.DUMMYFUNCTION("""COMPUTED_VALUE"""),"IncreasePositionFromPM")</f>
        <v>IncreasePositionFromPM</v>
      </c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IFERROR(__xludf.DUMMYFUNCTION("""COMPUTED_VALUE"""),"Trade Date")</f>
        <v>Trade Date</v>
      </c>
      <c r="C5" s="30" t="str">
        <f>IFERROR(__xludf.DUMMYFUNCTION("""COMPUTED_VALUE"""),"Symbol")</f>
        <v>Symbol</v>
      </c>
      <c r="D5" s="30" t="str">
        <f>IFERROR(__xludf.DUMMYFUNCTION("""COMPUTED_VALUE"""),"Position")</f>
        <v>Position</v>
      </c>
      <c r="E5" s="30" t="str">
        <f>IFERROR(__xludf.DUMMYFUNCTION("""COMPUTED_VALUE"""),"Account")</f>
        <v>Account</v>
      </c>
      <c r="F5" s="34" t="str">
        <f>IFERROR(__xludf.DUMMYFUNCTION("""COMPUTED_VALUE"""),"MasterFund")</f>
        <v>MasterFund</v>
      </c>
      <c r="G5" s="30" t="str">
        <f>IFERROR(__xludf.DUMMYFUNCTION("""COMPUTED_VALUE"""),"Cost Basis")</f>
        <v>Cost Basis</v>
      </c>
      <c r="H5" s="30" t="str">
        <f>IFERROR(__xludf.DUMMYFUNCTION("""COMPUTED_VALUE"""),"Position Side")</f>
        <v>Position Side</v>
      </c>
      <c r="I5" s="30" t="str">
        <f>IFERROR(__xludf.DUMMYFUNCTION("""COMPUTED_VALUE"""),"Market Value (Base)")</f>
        <v>Market Value (Base)</v>
      </c>
      <c r="J5" s="30" t="str">
        <f>IFERROR(__xludf.DUMMYFUNCTION("""COMPUTED_VALUE"""),"% Day P&amp;L (Gross MV)")</f>
        <v>% Day P&amp;L (Gross MV)</v>
      </c>
      <c r="K5" s="30" t="str">
        <f>IFERROR(__xludf.DUMMYFUNCTION("""COMPUTED_VALUE"""),"Net Exposure (Base)")</f>
        <v>Net Exposure (Base)</v>
      </c>
      <c r="L5" s="30" t="str">
        <f>IFERROR(__xludf.DUMMYFUNCTION("""COMPUTED_VALUE"""),"Beta Adj. Gross Exposure (Base)")</f>
        <v>Beta Adj. Gross Exposure (Base)</v>
      </c>
      <c r="M5" s="30" t="str">
        <f>IFERROR(__xludf.DUMMYFUNCTION("""COMPUTED_VALUE"""),"Beta Adj. Gross Exposure (Underlying) (Base)")</f>
        <v>Beta Adj. Gross Exposure (Underlying) (Base)</v>
      </c>
      <c r="N5" s="30" t="str">
        <f>IFERROR(__xludf.DUMMYFUNCTION("""COMPUTED_VALUE"""),"Day P&amp;L (Base)")</f>
        <v>Day P&amp;L (Base)</v>
      </c>
      <c r="O5" s="30" t="str">
        <f>IFERROR(__xludf.DUMMYFUNCTION("""COMPUTED_VALUE"""),"Security Name")</f>
        <v>Security Name</v>
      </c>
      <c r="P5" s="30" t="str">
        <f>IFERROR(__xludf.DUMMYFUNCTION("""COMPUTED_VALUE"""),"Closing Mark")</f>
        <v>Closing Mark</v>
      </c>
      <c r="Q5" s="30" t="str">
        <f>IFERROR(__xludf.DUMMYFUNCTION("""COMPUTED_VALUE"""),"Cost Basis P&amp;L (Base)")</f>
        <v>Cost Basis P&amp;L (Base)</v>
      </c>
      <c r="R5" s="30" t="str">
        <f>IFERROR(__xludf.DUMMYFUNCTION("""COMPUTED_VALUE"""),"Prime Broker")</f>
        <v>Prime Broker</v>
      </c>
      <c r="S5" s="30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ITM/OTM")</f>
        <v>% of ITM/OTM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/>
      <c r="FI5" s="31"/>
      <c r="FJ5" s="31"/>
      <c r="FK5" s="31"/>
      <c r="FL5" s="31"/>
      <c r="FM5" s="31"/>
    </row>
    <row r="6" ht="15.75" customHeight="1">
      <c r="A6" s="11"/>
      <c r="B6" s="11"/>
      <c r="C6" s="11" t="s">
        <v>16</v>
      </c>
      <c r="D6" s="36">
        <v>58.0</v>
      </c>
      <c r="E6" s="11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17</v>
      </c>
    </row>
    <row r="7" ht="15.75" customHeight="1">
      <c r="A7" s="8"/>
      <c r="B7" s="8"/>
      <c r="C7" s="11" t="s">
        <v>16</v>
      </c>
      <c r="D7" s="37">
        <v>12.0</v>
      </c>
      <c r="E7" s="11" t="s">
        <v>34</v>
      </c>
      <c r="F7" s="8"/>
      <c r="G7" s="8"/>
      <c r="H7" s="8"/>
      <c r="I7" s="8"/>
      <c r="J7" s="8"/>
      <c r="K7" s="8"/>
      <c r="L7" s="8"/>
      <c r="M7" s="8"/>
      <c r="N7" s="8"/>
      <c r="O7" s="8"/>
      <c r="AN7" s="9" t="s">
        <v>17</v>
      </c>
    </row>
    <row r="8" ht="15.75" customHeight="1">
      <c r="A8" s="8"/>
      <c r="B8" s="8"/>
      <c r="C8" s="11" t="s">
        <v>16</v>
      </c>
      <c r="D8" s="37">
        <v>30.0</v>
      </c>
      <c r="E8" s="11" t="s">
        <v>35</v>
      </c>
      <c r="F8" s="8"/>
      <c r="G8" s="8"/>
      <c r="H8" s="8"/>
      <c r="I8" s="8"/>
      <c r="J8" s="8"/>
      <c r="K8" s="8"/>
      <c r="L8" s="8"/>
      <c r="M8" s="8"/>
      <c r="N8" s="8"/>
      <c r="O8" s="8"/>
      <c r="AN8" s="9" t="s">
        <v>17</v>
      </c>
    </row>
    <row r="9" ht="15.75" customHeight="1">
      <c r="A9" s="8"/>
      <c r="B9" s="8"/>
      <c r="C9" s="11" t="s">
        <v>38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N9" s="9" t="s">
        <v>17</v>
      </c>
    </row>
    <row r="10" ht="15.75" customHeight="1">
      <c r="A10" s="8"/>
      <c r="B10" s="8"/>
      <c r="C10" s="11" t="s">
        <v>38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N10" s="9" t="s">
        <v>17</v>
      </c>
    </row>
    <row r="11" ht="15.75" customHeight="1">
      <c r="A11" s="8"/>
      <c r="B11" s="8"/>
      <c r="C11" s="11" t="s">
        <v>38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N11" s="9" t="s">
        <v>17</v>
      </c>
    </row>
    <row r="12" ht="15.75" customHeight="1">
      <c r="A12" s="8"/>
      <c r="B12" s="8"/>
      <c r="C12" s="11" t="s">
        <v>27</v>
      </c>
      <c r="D12" s="39">
        <v>-58.0</v>
      </c>
      <c r="E12" s="11" t="s">
        <v>32</v>
      </c>
      <c r="F12" s="8"/>
      <c r="G12" s="8"/>
      <c r="H12" s="8"/>
      <c r="I12" s="8"/>
      <c r="J12" s="8"/>
      <c r="K12" s="8"/>
      <c r="L12" s="8"/>
      <c r="M12" s="8"/>
      <c r="N12" s="8"/>
      <c r="O12" s="8"/>
      <c r="AN12" s="9" t="s">
        <v>28</v>
      </c>
    </row>
    <row r="13" ht="15.75" customHeight="1">
      <c r="A13" s="8"/>
      <c r="B13" s="8"/>
      <c r="C13" s="11" t="s">
        <v>27</v>
      </c>
      <c r="D13" s="40">
        <v>-12.0</v>
      </c>
      <c r="E13" s="11" t="s">
        <v>34</v>
      </c>
      <c r="F13" s="8"/>
      <c r="G13" s="8"/>
      <c r="H13" s="8"/>
      <c r="I13" s="8"/>
      <c r="J13" s="8"/>
      <c r="K13" s="8"/>
      <c r="L13" s="8"/>
      <c r="M13" s="8"/>
      <c r="N13" s="8"/>
      <c r="O13" s="8"/>
      <c r="AN13" s="9" t="s">
        <v>28</v>
      </c>
    </row>
    <row r="14" ht="15.75" customHeight="1">
      <c r="A14" s="8"/>
      <c r="B14" s="8"/>
      <c r="C14" s="11" t="s">
        <v>27</v>
      </c>
      <c r="D14" s="40">
        <v>-30.0</v>
      </c>
      <c r="E14" s="11" t="s">
        <v>35</v>
      </c>
      <c r="F14" s="8"/>
      <c r="G14" s="8"/>
      <c r="H14" s="8"/>
      <c r="I14" s="8"/>
      <c r="J14" s="8"/>
      <c r="K14" s="8"/>
      <c r="L14" s="8"/>
      <c r="M14" s="8"/>
      <c r="N14" s="8"/>
      <c r="O14" s="8"/>
      <c r="AN14" s="9" t="s">
        <v>28</v>
      </c>
    </row>
    <row r="15" ht="15.75" customHeight="1">
      <c r="A15" s="8"/>
      <c r="B15" s="8"/>
      <c r="C15" s="11" t="s">
        <v>23</v>
      </c>
      <c r="D15" s="11">
        <v>-400.0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N15" s="9" t="s">
        <v>26</v>
      </c>
    </row>
    <row r="16" ht="15.75" customHeight="1">
      <c r="A16" s="8"/>
      <c r="B16" s="8"/>
      <c r="C16" s="11" t="s">
        <v>20</v>
      </c>
      <c r="D16" s="11">
        <v>-600.0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N16" s="9" t="s">
        <v>26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