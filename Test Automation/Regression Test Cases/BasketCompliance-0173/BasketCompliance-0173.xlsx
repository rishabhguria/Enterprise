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SendToStagingExport" sheetId="15" r:id="rId17"/>
    <sheet state="visible" name="CheckBasketCompliance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<sst xmlns="http://schemas.openxmlformats.org/spreadsheetml/2006/main" count="234" uniqueCount="66">
  <si>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</si>
  <si>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</si>
  <si>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</si>
  <si>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</si>
  <si>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</si>
  <si>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</si>
  <si>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</si>
  <si>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</si>
  <si>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</si>
  <si>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</si>
  <si>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</si>
  <si>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</si>
  <si>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</si>
  <si>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</si>
  <si>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</si>
  <si>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</si>
  <si>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</si>
  <si>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</si>
  <si>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</si>
  <si>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</si>
  <si>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</si>
  <si>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</si>
  <si>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</si>
  <si>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</si>
  <si>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</si>
  <si>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</si>
  <si>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</si>
  <si>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</si>
  <si>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</si>
  <si>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Allocation2</t>
  </si>
  <si>
    <t>DailyValuation</t>
  </si>
  <si>
    <t>GetDailyCash</t>
  </si>
  <si>
    <t>UpdateMultipleDailyCash</t>
  </si>
  <si>
    <t>USD</t>
  </si>
  <si>
    <t>PricingInput</t>
  </si>
  <si>
    <t>COP</t>
  </si>
  <si>
    <t>GetForexConversion</t>
  </si>
  <si>
    <t>UpdateForexConversion</t>
  </si>
  <si>
    <t>CAD</t>
  </si>
  <si>
    <t>CAD AO-FX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</si>
  <si>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</si>
  <si>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</si>
  <si>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</si>
  <si>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</si>
  <si>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</si>
  <si>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</si>
  <si>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</si>
  <si>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</si>
  <si>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</si>
  <si>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</si>
  <si>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SendToStagingExport</t>
  </si>
  <si>
    <t>CheckBasketCompliance</t>
  </si>
  <si>
    <t>Soft</t>
  </si>
  <si>
    <t>Global_NMV</t>
  </si>
  <si>
    <t>Enter Summary</t>
  </si>
  <si>
    <t>Global</t>
  </si>
  <si>
    <t>percentNetMarketValueGlobal: 2.5572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</si>
  <si>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</si>
  <si>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</si>
  <si>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</si>
  <si>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</si>
  <si>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</si>
  <si>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</si>
  <si>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</si>
  <si>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</si>
  <si>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percentNetMarketValueGlobal: 2.5669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</si>
</sst>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10" fillId="7" fontId="16" numFmtId="0" xfId="0" applyAlignment="1" applyBorder="1" applyFill="1" applyFont="1">
      <alignment horizontal="left" readingOrder="0" shrinkToFit="0" vertical="top" wrapText="0"/>
    </xf>
    <xf borderId="10" fillId="8" fontId="17" numFmtId="0" xfId="0" applyAlignment="1" applyBorder="1" applyFill="1" applyFont="1">
      <alignment horizontal="left" readingOrder="0" shrinkToFit="0" vertical="top" wrapText="0"/>
    </xf>
    <xf borderId="10" fillId="8" fontId="17" numFmtId="0" xfId="0" applyAlignment="1" applyBorder="1" applyFont="1">
      <alignment horizontal="left" shrinkToFit="0" vertical="top" wrapText="0"/>
    </xf>
    <xf borderId="10" fillId="9" fontId="17" numFmtId="0" xfId="0" applyAlignment="1" applyBorder="1" applyFill="1" applyFont="1">
      <alignment horizontal="left" readingOrder="0" shrinkToFit="0" vertical="top" wrapText="0"/>
    </xf>
    <xf borderId="10" fillId="9" fontId="17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0</v>
      </c>
      <c r="E6" s="32" t="b">
        <v>0</v>
      </c>
      <c r="F6" s="32" t="b">
        <v>0</v>
      </c>
      <c r="G6" s="3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IFERROR(__xludf.DUMMYFUNCTION("""COMPUTED_VALUE"""),"Symbol")</f>
        <v>Symbol</v>
      </c>
      <c r="C5" s="34" t="str">
        <f>IFERROR(__xludf.DUMMYFUNCTION("""COMPUTED_VALUE"""),"Order Side")</f>
        <v>Order Side</v>
      </c>
      <c r="D5" s="34" t="str">
        <f>IFERROR(__xludf.DUMMYFUNCTION("""COMPUTED_VALUE"""),"Quantity")</f>
        <v>Quantity</v>
      </c>
      <c r="E5" s="34" t="str">
        <f>IFERROR(__xludf.DUMMYFUNCTION("""COMPUTED_VALUE"""),"TargetQuantityIn")</f>
        <v>TargetQuantityIn</v>
      </c>
      <c r="F5" s="35" t="str">
        <f>IFERROR(__xludf.DUMMYFUNCTION("""COMPUTED_VALUE"""),"AllocationMethod")</f>
        <v>AllocationMethod</v>
      </c>
      <c r="G5" s="34" t="str">
        <f>IFERROR(__xludf.DUMMYFUNCTION("""COMPUTED_VALUE"""),"Broker")</f>
        <v>Broker</v>
      </c>
      <c r="H5" s="34" t="str">
        <f>IFERROR(__xludf.DUMMYFUNCTION("""COMPUTED_VALUE"""),"TIF")</f>
        <v>TIF</v>
      </c>
      <c r="I5" s="34" t="str">
        <f>IFERROR(__xludf.DUMMYFUNCTION("""COMPUTED_VALUE"""),"Order Type")</f>
        <v>Order Type</v>
      </c>
      <c r="J5" s="34" t="str">
        <f>IFERROR(__xludf.DUMMYFUNCTION("""COMPUTED_VALUE"""),"Price")</f>
        <v>Price</v>
      </c>
      <c r="K5" s="34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21</v>
      </c>
      <c r="C6" s="37" t="s">
        <v>22</v>
      </c>
      <c r="D6" s="38">
        <v>100.0</v>
      </c>
      <c r="E6" s="37"/>
      <c r="F6" s="37" t="s">
        <v>23</v>
      </c>
      <c r="G6" s="37"/>
      <c r="H6" s="37"/>
      <c r="I6" s="37"/>
      <c r="J6" s="39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18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24</v>
      </c>
      <c r="C7" s="37" t="s">
        <v>25</v>
      </c>
      <c r="D7" s="40">
        <v>100.0</v>
      </c>
      <c r="E7" s="37"/>
      <c r="F7" s="37" t="s">
        <v>23</v>
      </c>
      <c r="G7" s="37"/>
      <c r="H7" s="37"/>
      <c r="I7" s="37"/>
      <c r="J7" s="39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 t="s">
        <v>18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26</v>
      </c>
      <c r="C8" s="37" t="s">
        <v>22</v>
      </c>
      <c r="D8" s="39">
        <v>100.0</v>
      </c>
      <c r="E8" s="37"/>
      <c r="F8" s="37" t="s">
        <v>23</v>
      </c>
      <c r="G8" s="37"/>
      <c r="H8" s="37"/>
      <c r="I8" s="37"/>
      <c r="J8" s="39">
        <v>10.0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 t="s">
        <v>18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1">
        <v>1.23456789E8</v>
      </c>
      <c r="C9" s="37" t="s">
        <v>22</v>
      </c>
      <c r="D9" s="39">
        <v>100.0</v>
      </c>
      <c r="E9" s="37"/>
      <c r="F9" s="37" t="s">
        <v>23</v>
      </c>
      <c r="G9" s="37"/>
      <c r="H9" s="37"/>
      <c r="I9" s="37"/>
      <c r="J9" s="39">
        <v>10.0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 t="s">
        <v>18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27</v>
      </c>
      <c r="C10" s="37" t="s">
        <v>22</v>
      </c>
      <c r="D10" s="39">
        <v>100.0</v>
      </c>
      <c r="E10" s="37"/>
      <c r="F10" s="37" t="s">
        <v>23</v>
      </c>
      <c r="G10" s="37"/>
      <c r="H10" s="37"/>
      <c r="I10" s="37"/>
      <c r="J10" s="39">
        <v>10.0</v>
      </c>
      <c r="K10" s="37"/>
      <c r="L10" s="37"/>
      <c r="M10" s="37"/>
      <c r="N10" s="37"/>
      <c r="O10" s="42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 t="s">
        <v>18</v>
      </c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28</v>
      </c>
      <c r="C11" s="37" t="s">
        <v>22</v>
      </c>
      <c r="D11" s="39">
        <v>100.0</v>
      </c>
      <c r="E11" s="37"/>
      <c r="F11" s="37" t="s">
        <v>23</v>
      </c>
      <c r="G11" s="37"/>
      <c r="H11" s="37"/>
      <c r="I11" s="37"/>
      <c r="J11" s="39">
        <v>10.0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 t="s">
        <v>18</v>
      </c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6"/>
      <c r="B12" s="36" t="s">
        <v>21</v>
      </c>
      <c r="C12" s="37" t="s">
        <v>22</v>
      </c>
      <c r="D12" s="38">
        <v>100.0</v>
      </c>
      <c r="E12" s="37"/>
      <c r="F12" s="37" t="s">
        <v>29</v>
      </c>
      <c r="G12" s="37"/>
      <c r="H12" s="37"/>
      <c r="I12" s="37"/>
      <c r="J12" s="39">
        <v>10.0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 t="s">
        <v>18</v>
      </c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 t="s">
        <v>24</v>
      </c>
      <c r="C13" s="37" t="s">
        <v>25</v>
      </c>
      <c r="D13" s="40">
        <v>100.0</v>
      </c>
      <c r="E13" s="37"/>
      <c r="F13" s="37" t="s">
        <v>29</v>
      </c>
      <c r="G13" s="37"/>
      <c r="H13" s="37"/>
      <c r="I13" s="37"/>
      <c r="J13" s="39">
        <v>10.0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 t="s">
        <v>18</v>
      </c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26</v>
      </c>
      <c r="C14" s="37" t="s">
        <v>22</v>
      </c>
      <c r="D14" s="39">
        <v>100.0</v>
      </c>
      <c r="E14" s="37"/>
      <c r="F14" s="37" t="s">
        <v>29</v>
      </c>
      <c r="G14" s="37"/>
      <c r="H14" s="37"/>
      <c r="I14" s="37"/>
      <c r="J14" s="39">
        <v>10.0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 t="s">
        <v>18</v>
      </c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41">
        <v>1.23456789E8</v>
      </c>
      <c r="C15" s="37" t="s">
        <v>22</v>
      </c>
      <c r="D15" s="39">
        <v>100.0</v>
      </c>
      <c r="E15" s="37"/>
      <c r="F15" s="37" t="s">
        <v>29</v>
      </c>
      <c r="G15" s="37"/>
      <c r="H15" s="37"/>
      <c r="I15" s="37"/>
      <c r="J15" s="39">
        <v>10.0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 t="s">
        <v>18</v>
      </c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37" t="s">
        <v>27</v>
      </c>
      <c r="C16" s="37" t="s">
        <v>22</v>
      </c>
      <c r="D16" s="39">
        <v>100.0</v>
      </c>
      <c r="E16" s="37"/>
      <c r="F16" s="37" t="s">
        <v>29</v>
      </c>
      <c r="G16" s="37"/>
      <c r="H16" s="37"/>
      <c r="I16" s="37"/>
      <c r="J16" s="39">
        <v>10.0</v>
      </c>
      <c r="K16" s="37"/>
      <c r="L16" s="37"/>
      <c r="M16" s="37"/>
      <c r="N16" s="37"/>
      <c r="O16" s="42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 t="s">
        <v>18</v>
      </c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37" t="s">
        <v>28</v>
      </c>
      <c r="C17" s="37" t="s">
        <v>22</v>
      </c>
      <c r="D17" s="39">
        <v>100.0</v>
      </c>
      <c r="E17" s="37"/>
      <c r="F17" s="37" t="s">
        <v>29</v>
      </c>
      <c r="G17" s="37"/>
      <c r="H17" s="37"/>
      <c r="I17" s="37"/>
      <c r="J17" s="39">
        <v>10.0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 t="s">
        <v>18</v>
      </c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45272</v>
      </c>
      <c r="C6" s="44">
        <f t="shared" si="1"/>
        <v>45272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33</v>
      </c>
      <c r="D6" s="45">
        <v>1.9694313E7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21</v>
      </c>
      <c r="C6" s="13">
        <v>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>
        <v>1.23456789E8</v>
      </c>
      <c r="C9" s="1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1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28</v>
      </c>
      <c r="C11" s="1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35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34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f t="shared" ref="B6:C6" si="1">today()-1</f>
        <v>45272</v>
      </c>
      <c r="C6" s="46">
        <f t="shared" si="1"/>
        <v>45272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IFERROR(__xludf.DUMMYFUNCTION("""COMPUTED_VALUE"""),"From Currency")</f>
        <v>From Currency</v>
      </c>
      <c r="C5" s="34" t="str">
        <f>IFERROR(__xludf.DUMMYFUNCTION("""COMPUTED_VALUE"""),"To Currency")</f>
        <v>To Currency</v>
      </c>
      <c r="D5" s="34" t="str">
        <f>IFERROR(__xludf.DUMMYFUNCTION("""COMPUTED_VALUE"""),"Symbol")</f>
        <v>Symbol</v>
      </c>
      <c r="E5" s="34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33</v>
      </c>
      <c r="C6" s="48" t="s">
        <v>38</v>
      </c>
      <c r="D6" s="36" t="s">
        <v>39</v>
      </c>
      <c r="E6" s="39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23</v>
      </c>
      <c r="C6" s="50" t="s">
        <v>42</v>
      </c>
      <c r="D6" s="51" t="s">
        <v>43</v>
      </c>
      <c r="E6" s="50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>
        <v>100000.0</v>
      </c>
      <c r="C6" s="50" t="s">
        <v>46</v>
      </c>
      <c r="D6" s="51" t="s">
        <v>47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49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23</v>
      </c>
      <c r="C6" s="54" t="s">
        <v>22</v>
      </c>
      <c r="D6" s="54" t="s">
        <v>21</v>
      </c>
      <c r="E6" s="55">
        <v>1.0</v>
      </c>
      <c r="F6" s="55">
        <v>20.0</v>
      </c>
      <c r="G6" s="55">
        <v>20.0</v>
      </c>
      <c r="H6" s="8"/>
      <c r="I6" s="37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54" t="s">
        <v>23</v>
      </c>
      <c r="C7" s="54" t="s">
        <v>22</v>
      </c>
      <c r="D7" s="54">
        <v>1.23456789E8</v>
      </c>
      <c r="E7" s="55">
        <v>1.0</v>
      </c>
      <c r="F7" s="55">
        <v>20.0</v>
      </c>
      <c r="G7" s="55">
        <v>0.0</v>
      </c>
      <c r="H7" s="8"/>
      <c r="I7" s="37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54" t="s">
        <v>23</v>
      </c>
      <c r="C8" s="54" t="s">
        <v>22</v>
      </c>
      <c r="D8" s="54" t="s">
        <v>27</v>
      </c>
      <c r="E8" s="55">
        <v>1.0</v>
      </c>
      <c r="F8" s="55">
        <v>20.0</v>
      </c>
      <c r="G8" s="55">
        <v>17.0</v>
      </c>
      <c r="H8" s="8"/>
      <c r="I8" s="37" t="s">
        <v>18</v>
      </c>
      <c r="J8" s="8"/>
      <c r="K8" s="8"/>
      <c r="L8" s="8"/>
      <c r="M8" s="8"/>
      <c r="N8" s="8"/>
      <c r="O8" s="8"/>
    </row>
    <row r="9" ht="15.75" customHeight="1">
      <c r="A9" s="8"/>
      <c r="B9" s="54" t="s">
        <v>23</v>
      </c>
      <c r="C9" s="54" t="s">
        <v>22</v>
      </c>
      <c r="D9" s="54" t="s">
        <v>28</v>
      </c>
      <c r="E9" s="55">
        <v>1.0</v>
      </c>
      <c r="F9" s="55">
        <v>20.0</v>
      </c>
      <c r="G9" s="55">
        <v>20.0</v>
      </c>
      <c r="H9" s="8"/>
      <c r="I9" s="37" t="s">
        <v>18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52</v>
      </c>
      <c r="C6" s="57" t="s">
        <v>53</v>
      </c>
      <c r="D6" s="57" t="s">
        <v>54</v>
      </c>
      <c r="E6" s="57" t="s">
        <v>55</v>
      </c>
      <c r="F6" s="57">
        <v>-10.0</v>
      </c>
      <c r="G6" s="57">
        <v>2.56</v>
      </c>
      <c r="H6" s="57" t="s">
        <v>56</v>
      </c>
      <c r="I6" s="5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13" t="s">
        <v>59</v>
      </c>
      <c r="H6" s="13">
        <v>1.0</v>
      </c>
      <c r="I6" s="8"/>
      <c r="J6" s="8"/>
      <c r="K6" s="8"/>
      <c r="L6" s="8"/>
      <c r="M6" s="8"/>
      <c r="N6" s="8"/>
      <c r="O6" s="8"/>
      <c r="Q6" s="9" t="s">
        <v>60</v>
      </c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59</v>
      </c>
      <c r="AL6" s="9">
        <v>1.0</v>
      </c>
      <c r="AS6" s="9" t="s">
        <v>60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18</v>
      </c>
      <c r="AX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52</v>
      </c>
      <c r="C6" s="59" t="s">
        <v>53</v>
      </c>
      <c r="D6" s="59" t="s">
        <v>54</v>
      </c>
      <c r="E6" s="59" t="s">
        <v>55</v>
      </c>
      <c r="F6" s="59">
        <v>-10.0</v>
      </c>
      <c r="G6" s="59">
        <v>2.57</v>
      </c>
      <c r="H6" s="59" t="s">
        <v>65</v>
      </c>
      <c r="I6" s="60"/>
      <c r="J6" s="8"/>
      <c r="K6" s="47" t="s">
        <v>18</v>
      </c>
      <c r="L6" s="37"/>
      <c r="M6" s="48" t="s">
        <v>63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