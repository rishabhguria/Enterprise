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Unallocate" sheetId="6" r:id="rId8"/>
    <sheet state="visible" name="SelectUnallocatedGroup" sheetId="7" r:id="rId9"/>
    <sheet state="visible" name="EnterAccountValuesToAllocate" sheetId="8" r:id="rId10"/>
    <sheet state="visible" name="CheckAllocatedGroups" sheetId="9" r:id="rId11"/>
  </sheets>
  <definedNames/>
  <calcPr/>
</workbook>
</file>

<file path=xl/sharedStrings.xml><?xml version="1.0" encoding="utf-8"?>
<sst xmlns="http://schemas.openxmlformats.org/spreadsheetml/2006/main" count="74" uniqueCount="31">
  <si>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</si>
  <si>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</si>
  <si>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</si>
  <si>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</si>
  <si>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</si>
  <si>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</si>
  <si>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</si>
  <si>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</si>
  <si>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</si>
  <si>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</si>
  <si>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</si>
  <si>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</si>
  <si>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</si>
  <si>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</si>
  <si>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</si>
  <si>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</si>
  <si>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</si>
  <si>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</si>
  <si>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</si>
  <si>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IBM</t>
  </si>
  <si>
    <t>Sell short</t>
  </si>
  <si>
    <t>Allocation3</t>
  </si>
  <si>
    <t>Allocation</t>
  </si>
  <si>
    <t>GetDataAllocation</t>
  </si>
  <si>
    <t>Current</t>
  </si>
  <si>
    <t>Unallocate</t>
  </si>
  <si>
    <t>SelectUnallocatedGroup</t>
  </si>
  <si>
    <t>EnterAccountValuesToAllocate</t>
  </si>
  <si>
    <t>Allocation2</t>
  </si>
  <si>
    <t>CheckAllocatedGroups</t>
  </si>
  <si>
    <t>Multiple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</si>
</sst>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>
      <c r="A789" t="str">
        <f>IFERROR(__xludf.DUMMYFUNCTION("""COMPUTED_VALUE"""),"PricingInput")</f>
        <v>PricingInput</v>
      </c>
      <c r="B789" t="str">
        <f>IFERROR(__xludf.DUMMYFUNCTION("""COMPUTED_VALUE"""),"UpdatePricingInput")</f>
        <v>UpdatePricingInput</v>
      </c>
      <c r="C789" t="str">
        <f>IFERROR(__xludf.DUMMYFUNCTION("""COMPUTED_VALUE"""),"1CG9iYOkRKzlGEsKh7QuEyMdGRQea_W4KDWwlnjE2BdE")</f>
        <v>1CG9iYOkRKzlGEsKh7QuEyMdGRQea_W4KDWwlnjE2BdE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IFERROR(__xludf.DUMMYFUNCTION("""COMPUTED_VALUE"""),"ImportOnRB")</f>
        <v>ImportOnRB</v>
      </c>
      <c r="C790" t="str">
        <f>IFERROR(__xludf.DUMMYFUNCTION("""COMPUTED_VALUE"""),"1EntkiGIsU6aSZPpMKhixdhGFyyVCmlI1jMgvbCFq3oM")</f>
        <v>1EntkiGIsU6aSZPpMKhixdhGFyyVCmlI1jMgvbCFq3oM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IFERROR(__xludf.DUMMYFUNCTION("""COMPUTED_VALUE"""),"ActionOnRSAImportGrid")</f>
        <v>ActionOnRSAImportGrid</v>
      </c>
      <c r="C791" t="str">
        <f>IFERROR(__xludf.DUMMYFUNCTION("""COMPUTED_VALUE"""),"1qyFUqeWV7-Gy2PHnDNHGdUCBuvTKxxZhflKe9pguJEE")</f>
        <v>1qyFUqeWV7-Gy2PHnDNHGdUCBuvTKxxZhflKe9pguJEE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IFERROR(__xludf.DUMMYFUNCTION("""COMPUTED_VALUE"""),"VerifyImportGridRBForInvalidSecuritites")</f>
        <v>VerifyImportGridRBForInvalidSecuritites</v>
      </c>
      <c r="C792" t="str">
        <f>IFERROR(__xludf.DUMMYFUNCTION("""COMPUTED_VALUE"""),"13tlfzcOYlxn2sOASC-JNdqZmR9A1Cesa2Ah5348pLN8")</f>
        <v>13tlfzcOYlxn2sOASC-JNdqZmR9A1Cesa2Ah5348pLN8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IFERROR(__xludf.DUMMYFUNCTION("""COMPUTED_VALUE"""),"VerifyImportGridRBForValidSecuritites")</f>
        <v>VerifyImportGridRBForValidSecuritites</v>
      </c>
      <c r="C793" t="str">
        <f>IFERROR(__xludf.DUMMYFUNCTION("""COMPUTED_VALUE"""),"1KiLapuRaYEZfokVV1TZf8gTWNe8d9PblbpJsN983CaI")</f>
        <v>1KiLapuRaYEZfokVV1TZf8gTWNe8d9PblbpJsN983CaI</v>
      </c>
    </row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31"/>
      <c r="F6" s="13" t="s">
        <v>18</v>
      </c>
      <c r="G6" s="8"/>
      <c r="H6" s="8"/>
      <c r="I6" s="8"/>
      <c r="J6" s="13">
        <v>2.0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20</v>
      </c>
      <c r="D7" s="13">
        <v>123.0</v>
      </c>
      <c r="E7" s="8"/>
      <c r="F7" s="13" t="s">
        <v>21</v>
      </c>
      <c r="G7" s="8"/>
      <c r="H7" s="8"/>
      <c r="I7" s="8"/>
      <c r="J7" s="13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19</v>
      </c>
      <c r="C6" s="13">
        <v>123.0</v>
      </c>
      <c r="D6" s="13"/>
      <c r="E6" s="13" t="s">
        <v>21</v>
      </c>
      <c r="F6" s="13" t="s">
        <v>20</v>
      </c>
      <c r="G6" s="8"/>
      <c r="H6" s="8"/>
      <c r="I6" s="8"/>
      <c r="J6" s="13"/>
      <c r="K6" s="8"/>
      <c r="L6" s="8"/>
      <c r="M6" s="8"/>
      <c r="N6" s="8"/>
      <c r="O6" s="8"/>
      <c r="AS6" s="9">
        <v>123.0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19</v>
      </c>
      <c r="C6" s="13" t="s">
        <v>20</v>
      </c>
      <c r="D6" s="13">
        <v>123.0</v>
      </c>
      <c r="E6" s="13">
        <v>123.0</v>
      </c>
      <c r="F6" s="8"/>
      <c r="G6" s="8"/>
      <c r="H6" s="8"/>
      <c r="I6" s="8"/>
      <c r="J6" s="13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33.0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28</v>
      </c>
      <c r="C7" s="13">
        <v>33.0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3" t="s">
        <v>21</v>
      </c>
      <c r="C8" s="13">
        <v>34.0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/>
      <c r="E6" s="13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  <c r="AE6" s="9">
        <v>1000.0</v>
      </c>
      <c r="BJ6" s="9">
        <v>1000.0</v>
      </c>
      <c r="BO6" s="9" t="s">
        <v>17</v>
      </c>
      <c r="BT6" s="9" t="s">
        <v>16</v>
      </c>
    </row>
    <row r="7" ht="15.75" customHeight="1">
      <c r="A7" s="8"/>
      <c r="B7" s="13" t="s">
        <v>30</v>
      </c>
      <c r="C7" s="8"/>
      <c r="D7" s="8"/>
      <c r="E7" s="13">
        <v>123.0</v>
      </c>
      <c r="F7" s="8"/>
      <c r="G7" s="8"/>
      <c r="H7" s="8"/>
      <c r="I7" s="8"/>
      <c r="J7" s="8"/>
      <c r="K7" s="8"/>
      <c r="L7" s="8"/>
      <c r="M7" s="8"/>
      <c r="N7" s="8"/>
      <c r="O7" s="8"/>
      <c r="AE7" s="9">
        <v>123.0</v>
      </c>
      <c r="BJ7" s="9">
        <v>123.0</v>
      </c>
      <c r="BO7" s="9" t="s">
        <v>20</v>
      </c>
      <c r="BT7" s="9" t="s">
        <v>19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