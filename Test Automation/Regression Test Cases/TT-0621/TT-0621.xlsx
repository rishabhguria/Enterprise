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SetCompliancePermission" sheetId="5" r:id="rId7"/>
    <sheet state="visible" name="TradeNewSubOrder" sheetId="6" r:id="rId8"/>
    <sheet state="visible" name="CreateNewSubOrder" sheetId="7" r:id="rId9"/>
    <sheet state="visible" name="LoginClient" sheetId="8" r:id="rId10"/>
    <sheet state="visible" name="ApproveorRejectpendingapproval" sheetId="9" r:id="rId11"/>
    <sheet state="visible" name="VerifySubOrder" sheetId="10" r:id="rId12"/>
    <sheet state="visible" name="LoginClient1" sheetId="11" r:id="rId13"/>
    <sheet state="visible" name="TradeNewSubOrder1" sheetId="12" r:id="rId14"/>
    <sheet state="visible" name="CreateNewSubOrder1" sheetId="13" r:id="rId15"/>
    <sheet state="visible" name="ApproveorRejectpendingapproval1" sheetId="14" r:id="rId16"/>
    <sheet state="visible" name="VerifySubOrder1" sheetId="15" r:id="rId17"/>
  </sheets>
  <definedNames/>
  <calcPr/>
</workbook>
</file>

<file path=xl/sharedStrings.xml><?xml version="1.0" encoding="utf-8"?>
<sst xmlns="http://schemas.openxmlformats.org/spreadsheetml/2006/main" count="149" uniqueCount="52">
  <si>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</si>
  <si>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</si>
  <si>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</si>
  <si>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</si>
  <si>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</si>
  <si>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</si>
  <si>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</si>
  <si>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</si>
  <si>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</si>
  <si>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</si>
  <si>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</si>
  <si>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</si>
  <si>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</si>
  <si>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</si>
  <si>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</si>
  <si>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</si>
  <si>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MSFT</t>
  </si>
  <si>
    <t>Buy</t>
  </si>
  <si>
    <t>Sell</t>
  </si>
  <si>
    <t>Limit</t>
  </si>
  <si>
    <t>Admin</t>
  </si>
  <si>
    <t>SetCompliancePermission</t>
  </si>
  <si>
    <t>Account1</t>
  </si>
  <si>
    <t>REQUIRES APPROVAL</t>
  </si>
  <si>
    <t>Blotter</t>
  </si>
  <si>
    <t>TradeNewSubOrder</t>
  </si>
  <si>
    <t>New</t>
  </si>
  <si>
    <t>CreateNewSubOrder</t>
  </si>
  <si>
    <t>Yes</t>
  </si>
  <si>
    <t>PranaClient</t>
  </si>
  <si>
    <t>LoginClient</t>
  </si>
  <si>
    <t>Support2</t>
  </si>
  <si>
    <t>Nirvana@1</t>
  </si>
  <si>
    <t>Compliance</t>
  </si>
  <si>
    <t>ApproveorRejectpendingapproval</t>
  </si>
  <si>
    <t>Single Trade</t>
  </si>
  <si>
    <t>GCCAP1</t>
  </si>
  <si>
    <t xml:space="preserve">Buy 200 MSFT @12, Notional USD 2,400
</t>
  </si>
  <si>
    <t xml:space="preserve">DefaultNotes
</t>
  </si>
  <si>
    <t xml:space="preserve">jpearce
</t>
  </si>
  <si>
    <t>MS</t>
  </si>
  <si>
    <t xml:space="preserve">Pending Approval
</t>
  </si>
  <si>
    <t xml:space="preserve">Buy
</t>
  </si>
  <si>
    <t>Reject</t>
  </si>
  <si>
    <t>VerifySubOrder</t>
  </si>
  <si>
    <t>Blocked by Compliance</t>
  </si>
  <si>
    <t>Allocation1</t>
  </si>
  <si>
    <t>Support1</t>
  </si>
  <si>
    <t>Sell 200 MSFT @0, Notional USD 0</t>
  </si>
  <si>
    <t>DefaultNotes</t>
  </si>
  <si>
    <t>jpearce</t>
  </si>
  <si>
    <t>Pending Approval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</si>
</sst>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sz val="9.0"/>
      <color rgb="FF000000"/>
      <name val="Arial"/>
    </font>
    <font>
      <b/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5" fillId="6" fontId="14" numFmtId="0" xfId="0" applyAlignment="1" applyBorder="1" applyFill="1" applyFont="1">
      <alignment horizontal="right" readingOrder="0" vertical="top"/>
    </xf>
    <xf borderId="5" fillId="6" fontId="15" numFmtId="0" xfId="0" applyAlignment="1" applyBorder="1" applyFont="1">
      <alignment horizontal="right" readingOrder="0" vertical="top"/>
    </xf>
    <xf borderId="0" fillId="0" fontId="3" numFmtId="0" xfId="0" applyAlignment="1" applyFont="1">
      <alignment vertical="bottom"/>
    </xf>
    <xf borderId="5" fillId="7" fontId="14" numFmtId="0" xfId="0" applyAlignment="1" applyBorder="1" applyFill="1" applyFont="1">
      <alignment horizontal="right" readingOrder="0" vertical="top"/>
    </xf>
    <xf borderId="5" fillId="7" fontId="15" numFmtId="0" xfId="0" applyAlignment="1" applyBorder="1" applyFont="1">
      <alignment horizontal="right" readingOrder="0" vertical="top"/>
    </xf>
    <xf borderId="5" fillId="7" fontId="16" numFmtId="0" xfId="0" applyAlignment="1" applyBorder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200.0</v>
      </c>
      <c r="E6" s="31"/>
      <c r="F6" s="8"/>
      <c r="G6" s="8"/>
      <c r="H6" s="8"/>
      <c r="I6" s="8"/>
      <c r="J6" s="13">
        <v>12.0</v>
      </c>
      <c r="K6" s="8"/>
      <c r="L6" s="8"/>
      <c r="M6" s="8"/>
      <c r="N6" s="8"/>
      <c r="O6" s="8"/>
    </row>
    <row r="7" ht="15.75" customHeight="1">
      <c r="A7" s="13"/>
      <c r="B7" s="13" t="s">
        <v>16</v>
      </c>
      <c r="C7" s="13" t="s">
        <v>18</v>
      </c>
      <c r="D7" s="13">
        <v>200.0</v>
      </c>
      <c r="E7" s="31"/>
      <c r="F7" s="8"/>
      <c r="G7" s="8"/>
      <c r="H7" s="8"/>
      <c r="I7" s="13" t="s">
        <v>19</v>
      </c>
      <c r="J7" s="13"/>
      <c r="K7" s="8"/>
      <c r="L7" s="13">
        <v>12.0</v>
      </c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17.0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IFERROR(__xludf.DUMMYFUNCTION("""COMPUTED_VALUE"""),"RemoveMasterUser")</f>
        <v>RemoveMasterUser</v>
      </c>
      <c r="AK4" s="26" t="str">
        <f>IFERROR(__xludf.DUMMYFUNCTION("""COMPUTED_VALUE"""),"ClearRTPNLtabs")</f>
        <v>ClearRTPNLtabs</v>
      </c>
      <c r="AL4" s="26" t="str">
        <f>IFERROR(__xludf.DUMMYFUNCTION("""COMPUTED_VALUE"""),"ConfigUpdater")</f>
        <v>ConfigUpdater</v>
      </c>
      <c r="AM4" s="26" t="str">
        <f>IFERROR(__xludf.DUMMYFUNCTION("""COMPUTED_VALUE"""),"AccountPermission")</f>
        <v>AccountPermission</v>
      </c>
      <c r="AN4" s="26" t="str">
        <f>IFERROR(__xludf.DUMMYFUNCTION("""COMPUTED_VALUE"""),"RemoveBasketPermission")</f>
        <v>RemoveBasketPermission</v>
      </c>
      <c r="AO4" s="26" t="str">
        <f>IFERROR(__xludf.DUMMYFUNCTION("""COMPUTED_VALUE"""),"ChangeDate")</f>
        <v>ChangeDate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22</v>
      </c>
      <c r="C6" s="13" t="s">
        <v>23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26</v>
      </c>
      <c r="AL6" s="9">
        <v>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200.0</v>
      </c>
      <c r="E6" s="31"/>
      <c r="F6" s="8"/>
      <c r="G6" s="8"/>
      <c r="H6" s="8"/>
      <c r="I6" s="8"/>
      <c r="J6" s="13">
        <v>12.0</v>
      </c>
      <c r="K6" s="8"/>
      <c r="L6" s="13">
        <v>12.0</v>
      </c>
      <c r="M6" s="8"/>
      <c r="N6" s="8"/>
      <c r="O6" s="8"/>
      <c r="AS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IFERROR(__xludf.DUMMYFUNCTION("""COMPUTED_VALUE"""),"LoginClient")</f>
        <v>LoginClient</v>
      </c>
      <c r="K4" s="25" t="str">
        <f>IFERROR(__xludf.DUMMYFUNCTION("""COMPUTED_VALUE"""),"Action")</f>
        <v>Action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 t="s">
        <v>32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3" t="s">
        <v>16</v>
      </c>
      <c r="D6" s="33" t="s">
        <v>35</v>
      </c>
      <c r="E6" s="33" t="s">
        <v>36</v>
      </c>
      <c r="F6" s="13" t="s">
        <v>37</v>
      </c>
      <c r="G6" s="13" t="s">
        <v>38</v>
      </c>
      <c r="H6" s="8"/>
      <c r="I6" s="13" t="s">
        <v>39</v>
      </c>
      <c r="J6" s="34">
        <v>12.0</v>
      </c>
      <c r="K6" s="34"/>
      <c r="L6" s="33">
        <v>200.0</v>
      </c>
      <c r="M6" s="33" t="s">
        <v>40</v>
      </c>
      <c r="N6" s="13" t="s">
        <v>41</v>
      </c>
      <c r="O6" s="13" t="s">
        <v>42</v>
      </c>
      <c r="P6" s="35" t="s">
        <v>43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45</v>
      </c>
      <c r="AL6" s="9">
        <v>200.0</v>
      </c>
      <c r="AQ6" s="9" t="s">
        <v>40</v>
      </c>
      <c r="AR6" s="9" t="s">
        <v>46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IFERROR(__xludf.DUMMYFUNCTION("""COMPUTED_VALUE"""),"LoginClient")</f>
        <v>LoginClient</v>
      </c>
      <c r="K4" s="25" t="str">
        <f>IFERROR(__xludf.DUMMYFUNCTION("""COMPUTED_VALUE"""),"Action")</f>
        <v>Action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47</v>
      </c>
      <c r="C6" s="13" t="s">
        <v>32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>
        <v>12.0</v>
      </c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26</v>
      </c>
      <c r="AL6" s="9">
        <v>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200.0</v>
      </c>
      <c r="E6" s="31"/>
      <c r="F6" s="8"/>
      <c r="G6" s="8"/>
      <c r="H6" s="8"/>
      <c r="I6" s="13" t="s">
        <v>19</v>
      </c>
      <c r="J6" s="8"/>
      <c r="K6" s="8"/>
      <c r="L6" s="13">
        <v>12.0</v>
      </c>
      <c r="M6" s="8"/>
      <c r="N6" s="8"/>
      <c r="O6" s="8"/>
      <c r="AS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6" t="s">
        <v>16</v>
      </c>
      <c r="D6" s="36" t="s">
        <v>35</v>
      </c>
      <c r="E6" s="36" t="s">
        <v>36</v>
      </c>
      <c r="F6" s="37" t="s">
        <v>48</v>
      </c>
      <c r="G6" s="36" t="s">
        <v>49</v>
      </c>
      <c r="H6" s="8"/>
      <c r="I6" s="36" t="s">
        <v>50</v>
      </c>
      <c r="J6" s="13">
        <v>0.0</v>
      </c>
      <c r="K6" s="8"/>
      <c r="L6" s="36">
        <v>200.0</v>
      </c>
      <c r="M6" s="36" t="s">
        <v>40</v>
      </c>
      <c r="N6" s="38" t="s">
        <v>51</v>
      </c>
      <c r="O6" s="36" t="s">
        <v>18</v>
      </c>
      <c r="P6" s="35" t="s">
        <v>43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45</v>
      </c>
      <c r="AL6" s="9">
        <v>200.0</v>
      </c>
      <c r="AQ6" s="9" t="s">
        <v>40</v>
      </c>
      <c r="AR6" s="9" t="s">
        <v>46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