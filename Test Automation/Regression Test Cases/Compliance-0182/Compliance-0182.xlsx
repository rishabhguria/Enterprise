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TradeNewSubOrder" sheetId="6" r:id="rId8"/>
    <sheet state="visible" name="CreateNewSubOrder" sheetId="7" r:id="rId9"/>
    <sheet state="visible" name="GetDataClosing" sheetId="8" r:id="rId10"/>
    <sheet state="visible" name="VerifyLongPositionsGrid" sheetId="9" r:id="rId11"/>
    <sheet state="visible" name="VerifyShortPositionsGrid" sheetId="10" r:id="rId12"/>
    <sheet state="visible" name="AutomaticClosing" sheetId="11" r:id="rId13"/>
    <sheet state="visible" name="VerifyClosedTrades" sheetId="12" r:id="rId14"/>
    <sheet state="visible" name="TradeNewSubOrder1" sheetId="13" r:id="rId15"/>
    <sheet state="visible" name="CreateComplianceOrder" sheetId="14" r:id="rId16"/>
    <sheet state="visible" name="VerifyComplianceOrder" sheetId="15" r:id="rId17"/>
  </sheets>
  <definedNames/>
  <calcPr/>
</workbook>
</file>

<file path=xl/sharedStrings.xml><?xml version="1.0" encoding="utf-8"?>
<sst xmlns="http://schemas.openxmlformats.org/spreadsheetml/2006/main" count="164" uniqueCount="52">
  <si>
    <t>Modules Info</t>
  </si>
  <si>
    <t>Modules</t>
  </si>
  <si>
    <t>Settings</t>
  </si>
  <si>
    <t>Module Step Setting File</t>
  </si>
  <si>
    <t>1M7bN0yXLCtxmMHVndKEWuHNx7avtlWE8-c7rofbgNL4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</si>
  <si>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</si>
  <si>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</si>
  <si>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</si>
  <si>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</si>
  <si>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</si>
  <si>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</si>
  <si>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</si>
  <si>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</si>
  <si>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</si>
  <si>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</si>
  <si>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</si>
  <si>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</si>
  <si>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</si>
  <si>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</si>
  <si>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Yes</t>
  </si>
  <si>
    <t>CreateStageOrder</t>
  </si>
  <si>
    <t>Buy to Close</t>
  </si>
  <si>
    <t>Blotter</t>
  </si>
  <si>
    <t>TradeNewSubOrder</t>
  </si>
  <si>
    <t>New</t>
  </si>
  <si>
    <t>Market</t>
  </si>
  <si>
    <t>CreateNewSubOrder</t>
  </si>
  <si>
    <t>Closing</t>
  </si>
  <si>
    <t>GetDataClosing</t>
  </si>
  <si>
    <t>Historical</t>
  </si>
  <si>
    <t>VerifyLongPositionsGrid</t>
  </si>
  <si>
    <t>Equity</t>
  </si>
  <si>
    <t>VerifyShortPositionsGrid</t>
  </si>
  <si>
    <t>AutomaticClosing</t>
  </si>
  <si>
    <t>ACA</t>
  </si>
  <si>
    <t>None</t>
  </si>
  <si>
    <t>Default</t>
  </si>
  <si>
    <t>VerifyClosedTrades</t>
  </si>
  <si>
    <t>Short</t>
  </si>
  <si>
    <t xml:space="preserve"> </t>
  </si>
  <si>
    <t>USD</t>
  </si>
  <si>
    <t>Long</t>
  </si>
  <si>
    <t>PartiallyFilled</t>
  </si>
  <si>
    <t>CreateComplianceOrder</t>
  </si>
  <si>
    <t>DoneAway</t>
  </si>
  <si>
    <t>VerifyComplianceOrder</t>
  </si>
  <si>
    <t>Soft</t>
  </si>
  <si>
    <t>Order Side Check</t>
  </si>
  <si>
    <t>The Order Side Buy to Close is invalid for this trade</t>
  </si>
  <si>
    <t>Allocation1-AAPL</t>
  </si>
  <si>
    <t>Order Side: Buy to Close, Symbol: AAPL, Account: Allocation1, Quantity before trade: 394.00, Order quantity: 721.00, Quantity if trade is executed: 1,115.00</t>
  </si>
  <si>
    <t>TradeNewSub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</si>
</sst>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266D5"/>
      <name val="Inconsolata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0" fillId="6" fontId="13" numFmtId="1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6" fontId="14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89.0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5">
        <v>44722.0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7"/>
      <c r="B7" s="38" t="s">
        <v>16</v>
      </c>
      <c r="C7" s="33" t="s">
        <v>17</v>
      </c>
      <c r="D7" s="39">
        <v>517.0</v>
      </c>
      <c r="E7" s="38"/>
      <c r="F7" s="38" t="s">
        <v>18</v>
      </c>
      <c r="G7" s="38"/>
      <c r="H7" s="38"/>
      <c r="I7" s="38"/>
      <c r="J7" s="39">
        <v>2.0</v>
      </c>
      <c r="K7" s="38"/>
      <c r="L7" s="38"/>
      <c r="M7" s="38"/>
      <c r="N7" s="35">
        <v>44725.0</v>
      </c>
      <c r="O7" s="38"/>
      <c r="P7" s="38"/>
      <c r="Q7" s="38"/>
      <c r="R7" s="38"/>
      <c r="S7" s="38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 t="s">
        <v>19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40" t="s">
        <v>21</v>
      </c>
      <c r="D6" s="41">
        <v>1000.0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5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40" t="s">
        <v>21</v>
      </c>
      <c r="AK6" s="9" t="s">
        <v>24</v>
      </c>
      <c r="AT6" s="32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40" t="s">
        <v>21</v>
      </c>
      <c r="D6" s="13">
        <v>279.0</v>
      </c>
      <c r="E6" s="8"/>
      <c r="F6" s="32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  <c r="AS6" s="36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 t="s">
        <v>29</v>
      </c>
      <c r="C6" s="35">
        <v>44691.0</v>
      </c>
      <c r="D6" s="43">
        <f>TODAY()</f>
        <v>44923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 t="s">
        <v>18</v>
      </c>
      <c r="C6" s="36" t="s">
        <v>31</v>
      </c>
      <c r="D6" s="36"/>
      <c r="E6" s="36"/>
      <c r="F6" s="36"/>
      <c r="G6" s="36"/>
      <c r="H6" s="44">
        <v>572.0003</v>
      </c>
      <c r="I6" s="45">
        <v>2.0</v>
      </c>
      <c r="J6" s="36"/>
      <c r="K6" s="36"/>
      <c r="L6" s="36"/>
      <c r="M6" s="45">
        <v>279.0</v>
      </c>
      <c r="N6" s="36"/>
      <c r="O6" s="36"/>
      <c r="P6" s="46" t="s">
        <v>21</v>
      </c>
      <c r="Q6" s="36"/>
      <c r="R6" s="36" t="s">
        <v>16</v>
      </c>
      <c r="S6" s="36"/>
      <c r="T6" s="36"/>
      <c r="U6" s="47"/>
      <c r="V6" s="36"/>
      <c r="W6" s="36"/>
      <c r="X6" s="48">
        <v>2.050180287</v>
      </c>
      <c r="Y6" s="48">
        <v>2.050180287</v>
      </c>
      <c r="Z6" s="49">
        <v>2.0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42" t="s">
        <v>18</v>
      </c>
      <c r="C6" s="42" t="s">
        <v>31</v>
      </c>
      <c r="D6" s="36"/>
      <c r="E6" s="36"/>
      <c r="F6" s="36"/>
      <c r="G6" s="36"/>
      <c r="H6" s="45"/>
      <c r="I6" s="45">
        <v>2.0</v>
      </c>
      <c r="J6" s="36"/>
      <c r="K6" s="36"/>
      <c r="L6" s="36"/>
      <c r="M6" s="45">
        <v>89.0</v>
      </c>
      <c r="N6" s="36"/>
      <c r="O6" s="36"/>
      <c r="P6" s="46" t="s">
        <v>17</v>
      </c>
      <c r="Q6" s="36"/>
      <c r="R6" s="36" t="s">
        <v>16</v>
      </c>
      <c r="S6" s="36"/>
      <c r="T6" s="36"/>
      <c r="U6" s="47"/>
      <c r="V6" s="36"/>
      <c r="W6" s="36"/>
      <c r="X6" s="48">
        <v>1.842695506</v>
      </c>
      <c r="Y6" s="48">
        <v>1.842695506</v>
      </c>
      <c r="Z6" s="49">
        <v>2.0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2" t="s">
        <v>18</v>
      </c>
      <c r="C7" s="42" t="s">
        <v>31</v>
      </c>
      <c r="D7" s="36"/>
      <c r="E7" s="36"/>
      <c r="F7" s="36"/>
      <c r="G7" s="36"/>
      <c r="H7" s="45"/>
      <c r="I7" s="45">
        <v>2.0</v>
      </c>
      <c r="J7" s="36"/>
      <c r="K7" s="36"/>
      <c r="L7" s="36"/>
      <c r="M7" s="45">
        <v>517.0</v>
      </c>
      <c r="N7" s="36"/>
      <c r="O7" s="36"/>
      <c r="P7" s="46" t="s">
        <v>17</v>
      </c>
      <c r="Q7" s="36"/>
      <c r="R7" s="36" t="s">
        <v>16</v>
      </c>
      <c r="S7" s="36"/>
      <c r="T7" s="36"/>
      <c r="U7" s="47"/>
      <c r="V7" s="36"/>
      <c r="W7" s="36"/>
      <c r="X7" s="48">
        <v>1.972919536</v>
      </c>
      <c r="Y7" s="48">
        <v>1.972919536</v>
      </c>
      <c r="Z7" s="49">
        <v>2.0</v>
      </c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1zwv-aZp-DRCpq8bqLR0XRiyt0av-GAm0ORqbhnV-FKI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 ")</f>
        <v>CloseSSw/BuyBTO </v>
      </c>
      <c r="C5" s="28" t="str">
        <f>IFERROR(__xludf.DUMMYFUNCTION("""COMPUTED_VALUE"""),"AutoCloseStrategy")</f>
        <v>AutoCloseStrategy</v>
      </c>
      <c r="D5" s="28" t="str">
        <f>IFERROR(__xludf.DUMMYFUNCTION("""COMPUTED_VALUE"""),"Algorithm")</f>
        <v>Algorithm</v>
      </c>
      <c r="E5" s="28" t="str">
        <f>IFERROR(__xludf.DUMMYFUNCTION("""COMPUTED_VALUE"""),"SecondarySortCriteria")</f>
        <v>SecondarySortCriteria</v>
      </c>
      <c r="F5" s="29" t="str">
        <f>IFERROR(__xludf.DUMMYFUNCTION("""COMPUTED_VALUE"""),"ClosingField")</f>
        <v>ClosingField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0" t="b">
        <v>0</v>
      </c>
      <c r="C6" s="50" t="b">
        <v>0</v>
      </c>
      <c r="D6" s="42" t="s">
        <v>34</v>
      </c>
      <c r="E6" s="42" t="s">
        <v>35</v>
      </c>
      <c r="F6" s="42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IFERROR(__xludf.DUMMYFUNCTION("IF(C3="""","""",Transpose(IMPORTRANGE('_Settings'!$B$3,C3&amp;""!A4:A1000"")))"),"GetDataClosing")</f>
        <v>GetDataClosing</v>
      </c>
      <c r="C4" s="25" t="str">
        <f>IFERROR(__xludf.DUMMYFUNCTION("""COMPUTED_VALUE"""),"ManualClosing")</f>
        <v>ManualClosing</v>
      </c>
      <c r="D4" s="25" t="str">
        <f>IFERROR(__xludf.DUMMYFUNCTION("""COMPUTED_VALUE"""),"SwapExpire")</f>
        <v>SwapExpire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 t="str">
        <f>IFERROR(__xludf.DUMMYFUNCTION("""COMPUTED_VALUE"""),"AutoExercise")</f>
        <v>AutoExercise</v>
      </c>
      <c r="AE4" s="26" t="str">
        <f>IFERROR(__xludf.DUMMYFUNCTION("""COMPUTED_VALUE"""),"EditMultipleCloseQuantity")</f>
        <v>EditMultipleCloseQuantity</v>
      </c>
      <c r="AF4" s="26" t="str">
        <f>IFERROR(__xludf.DUMMYFUNCTION("""COMPUTED_VALUE"""),"ManualCloseOrder")</f>
        <v>ManualCloseOrder</v>
      </c>
      <c r="AG4" s="26" t="str">
        <f>IFERROR(__xludf.DUMMYFUNCTION("""COMPUTED_VALUE"""),"PreviewDataWithFilters")</f>
        <v>PreviewDataWithFilters</v>
      </c>
      <c r="AH4" s="26" t="str">
        <f>IFERROR(__xludf.DUMMYFUNCTION("""COMPUTED_VALUE"""),"CreateClosingTemplate")</f>
        <v>CreateClosingTemplate</v>
      </c>
      <c r="AI4" s="26" t="str">
        <f>IFERROR(__xludf.DUMMYFUNCTION("""COMPUTED_VALUE"""),"CreateUnwindingTemplate")</f>
        <v>CreateUnwindingTemplate</v>
      </c>
      <c r="AJ4" s="26" t="str">
        <f>IFERROR(__xludf.DUMMYFUNCTION("""COMPUTED_VALUE"""),"EditTemplate")</f>
        <v>EditTemplate</v>
      </c>
      <c r="AK4" s="26" t="str">
        <f>IFERROR(__xludf.DUMMYFUNCTION("""COMPUTED_VALUE"""),"DeleteTemplate")</f>
        <v>DeleteTemplate</v>
      </c>
      <c r="AL4" s="26" t="str">
        <f>IFERROR(__xludf.DUMMYFUNCTION("""COMPUTED_VALUE"""),"RunTemplate")</f>
        <v>RunTemplate</v>
      </c>
      <c r="AM4" s="26" t="str">
        <f>IFERROR(__xludf.DUMMYFUNCTION("""COMPUTED_VALUE"""),"SelectAccountWiseAsset")</f>
        <v>SelectAccountWiseAsset</v>
      </c>
      <c r="AN4" s="26" t="str">
        <f>IFERROR(__xludf.DUMMYFUNCTION("""COMPUTED_VALUE"""),"VerifyCTData")</f>
        <v>VerifyCTData</v>
      </c>
      <c r="AO4" s="26" t="str">
        <f>IFERROR(__xludf.DUMMYFUNCTION("""COMPUTED_VALUE"""),"ExerciseAssignmentWithOutSave")</f>
        <v>ExerciseAssignmentWithOutSave</v>
      </c>
      <c r="AP4" s="26" t="str">
        <f>IFERROR(__xludf.DUMMYFUNCTION("""COMPUTED_VALUE"""),"SaveCTData")</f>
        <v>SaveCTData</v>
      </c>
      <c r="AQ4" s="26" t="str">
        <f>IFERROR(__xludf.DUMMYFUNCTION("""COMPUTED_VALUE"""),"FilterLongPositionGrid")</f>
        <v>FilterLongPositionGrid</v>
      </c>
      <c r="AR4" s="26" t="str">
        <f>IFERROR(__xludf.DUMMYFUNCTION("""COMPUTED_VALUE"""),"FilterShortPositionGrid")</f>
        <v>FilterShortPositionGrid</v>
      </c>
      <c r="AS4" s="26" t="str">
        <f>IFERROR(__xludf.DUMMYFUNCTION("""COMPUTED_VALUE"""),"FilterClosingGrid")</f>
        <v>FilterClosingGrid</v>
      </c>
      <c r="AT4" s="26" t="str">
        <f>IFERROR(__xludf.DUMMYFUNCTION("""COMPUTED_VALUE"""),"FilterUnexpiredGrid")</f>
        <v>FilterUnexpiredGrid</v>
      </c>
      <c r="AU4" s="26" t="str">
        <f>IFERROR(__xludf.DUMMYFUNCTION("""COMPUTED_VALUE"""),"FilterExpiredGrid")</f>
        <v>FilterExpiredGrid</v>
      </c>
      <c r="AV4" s="26" t="str">
        <f>IFERROR(__xludf.DUMMYFUNCTION("""COMPUTED_VALUE"""),"UnwindAllClosingData")</f>
        <v>UnwindAllClosingData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D6" s="42" t="s">
        <v>18</v>
      </c>
      <c r="E6" s="36"/>
      <c r="F6" s="42" t="s">
        <v>38</v>
      </c>
      <c r="G6" s="36"/>
      <c r="H6" s="42" t="s">
        <v>16</v>
      </c>
      <c r="I6" s="44">
        <v>40.97524752</v>
      </c>
      <c r="J6" s="45">
        <v>2.0</v>
      </c>
      <c r="K6" s="45">
        <v>2.0</v>
      </c>
      <c r="L6" s="42" t="s">
        <v>39</v>
      </c>
      <c r="M6" s="42"/>
      <c r="N6" s="36"/>
      <c r="O6" s="42" t="s">
        <v>38</v>
      </c>
      <c r="P6" s="36"/>
      <c r="Q6" s="36" t="s">
        <v>21</v>
      </c>
      <c r="R6" s="36" t="s">
        <v>34</v>
      </c>
      <c r="S6" s="36"/>
      <c r="T6" s="36"/>
      <c r="U6" s="36"/>
      <c r="V6" s="36"/>
      <c r="W6" s="36"/>
      <c r="X6" s="36"/>
      <c r="Y6" s="36"/>
      <c r="Z6" s="36" t="s">
        <v>40</v>
      </c>
      <c r="AA6" s="36"/>
      <c r="AB6" s="36"/>
      <c r="AC6" s="36"/>
      <c r="AD6" s="36"/>
      <c r="AE6" s="46" t="s">
        <v>41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42" t="s">
        <v>18</v>
      </c>
      <c r="E7" s="36"/>
      <c r="F7" s="42" t="s">
        <v>38</v>
      </c>
      <c r="G7" s="36"/>
      <c r="H7" s="42" t="s">
        <v>16</v>
      </c>
      <c r="I7" s="44">
        <v>238.0247525</v>
      </c>
      <c r="J7" s="45">
        <v>2.0</v>
      </c>
      <c r="K7" s="45">
        <v>2.0</v>
      </c>
      <c r="L7" s="42"/>
      <c r="M7" s="42"/>
      <c r="N7" s="36"/>
      <c r="O7" s="42" t="s">
        <v>38</v>
      </c>
      <c r="P7" s="36"/>
      <c r="Q7" s="36" t="s">
        <v>21</v>
      </c>
      <c r="R7" s="36" t="s">
        <v>34</v>
      </c>
      <c r="S7" s="36"/>
      <c r="T7" s="36"/>
      <c r="U7" s="36"/>
      <c r="V7" s="36"/>
      <c r="W7" s="36"/>
      <c r="X7" s="36"/>
      <c r="Y7" s="36"/>
      <c r="Z7" s="36" t="s">
        <v>40</v>
      </c>
      <c r="AA7" s="36"/>
      <c r="AB7" s="36"/>
      <c r="AC7" s="36"/>
      <c r="AD7" s="36"/>
      <c r="AE7" s="46" t="s">
        <v>41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3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40" t="s">
        <v>21</v>
      </c>
      <c r="AK6" s="9" t="s">
        <v>42</v>
      </c>
      <c r="AT6" s="32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41">
        <v>721.0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5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 t="s">
        <v>19</v>
      </c>
      <c r="AR6" s="36"/>
      <c r="AS6" s="36"/>
      <c r="AT6" s="36"/>
      <c r="AU6" s="36"/>
      <c r="AV6" s="36"/>
      <c r="AW6" s="36"/>
      <c r="AX6" s="42" t="s">
        <v>44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1" t="s">
        <v>46</v>
      </c>
      <c r="C6" s="51" t="s">
        <v>47</v>
      </c>
      <c r="D6" s="51" t="s">
        <v>48</v>
      </c>
      <c r="E6" s="51" t="s">
        <v>49</v>
      </c>
      <c r="F6" s="13">
        <v>394.0</v>
      </c>
      <c r="G6" s="13">
        <v>1115.0</v>
      </c>
      <c r="H6" s="13" t="s">
        <v>50</v>
      </c>
      <c r="I6" s="8"/>
      <c r="J6" s="8"/>
      <c r="K6" s="42" t="s">
        <v>19</v>
      </c>
      <c r="L6" s="36"/>
      <c r="M6" s="46" t="s">
        <v>51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