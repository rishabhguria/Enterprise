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heckPortfolioManagement" sheetId="5" r:id="rId7"/>
    <sheet state="visible" name="FilterPM" sheetId="6" r:id="rId8"/>
    <sheet state="visible" name="ClosePositionFromPM" sheetId="7" r:id="rId9"/>
    <sheet state="visible" name="CreateDoneAwayOrder1" sheetId="8" r:id="rId10"/>
    <sheet state="visible" name="GetDataClosing" sheetId="9" r:id="rId11"/>
    <sheet state="visible" name="VerifyShortPositionsGrid" sheetId="10" r:id="rId12"/>
    <sheet state="visible" name="VerifyLongPositionsGrid" sheetId="11" r:id="rId13"/>
    <sheet state="visible" name="AutomaticClosing" sheetId="12" r:id="rId14"/>
    <sheet state="visible" name="VerifyClosedTrades" sheetId="13" r:id="rId15"/>
    <sheet state="visible" name="VerifyWorkingSubs" sheetId="14" r:id="rId16"/>
    <sheet state="visible" name="GetDataAllocation" sheetId="15" r:id="rId17"/>
    <sheet state="visible" name="CheckAllocatedGroups" sheetId="16" r:id="rId18"/>
    <sheet state="visible" name="CheckPortfolioManagement1" sheetId="17" r:id="rId19"/>
  </sheets>
  <definedNames/>
  <calcPr/>
</workbook>
</file>

<file path=xl/sharedStrings.xml><?xml version="1.0" encoding="utf-8"?>
<sst xmlns="http://schemas.openxmlformats.org/spreadsheetml/2006/main" count="224" uniqueCount="49">
  <si>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</si>
  <si>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</si>
  <si>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</si>
  <si>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</si>
  <si>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</si>
  <si>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</si>
  <si>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</si>
  <si>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</si>
  <si>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</si>
  <si>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</si>
  <si>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</si>
  <si>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</si>
  <si>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</si>
  <si>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</si>
  <si>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</si>
  <si>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</si>
  <si>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EDV-TC</t>
  </si>
  <si>
    <t>Buy to Open</t>
  </si>
  <si>
    <t>Allocation1</t>
  </si>
  <si>
    <t>MS</t>
  </si>
  <si>
    <t>Allocation2</t>
  </si>
  <si>
    <t>PortfolioManagement</t>
  </si>
  <si>
    <t>CheckPortfolioManagement</t>
  </si>
  <si>
    <t>Equity</t>
  </si>
  <si>
    <t>US</t>
  </si>
  <si>
    <t>Long</t>
  </si>
  <si>
    <t>FilterPM</t>
  </si>
  <si>
    <t>Account</t>
  </si>
  <si>
    <t>ClosePositionFromPM</t>
  </si>
  <si>
    <t>Sell to Close</t>
  </si>
  <si>
    <t>Closing</t>
  </si>
  <si>
    <t>GetDataClosing</t>
  </si>
  <si>
    <t>Current</t>
  </si>
  <si>
    <t>VerifyShortPositionsGrid</t>
  </si>
  <si>
    <t>VerifyLongPositionsGrid</t>
  </si>
  <si>
    <t>AutomaticClosing</t>
  </si>
  <si>
    <t>FIFO</t>
  </si>
  <si>
    <t>None</t>
  </si>
  <si>
    <t>Default</t>
  </si>
  <si>
    <t>VerifyClosedTrades</t>
  </si>
  <si>
    <t>Blotter</t>
  </si>
  <si>
    <t>VerifyWorkingSubs</t>
  </si>
  <si>
    <t>Filled</t>
  </si>
  <si>
    <t>Allocation</t>
  </si>
  <si>
    <t>GetDataAllocation</t>
  </si>
  <si>
    <t>CheckAllocatedGroups</t>
  </si>
  <si>
    <t>Closed</t>
  </si>
  <si>
    <t>Market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</si>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</sst>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5" fillId="0" fontId="5" numFmtId="3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3" xfId="0" applyAlignment="1" applyFont="1" applyNumberForma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5" numFmtId="4" xfId="0" applyAlignment="1" applyBorder="1" applyFont="1" applyNumberFormat="1">
      <alignment horizontal="right" vertical="bottom"/>
    </xf>
    <xf borderId="0" fillId="0" fontId="5" numFmtId="4" xfId="0" applyAlignment="1" applyFont="1" applyNumberFormat="1">
      <alignment horizontal="right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1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IFERROR(__xludf.DUMMYFUNCTION("""COMPUTED_VALUE"""),"Borrow Quantity")</f>
        <v>Borrow Quantity</v>
      </c>
      <c r="AQ5" s="29" t="str">
        <f>IFERROR(__xludf.DUMMYFUNCTION("""COMPUTED_VALUE"""),"ShortLocate")</f>
        <v>ShortLocate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50000.0</v>
      </c>
      <c r="E6" s="34">
        <v>50000.0</v>
      </c>
      <c r="F6" s="35" t="s">
        <v>18</v>
      </c>
      <c r="G6" s="35" t="s">
        <v>19</v>
      </c>
      <c r="H6" s="35"/>
      <c r="I6" s="35"/>
      <c r="J6" s="34">
        <v>10.0</v>
      </c>
      <c r="K6" s="35"/>
      <c r="L6" s="35"/>
      <c r="M6" s="35"/>
      <c r="N6" s="35"/>
      <c r="O6" s="35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8"/>
      <c r="B7" s="38" t="s">
        <v>16</v>
      </c>
      <c r="C7" s="39" t="s">
        <v>17</v>
      </c>
      <c r="D7" s="40">
        <v>50000.0</v>
      </c>
      <c r="E7" s="40">
        <v>50000.0</v>
      </c>
      <c r="F7" s="38" t="s">
        <v>20</v>
      </c>
      <c r="G7" s="38" t="s">
        <v>19</v>
      </c>
      <c r="H7" s="38"/>
      <c r="I7" s="38"/>
      <c r="J7" s="40">
        <v>11.0</v>
      </c>
      <c r="K7" s="38"/>
      <c r="L7" s="38"/>
      <c r="M7" s="38"/>
      <c r="N7" s="38"/>
      <c r="O7" s="38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30"/>
      <c r="B6" s="31"/>
      <c r="C6" s="36" t="s">
        <v>16</v>
      </c>
      <c r="D6" s="41">
        <v>50000.0</v>
      </c>
      <c r="E6" s="36" t="s">
        <v>18</v>
      </c>
      <c r="F6" s="36"/>
      <c r="G6" s="34">
        <v>10.0</v>
      </c>
      <c r="H6" s="36"/>
      <c r="I6" s="36"/>
      <c r="J6" s="36"/>
      <c r="K6" s="36"/>
      <c r="L6" s="36"/>
      <c r="M6" s="36"/>
      <c r="N6" s="34">
        <v>0.0</v>
      </c>
      <c r="O6" s="36"/>
      <c r="P6" s="36"/>
      <c r="Q6" s="42">
        <v>0.0</v>
      </c>
      <c r="R6" s="36"/>
      <c r="S6" s="36"/>
      <c r="T6" s="37" t="s">
        <v>23</v>
      </c>
      <c r="U6" s="37" t="s">
        <v>24</v>
      </c>
      <c r="V6" s="37"/>
      <c r="W6" s="37"/>
      <c r="X6" s="37"/>
      <c r="Y6" s="37"/>
      <c r="Z6" s="37"/>
      <c r="AA6" s="37"/>
      <c r="AB6" s="43">
        <v>0.0</v>
      </c>
      <c r="AC6" s="37"/>
      <c r="AD6" s="43">
        <v>0.0</v>
      </c>
      <c r="AE6" s="43">
        <v>0.0</v>
      </c>
      <c r="AF6" s="44">
        <v>50000.0</v>
      </c>
      <c r="AG6" s="43">
        <v>0.0</v>
      </c>
      <c r="AH6" s="43">
        <v>0.0</v>
      </c>
      <c r="AI6" s="43">
        <v>0.0</v>
      </c>
      <c r="AJ6" s="43">
        <v>0.0</v>
      </c>
      <c r="AK6" s="44">
        <v>-500000.0</v>
      </c>
      <c r="AL6" s="43">
        <v>1.0</v>
      </c>
      <c r="AM6" s="37"/>
      <c r="AN6" s="45" t="s">
        <v>17</v>
      </c>
      <c r="AO6" s="37"/>
      <c r="AP6" s="37" t="s">
        <v>25</v>
      </c>
      <c r="AQ6" s="37" t="s">
        <v>16</v>
      </c>
      <c r="AR6" s="37"/>
      <c r="AS6" s="37"/>
      <c r="AT6" s="37"/>
      <c r="AU6" s="37"/>
      <c r="AV6" s="37"/>
      <c r="AW6" s="37"/>
      <c r="AX6" s="43">
        <v>0.0</v>
      </c>
      <c r="AY6" s="43">
        <v>0.0</v>
      </c>
      <c r="AZ6" s="43">
        <v>0.0</v>
      </c>
      <c r="BA6" s="37"/>
      <c r="BB6" s="37"/>
      <c r="BC6" s="37"/>
      <c r="BD6" s="44">
        <v>-500000.0</v>
      </c>
      <c r="BE6" s="37"/>
      <c r="BF6" s="37"/>
      <c r="BG6" s="37"/>
      <c r="BH6" s="37"/>
      <c r="BI6" s="37"/>
      <c r="BJ6" s="43">
        <v>0.0</v>
      </c>
      <c r="BK6" s="43">
        <v>0.0</v>
      </c>
      <c r="BL6" s="43">
        <v>0.0</v>
      </c>
      <c r="BM6" s="43">
        <v>0.0</v>
      </c>
      <c r="BN6" s="37"/>
      <c r="BO6" s="43">
        <v>0.0</v>
      </c>
      <c r="BP6" s="43">
        <v>0.0</v>
      </c>
      <c r="BQ6" s="37"/>
      <c r="BR6" s="37" t="s">
        <v>19</v>
      </c>
      <c r="BS6" s="43">
        <v>0.0</v>
      </c>
      <c r="BT6" s="43">
        <v>0.0</v>
      </c>
      <c r="BU6" s="37"/>
      <c r="BV6" s="37"/>
      <c r="BW6" s="43">
        <v>0.0</v>
      </c>
      <c r="BX6" s="43">
        <v>0.0</v>
      </c>
      <c r="BY6" s="43">
        <v>0.0</v>
      </c>
      <c r="BZ6" s="43">
        <v>0.0</v>
      </c>
      <c r="CA6" s="43">
        <v>0.0</v>
      </c>
      <c r="CB6" s="37"/>
      <c r="CC6" s="43">
        <v>0.0</v>
      </c>
      <c r="CD6" s="43">
        <v>0.0</v>
      </c>
      <c r="CE6" s="43">
        <v>0.0</v>
      </c>
      <c r="CF6" s="43">
        <v>0.0</v>
      </c>
      <c r="CG6" s="43">
        <v>0.0</v>
      </c>
      <c r="CH6" s="43">
        <v>0.0</v>
      </c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43">
        <v>0.0</v>
      </c>
      <c r="DF6" s="43">
        <v>0.0</v>
      </c>
      <c r="DG6" s="43">
        <v>0.0</v>
      </c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43">
        <v>0.0</v>
      </c>
      <c r="EH6" s="43">
        <v>0.0</v>
      </c>
      <c r="EI6" s="43">
        <v>0.0</v>
      </c>
      <c r="EJ6" s="43">
        <v>0.0</v>
      </c>
      <c r="EK6" s="43">
        <v>0.0</v>
      </c>
      <c r="EL6" s="37"/>
      <c r="EM6" s="43">
        <v>0.0</v>
      </c>
      <c r="EN6" s="43">
        <v>0.0</v>
      </c>
      <c r="EO6" s="43">
        <v>0.0</v>
      </c>
      <c r="EP6" s="37"/>
      <c r="EQ6" s="37"/>
      <c r="ER6" s="37"/>
      <c r="ES6" s="37"/>
      <c r="ET6" s="37"/>
      <c r="EU6" s="37"/>
      <c r="EV6" s="37"/>
      <c r="EW6" s="37"/>
      <c r="EX6" s="37"/>
      <c r="EY6" s="37"/>
      <c r="EZ6" s="37"/>
      <c r="FA6" s="37"/>
      <c r="FB6" s="37"/>
      <c r="FC6" s="37"/>
      <c r="FD6" s="37"/>
      <c r="FE6" s="37"/>
      <c r="FF6" s="37"/>
      <c r="FG6" s="37"/>
      <c r="FH6" s="37"/>
      <c r="FI6" s="37"/>
      <c r="FJ6" s="37"/>
      <c r="FK6" s="37"/>
      <c r="FL6" s="37"/>
    </row>
    <row r="7" ht="15.75" customHeight="1">
      <c r="A7" s="37"/>
      <c r="B7" s="37"/>
      <c r="C7" s="37" t="s">
        <v>16</v>
      </c>
      <c r="D7" s="46">
        <v>50000.0</v>
      </c>
      <c r="E7" s="37" t="s">
        <v>20</v>
      </c>
      <c r="F7" s="37"/>
      <c r="G7" s="40">
        <v>11.0</v>
      </c>
      <c r="H7" s="37"/>
      <c r="I7" s="37"/>
      <c r="J7" s="37"/>
      <c r="K7" s="37"/>
      <c r="L7" s="37"/>
      <c r="M7" s="37"/>
      <c r="N7" s="40">
        <v>0.0</v>
      </c>
      <c r="O7" s="37"/>
      <c r="P7" s="37"/>
      <c r="Q7" s="43">
        <v>0.0</v>
      </c>
      <c r="R7" s="37"/>
      <c r="S7" s="37"/>
      <c r="T7" s="37" t="s">
        <v>23</v>
      </c>
      <c r="U7" s="37" t="s">
        <v>24</v>
      </c>
      <c r="V7" s="37"/>
      <c r="W7" s="37"/>
      <c r="X7" s="37"/>
      <c r="Y7" s="37"/>
      <c r="Z7" s="37"/>
      <c r="AA7" s="37"/>
      <c r="AB7" s="43">
        <v>0.0</v>
      </c>
      <c r="AC7" s="37"/>
      <c r="AD7" s="43">
        <v>0.0</v>
      </c>
      <c r="AE7" s="43">
        <v>0.0</v>
      </c>
      <c r="AF7" s="44">
        <v>50000.0</v>
      </c>
      <c r="AG7" s="43">
        <v>0.0</v>
      </c>
      <c r="AH7" s="43">
        <v>0.0</v>
      </c>
      <c r="AI7" s="43">
        <v>0.0</v>
      </c>
      <c r="AJ7" s="43">
        <v>0.0</v>
      </c>
      <c r="AK7" s="44">
        <v>-550000.0</v>
      </c>
      <c r="AL7" s="43">
        <v>1.0</v>
      </c>
      <c r="AM7" s="37"/>
      <c r="AN7" s="45" t="s">
        <v>17</v>
      </c>
      <c r="AO7" s="37"/>
      <c r="AP7" s="37" t="s">
        <v>25</v>
      </c>
      <c r="AQ7" s="37" t="s">
        <v>16</v>
      </c>
      <c r="AR7" s="37"/>
      <c r="AS7" s="37"/>
      <c r="AT7" s="37"/>
      <c r="AU7" s="37"/>
      <c r="AV7" s="37"/>
      <c r="AW7" s="37"/>
      <c r="AX7" s="43">
        <v>0.0</v>
      </c>
      <c r="AY7" s="43">
        <v>0.0</v>
      </c>
      <c r="AZ7" s="43">
        <v>0.0</v>
      </c>
      <c r="BA7" s="37"/>
      <c r="BB7" s="37"/>
      <c r="BC7" s="37"/>
      <c r="BD7" s="44">
        <v>-550000.0</v>
      </c>
      <c r="BE7" s="37"/>
      <c r="BF7" s="37"/>
      <c r="BG7" s="37"/>
      <c r="BH7" s="37"/>
      <c r="BI7" s="37"/>
      <c r="BJ7" s="43">
        <v>0.0</v>
      </c>
      <c r="BK7" s="43">
        <v>0.0</v>
      </c>
      <c r="BL7" s="43">
        <v>0.0</v>
      </c>
      <c r="BM7" s="43">
        <v>0.0</v>
      </c>
      <c r="BN7" s="37"/>
      <c r="BO7" s="43">
        <v>0.0</v>
      </c>
      <c r="BP7" s="43">
        <v>0.0</v>
      </c>
      <c r="BQ7" s="37"/>
      <c r="BR7" s="37" t="s">
        <v>19</v>
      </c>
      <c r="BS7" s="43">
        <v>0.0</v>
      </c>
      <c r="BT7" s="43">
        <v>0.0</v>
      </c>
      <c r="BU7" s="37"/>
      <c r="BV7" s="37"/>
      <c r="BW7" s="43">
        <v>0.0</v>
      </c>
      <c r="BX7" s="43">
        <v>0.0</v>
      </c>
      <c r="BY7" s="43">
        <v>0.0</v>
      </c>
      <c r="BZ7" s="43">
        <v>0.0</v>
      </c>
      <c r="CA7" s="43">
        <v>0.0</v>
      </c>
      <c r="CB7" s="37"/>
      <c r="CC7" s="43">
        <v>0.0</v>
      </c>
      <c r="CD7" s="43">
        <v>0.0</v>
      </c>
      <c r="CE7" s="43">
        <v>0.0</v>
      </c>
      <c r="CF7" s="43">
        <v>0.0</v>
      </c>
      <c r="CG7" s="43">
        <v>0.0</v>
      </c>
      <c r="CH7" s="43">
        <v>0.0</v>
      </c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43">
        <v>0.0</v>
      </c>
      <c r="DF7" s="43">
        <v>0.0</v>
      </c>
      <c r="DG7" s="43">
        <v>0.0</v>
      </c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43">
        <v>0.0</v>
      </c>
      <c r="EH7" s="43">
        <v>0.0</v>
      </c>
      <c r="EI7" s="43">
        <v>0.0</v>
      </c>
      <c r="EJ7" s="43">
        <v>0.0</v>
      </c>
      <c r="EK7" s="43">
        <v>0.0</v>
      </c>
      <c r="EL7" s="37"/>
      <c r="EM7" s="43">
        <v>0.0</v>
      </c>
      <c r="EN7" s="43">
        <v>0.0</v>
      </c>
      <c r="EO7" s="43">
        <v>0.0</v>
      </c>
      <c r="EP7" s="37"/>
      <c r="EQ7" s="37"/>
      <c r="ER7" s="37"/>
      <c r="ES7" s="37"/>
      <c r="ET7" s="37"/>
      <c r="EU7" s="37"/>
      <c r="EV7" s="37"/>
      <c r="EW7" s="37"/>
      <c r="EX7" s="37"/>
      <c r="EY7" s="37"/>
      <c r="EZ7" s="37"/>
      <c r="FA7" s="37"/>
      <c r="FB7" s="37"/>
      <c r="FC7" s="37"/>
      <c r="FD7" s="37"/>
      <c r="FE7" s="37"/>
      <c r="FF7" s="37"/>
      <c r="FG7" s="37"/>
      <c r="FH7" s="37"/>
      <c r="FI7" s="37"/>
      <c r="FJ7" s="37"/>
      <c r="FK7" s="37"/>
      <c r="FL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IFERROR(__xludf.DUMMYFUNCTION("""COMPUTED_VALUE"""),"ColumnName")</f>
        <v>ColumnName</v>
      </c>
      <c r="C5" s="27" t="str">
        <f>IFERROR(__xludf.DUMMYFUNCTION("""COMPUTED_VALUE"""),"FilterList")</f>
        <v>FilterList</v>
      </c>
      <c r="D5" s="27" t="str">
        <f>IFERROR(__xludf.DUMMYFUNCTION("""COMPUTED_VALUE"""),"IsCustomViewTab")</f>
        <v>IsCustomViewTab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27</v>
      </c>
      <c r="C6" s="36" t="s">
        <v>18</v>
      </c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FilterPM!$4:$4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IFERROR(__xludf.DUMMYFUNCTION("""COMPUTED_VALUE"""),"Symbol")</f>
        <v>Symbol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6" t="s">
        <v>16</v>
      </c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ClosePositionFromPM!$4:$4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IFERROR(__xludf.DUMMYFUNCTION("""COMPUTED_VALUE"""),"Borrow Quantity")</f>
        <v>Borrow Quantity</v>
      </c>
      <c r="AQ5" s="29" t="str">
        <f>IFERROR(__xludf.DUMMYFUNCTION("""COMPUTED_VALUE"""),"ShortLocate")</f>
        <v>ShortLocate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47" t="s">
        <v>29</v>
      </c>
      <c r="D6" s="33">
        <v>50000.0</v>
      </c>
      <c r="E6" s="36"/>
      <c r="F6" s="36" t="s">
        <v>18</v>
      </c>
      <c r="G6" s="36" t="s">
        <v>19</v>
      </c>
      <c r="H6" s="36"/>
      <c r="I6" s="36"/>
      <c r="J6" s="34">
        <v>20.0</v>
      </c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32</v>
      </c>
      <c r="C6" s="36"/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6" t="s">
        <v>23</v>
      </c>
      <c r="D6" s="31"/>
      <c r="E6" s="36"/>
      <c r="F6" s="36"/>
      <c r="G6" s="36"/>
      <c r="H6" s="41">
        <v>1000000.0</v>
      </c>
      <c r="I6" s="34">
        <v>20.0</v>
      </c>
      <c r="J6" s="36"/>
      <c r="K6" s="36"/>
      <c r="L6" s="36"/>
      <c r="M6" s="41">
        <v>50000.0</v>
      </c>
      <c r="N6" s="36"/>
      <c r="O6" s="36"/>
      <c r="P6" s="47" t="s">
        <v>29</v>
      </c>
      <c r="Q6" s="36"/>
      <c r="R6" s="36" t="s">
        <v>16</v>
      </c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6" t="s">
        <v>23</v>
      </c>
      <c r="D6" s="31"/>
      <c r="E6" s="36"/>
      <c r="F6" s="36"/>
      <c r="G6" s="36"/>
      <c r="H6" s="48">
        <v>500000.0</v>
      </c>
      <c r="I6" s="34">
        <v>10.0</v>
      </c>
      <c r="J6" s="36"/>
      <c r="K6" s="36"/>
      <c r="L6" s="36"/>
      <c r="M6" s="48">
        <v>50000.0</v>
      </c>
      <c r="N6" s="36"/>
      <c r="O6" s="36"/>
      <c r="P6" s="47" t="s">
        <v>17</v>
      </c>
      <c r="Q6" s="36"/>
      <c r="R6" s="36" t="s">
        <v>16</v>
      </c>
      <c r="S6" s="36"/>
      <c r="T6" s="37"/>
      <c r="U6" s="37"/>
      <c r="V6" s="37"/>
      <c r="W6" s="37"/>
      <c r="X6" s="43">
        <v>10.0</v>
      </c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20</v>
      </c>
      <c r="C7" s="37" t="s">
        <v>23</v>
      </c>
      <c r="D7" s="37"/>
      <c r="E7" s="37"/>
      <c r="F7" s="37"/>
      <c r="G7" s="37"/>
      <c r="H7" s="46">
        <v>550000.0</v>
      </c>
      <c r="I7" s="40">
        <v>11.0</v>
      </c>
      <c r="J7" s="37"/>
      <c r="K7" s="37"/>
      <c r="L7" s="37"/>
      <c r="M7" s="49">
        <v>50000.0</v>
      </c>
      <c r="N7" s="37"/>
      <c r="O7" s="37"/>
      <c r="P7" s="45" t="s">
        <v>17</v>
      </c>
      <c r="Q7" s="37"/>
      <c r="R7" s="37" t="s">
        <v>16</v>
      </c>
      <c r="S7" s="37"/>
      <c r="T7" s="37"/>
      <c r="U7" s="37"/>
      <c r="V7" s="37"/>
      <c r="W7" s="37"/>
      <c r="X7" s="43">
        <v>11.0</v>
      </c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1zwv-aZp-DRCpq8bqLR0XRiyt0av-GAm0ORqbhnV-FKI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0" t="b">
        <v>0</v>
      </c>
      <c r="C6" s="51" t="b">
        <v>1</v>
      </c>
      <c r="D6" s="31" t="s">
        <v>36</v>
      </c>
      <c r="E6" s="36" t="s">
        <v>37</v>
      </c>
      <c r="F6" s="36" t="s">
        <v>38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6"/>
      <c r="D6" s="31" t="s">
        <v>18</v>
      </c>
      <c r="E6" s="36"/>
      <c r="F6" s="36" t="s">
        <v>25</v>
      </c>
      <c r="G6" s="36"/>
      <c r="H6" s="36" t="s">
        <v>16</v>
      </c>
      <c r="I6" s="41">
        <v>50000.0</v>
      </c>
      <c r="J6" s="34">
        <v>10.0</v>
      </c>
      <c r="K6" s="34">
        <v>20.0</v>
      </c>
      <c r="L6" s="34">
        <v>0.0</v>
      </c>
      <c r="M6" s="36"/>
      <c r="N6" s="36"/>
      <c r="O6" s="36"/>
      <c r="P6" s="42">
        <v>0.0</v>
      </c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IFERROR(__xludf.DUMMYFUNCTION("""COMPUTED_VALUE"""),"User")</f>
        <v>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47" t="s">
        <v>17</v>
      </c>
      <c r="D6" s="41">
        <v>50000.0</v>
      </c>
      <c r="E6" s="41">
        <v>50000.0</v>
      </c>
      <c r="F6" s="36"/>
      <c r="G6" s="36" t="s">
        <v>42</v>
      </c>
      <c r="H6" s="41">
        <v>50000.0</v>
      </c>
      <c r="I6" s="34">
        <v>10.0</v>
      </c>
      <c r="J6" s="34">
        <v>10.0</v>
      </c>
      <c r="K6" s="36" t="s">
        <v>19</v>
      </c>
      <c r="L6" s="36" t="s">
        <v>18</v>
      </c>
      <c r="M6" s="36"/>
      <c r="N6" s="36"/>
      <c r="O6" s="34">
        <v>0.0</v>
      </c>
      <c r="P6" s="36"/>
      <c r="Q6" s="36"/>
      <c r="R6" s="36"/>
      <c r="S6" s="36"/>
      <c r="T6" s="37"/>
      <c r="U6" s="37"/>
      <c r="V6" s="37"/>
      <c r="W6" s="45" t="s">
        <v>23</v>
      </c>
      <c r="X6" s="37"/>
      <c r="Y6" s="37"/>
      <c r="Z6" s="37"/>
      <c r="AA6" s="37"/>
      <c r="AB6" s="37"/>
      <c r="AC6" s="43">
        <v>0.0</v>
      </c>
      <c r="AD6" s="44">
        <v>500000.0</v>
      </c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16</v>
      </c>
      <c r="C7" s="47" t="s">
        <v>17</v>
      </c>
      <c r="D7" s="46">
        <v>50000.0</v>
      </c>
      <c r="E7" s="46">
        <v>50000.0</v>
      </c>
      <c r="F7" s="37"/>
      <c r="G7" s="37" t="s">
        <v>42</v>
      </c>
      <c r="H7" s="46">
        <v>50000.0</v>
      </c>
      <c r="I7" s="40">
        <v>11.0</v>
      </c>
      <c r="J7" s="40">
        <v>11.0</v>
      </c>
      <c r="K7" s="37" t="s">
        <v>19</v>
      </c>
      <c r="L7" s="37" t="s">
        <v>20</v>
      </c>
      <c r="M7" s="37"/>
      <c r="N7" s="37"/>
      <c r="O7" s="40">
        <v>0.0</v>
      </c>
      <c r="P7" s="37"/>
      <c r="Q7" s="37"/>
      <c r="R7" s="37"/>
      <c r="S7" s="37"/>
      <c r="T7" s="37"/>
      <c r="U7" s="37"/>
      <c r="V7" s="37"/>
      <c r="W7" s="45" t="s">
        <v>23</v>
      </c>
      <c r="X7" s="37"/>
      <c r="Y7" s="37"/>
      <c r="Z7" s="37"/>
      <c r="AA7" s="37"/>
      <c r="AB7" s="37"/>
      <c r="AC7" s="43">
        <v>0.0</v>
      </c>
      <c r="AD7" s="44">
        <v>550000.0</v>
      </c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 t="s">
        <v>16</v>
      </c>
      <c r="C8" s="45" t="s">
        <v>29</v>
      </c>
      <c r="D8" s="46">
        <v>50000.0</v>
      </c>
      <c r="E8" s="46">
        <v>50000.0</v>
      </c>
      <c r="F8" s="37"/>
      <c r="G8" s="37" t="s">
        <v>42</v>
      </c>
      <c r="H8" s="46">
        <v>50000.0</v>
      </c>
      <c r="I8" s="40">
        <v>20.0</v>
      </c>
      <c r="J8" s="40">
        <v>20.0</v>
      </c>
      <c r="K8" s="37" t="s">
        <v>19</v>
      </c>
      <c r="L8" s="37" t="s">
        <v>18</v>
      </c>
      <c r="M8" s="37"/>
      <c r="N8" s="37"/>
      <c r="O8" s="40">
        <v>0.0</v>
      </c>
      <c r="P8" s="37"/>
      <c r="Q8" s="37"/>
      <c r="R8" s="37"/>
      <c r="S8" s="37"/>
      <c r="T8" s="37"/>
      <c r="U8" s="37"/>
      <c r="V8" s="37"/>
      <c r="W8" s="45" t="s">
        <v>23</v>
      </c>
      <c r="X8" s="37"/>
      <c r="Y8" s="37"/>
      <c r="Z8" s="37"/>
      <c r="AA8" s="37"/>
      <c r="AB8" s="37"/>
      <c r="AC8" s="43">
        <v>0.0</v>
      </c>
      <c r="AD8" s="44">
        <v>-1000000.0</v>
      </c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32</v>
      </c>
      <c r="C6" s="8"/>
      <c r="D6" s="11"/>
      <c r="E6" s="5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6"/>
      <c r="D6" s="31"/>
      <c r="E6" s="41">
        <v>50000.0</v>
      </c>
      <c r="F6" s="36"/>
      <c r="G6" s="36" t="s">
        <v>23</v>
      </c>
      <c r="H6" s="34">
        <v>0.0</v>
      </c>
      <c r="I6" s="34">
        <v>0.0</v>
      </c>
      <c r="J6" s="36"/>
      <c r="K6" s="34">
        <v>0.0</v>
      </c>
      <c r="L6" s="34">
        <v>10.0</v>
      </c>
      <c r="M6" s="36"/>
      <c r="N6" s="36"/>
      <c r="O6" s="36" t="s">
        <v>19</v>
      </c>
      <c r="P6" s="36"/>
      <c r="Q6" s="36"/>
      <c r="R6" s="42">
        <v>0.0</v>
      </c>
      <c r="S6" s="36" t="s">
        <v>46</v>
      </c>
      <c r="T6" s="43">
        <v>0.0</v>
      </c>
      <c r="U6" s="37"/>
      <c r="V6" s="37"/>
      <c r="W6" s="37"/>
      <c r="X6" s="37"/>
      <c r="Y6" s="37"/>
      <c r="Z6" s="37"/>
      <c r="AA6" s="37"/>
      <c r="AB6" s="37"/>
      <c r="AC6" s="37"/>
      <c r="AD6" s="37"/>
      <c r="AE6" s="44">
        <v>50000.0</v>
      </c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43">
        <v>0.0</v>
      </c>
      <c r="AU6" s="44">
        <v>500000.0</v>
      </c>
      <c r="AV6" s="37"/>
      <c r="AW6" s="43">
        <v>0.0</v>
      </c>
      <c r="AX6" s="37"/>
      <c r="AY6" s="37" t="s">
        <v>47</v>
      </c>
      <c r="AZ6" s="43">
        <v>0.0</v>
      </c>
      <c r="BA6" s="37"/>
      <c r="BB6" s="37"/>
      <c r="BC6" s="43">
        <v>0.0</v>
      </c>
      <c r="BD6" s="37"/>
      <c r="BE6" s="43">
        <v>0.0</v>
      </c>
      <c r="BF6" s="44">
        <v>500000.0</v>
      </c>
      <c r="BG6" s="37"/>
      <c r="BH6" s="37"/>
      <c r="BI6" s="37"/>
      <c r="BJ6" s="44">
        <v>50000.0</v>
      </c>
      <c r="BK6" s="43">
        <v>0.0</v>
      </c>
      <c r="BL6" s="37"/>
      <c r="BM6" s="37"/>
      <c r="BN6" s="37"/>
      <c r="BO6" s="45" t="s">
        <v>17</v>
      </c>
      <c r="BP6" s="37"/>
      <c r="BQ6" s="37"/>
      <c r="BR6" s="37"/>
      <c r="BS6" s="37"/>
      <c r="BT6" s="37" t="s">
        <v>16</v>
      </c>
      <c r="BU6" s="37"/>
      <c r="BV6" s="37"/>
      <c r="BW6" s="43">
        <v>0.0</v>
      </c>
      <c r="BX6" s="37"/>
      <c r="BY6" s="37"/>
      <c r="BZ6" s="37"/>
      <c r="CA6" s="37"/>
      <c r="CB6" s="37"/>
      <c r="CC6" s="37"/>
      <c r="CD6" s="37"/>
      <c r="CE6" s="37"/>
      <c r="CF6" s="37"/>
      <c r="CG6" s="43">
        <v>0.0</v>
      </c>
      <c r="CH6" s="37"/>
      <c r="CI6" s="37"/>
      <c r="CJ6" s="43">
        <v>0.0</v>
      </c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20</v>
      </c>
      <c r="C7" s="37"/>
      <c r="D7" s="37"/>
      <c r="E7" s="46">
        <v>50000.0</v>
      </c>
      <c r="F7" s="37"/>
      <c r="G7" s="37" t="s">
        <v>23</v>
      </c>
      <c r="H7" s="40">
        <v>0.0</v>
      </c>
      <c r="I7" s="40">
        <v>0.0</v>
      </c>
      <c r="J7" s="37"/>
      <c r="K7" s="40">
        <v>0.0</v>
      </c>
      <c r="L7" s="40">
        <v>11.0</v>
      </c>
      <c r="M7" s="37"/>
      <c r="N7" s="37"/>
      <c r="O7" s="37" t="s">
        <v>19</v>
      </c>
      <c r="P7" s="37"/>
      <c r="Q7" s="37"/>
      <c r="R7" s="43">
        <v>0.0</v>
      </c>
      <c r="S7" s="37" t="s">
        <v>48</v>
      </c>
      <c r="T7" s="43">
        <v>0.0</v>
      </c>
      <c r="U7" s="37"/>
      <c r="V7" s="37"/>
      <c r="W7" s="37"/>
      <c r="X7" s="37"/>
      <c r="Y7" s="37"/>
      <c r="Z7" s="37"/>
      <c r="AA7" s="37"/>
      <c r="AB7" s="37"/>
      <c r="AC7" s="37"/>
      <c r="AD7" s="37"/>
      <c r="AE7" s="44">
        <v>50000.0</v>
      </c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43">
        <v>0.0</v>
      </c>
      <c r="AU7" s="44">
        <v>550000.0</v>
      </c>
      <c r="AV7" s="37"/>
      <c r="AW7" s="43">
        <v>0.0</v>
      </c>
      <c r="AX7" s="37"/>
      <c r="AY7" s="37" t="s">
        <v>47</v>
      </c>
      <c r="AZ7" s="43">
        <v>0.0</v>
      </c>
      <c r="BA7" s="37"/>
      <c r="BB7" s="37"/>
      <c r="BC7" s="43">
        <v>0.0</v>
      </c>
      <c r="BD7" s="37"/>
      <c r="BE7" s="43">
        <v>0.0</v>
      </c>
      <c r="BF7" s="44">
        <v>550000.0</v>
      </c>
      <c r="BG7" s="37"/>
      <c r="BH7" s="37"/>
      <c r="BI7" s="37"/>
      <c r="BJ7" s="44">
        <v>50000.0</v>
      </c>
      <c r="BK7" s="43">
        <v>0.0</v>
      </c>
      <c r="BL7" s="37"/>
      <c r="BM7" s="37"/>
      <c r="BN7" s="37"/>
      <c r="BO7" s="45" t="s">
        <v>17</v>
      </c>
      <c r="BP7" s="37"/>
      <c r="BQ7" s="37"/>
      <c r="BR7" s="37"/>
      <c r="BS7" s="37"/>
      <c r="BT7" s="37" t="s">
        <v>16</v>
      </c>
      <c r="BU7" s="37"/>
      <c r="BV7" s="37"/>
      <c r="BW7" s="43">
        <v>0.0</v>
      </c>
      <c r="BX7" s="37"/>
      <c r="BY7" s="37"/>
      <c r="BZ7" s="37"/>
      <c r="CA7" s="37"/>
      <c r="CB7" s="37"/>
      <c r="CC7" s="37"/>
      <c r="CD7" s="37"/>
      <c r="CE7" s="37"/>
      <c r="CF7" s="37"/>
      <c r="CG7" s="43">
        <v>0.0</v>
      </c>
      <c r="CH7" s="37"/>
      <c r="CI7" s="37"/>
      <c r="CJ7" s="43">
        <v>0.0</v>
      </c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 t="s">
        <v>18</v>
      </c>
      <c r="C8" s="37"/>
      <c r="D8" s="37"/>
      <c r="E8" s="46">
        <v>50000.0</v>
      </c>
      <c r="F8" s="37"/>
      <c r="G8" s="37" t="s">
        <v>23</v>
      </c>
      <c r="H8" s="40">
        <v>0.0</v>
      </c>
      <c r="I8" s="40">
        <v>0.0</v>
      </c>
      <c r="J8" s="37"/>
      <c r="K8" s="40">
        <v>0.0</v>
      </c>
      <c r="L8" s="40">
        <v>20.0</v>
      </c>
      <c r="M8" s="37"/>
      <c r="N8" s="37"/>
      <c r="O8" s="37" t="s">
        <v>19</v>
      </c>
      <c r="P8" s="37"/>
      <c r="Q8" s="37"/>
      <c r="R8" s="43">
        <v>0.0</v>
      </c>
      <c r="S8" s="37" t="s">
        <v>46</v>
      </c>
      <c r="T8" s="43">
        <v>0.0</v>
      </c>
      <c r="U8" s="37"/>
      <c r="V8" s="37"/>
      <c r="W8" s="37"/>
      <c r="X8" s="37"/>
      <c r="Y8" s="37"/>
      <c r="Z8" s="37"/>
      <c r="AA8" s="37"/>
      <c r="AB8" s="37"/>
      <c r="AC8" s="37"/>
      <c r="AD8" s="37"/>
      <c r="AE8" s="44">
        <v>50000.0</v>
      </c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43">
        <v>0.0</v>
      </c>
      <c r="AU8" s="44">
        <v>1000000.0</v>
      </c>
      <c r="AV8" s="37"/>
      <c r="AW8" s="43">
        <v>0.0</v>
      </c>
      <c r="AX8" s="37"/>
      <c r="AY8" s="37" t="s">
        <v>47</v>
      </c>
      <c r="AZ8" s="43">
        <v>0.0</v>
      </c>
      <c r="BA8" s="37"/>
      <c r="BB8" s="37"/>
      <c r="BC8" s="43">
        <v>0.0</v>
      </c>
      <c r="BD8" s="37"/>
      <c r="BE8" s="43">
        <v>0.0</v>
      </c>
      <c r="BF8" s="44">
        <v>1000000.0</v>
      </c>
      <c r="BG8" s="37"/>
      <c r="BH8" s="37"/>
      <c r="BI8" s="37"/>
      <c r="BJ8" s="44">
        <v>50000.0</v>
      </c>
      <c r="BK8" s="43">
        <v>0.0</v>
      </c>
      <c r="BL8" s="37"/>
      <c r="BM8" s="37"/>
      <c r="BN8" s="37"/>
      <c r="BO8" s="45" t="s">
        <v>29</v>
      </c>
      <c r="BP8" s="37"/>
      <c r="BQ8" s="37"/>
      <c r="BR8" s="37"/>
      <c r="BS8" s="37"/>
      <c r="BT8" s="37" t="s">
        <v>16</v>
      </c>
      <c r="BU8" s="37"/>
      <c r="BV8" s="37"/>
      <c r="BW8" s="43">
        <v>0.0</v>
      </c>
      <c r="BX8" s="37"/>
      <c r="BY8" s="37"/>
      <c r="BZ8" s="37"/>
      <c r="CA8" s="37"/>
      <c r="CB8" s="37"/>
      <c r="CC8" s="37"/>
      <c r="CD8" s="37"/>
      <c r="CE8" s="37"/>
      <c r="CF8" s="37"/>
      <c r="CG8" s="43">
        <v>0.0</v>
      </c>
      <c r="CH8" s="37"/>
      <c r="CI8" s="37"/>
      <c r="CJ8" s="43">
        <v>0.0</v>
      </c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30"/>
      <c r="B6" s="31"/>
      <c r="C6" s="35" t="s">
        <v>16</v>
      </c>
      <c r="D6" s="41">
        <v>50000.0</v>
      </c>
      <c r="E6" s="35" t="s">
        <v>18</v>
      </c>
      <c r="F6" s="36"/>
      <c r="G6" s="34">
        <v>10.0</v>
      </c>
      <c r="H6" s="36"/>
      <c r="I6" s="36"/>
      <c r="J6" s="36"/>
      <c r="K6" s="34">
        <v>0.0</v>
      </c>
      <c r="L6" s="36"/>
      <c r="M6" s="36"/>
      <c r="N6" s="34">
        <v>0.0</v>
      </c>
      <c r="O6" s="36"/>
      <c r="P6" s="36"/>
      <c r="Q6" s="42">
        <v>0.0</v>
      </c>
      <c r="R6" s="36"/>
      <c r="S6" s="36"/>
      <c r="T6" s="37" t="s">
        <v>23</v>
      </c>
      <c r="U6" s="37" t="s">
        <v>24</v>
      </c>
      <c r="V6" s="37"/>
      <c r="W6" s="37"/>
      <c r="X6" s="37"/>
      <c r="Y6" s="37"/>
      <c r="Z6" s="37"/>
      <c r="AA6" s="37"/>
      <c r="AB6" s="43">
        <v>0.0</v>
      </c>
      <c r="AC6" s="37"/>
      <c r="AD6" s="43">
        <v>0.0</v>
      </c>
      <c r="AE6" s="43">
        <v>0.0</v>
      </c>
      <c r="AF6" s="44">
        <v>50000.0</v>
      </c>
      <c r="AG6" s="43">
        <v>0.0</v>
      </c>
      <c r="AH6" s="43">
        <v>0.0</v>
      </c>
      <c r="AI6" s="43">
        <v>0.0</v>
      </c>
      <c r="AJ6" s="43">
        <v>0.0</v>
      </c>
      <c r="AK6" s="44">
        <v>-500000.0</v>
      </c>
      <c r="AL6" s="43">
        <v>1.0</v>
      </c>
      <c r="AM6" s="37"/>
      <c r="AN6" s="45" t="s">
        <v>17</v>
      </c>
      <c r="AO6" s="37"/>
      <c r="AP6" s="37" t="s">
        <v>25</v>
      </c>
      <c r="AQ6" s="37" t="s">
        <v>16</v>
      </c>
      <c r="AR6" s="37"/>
      <c r="AS6" s="37"/>
      <c r="AT6" s="37"/>
      <c r="AU6" s="37"/>
      <c r="AV6" s="37"/>
      <c r="AW6" s="37"/>
      <c r="AX6" s="43">
        <v>0.0</v>
      </c>
      <c r="AY6" s="43">
        <v>0.0</v>
      </c>
      <c r="AZ6" s="43">
        <v>0.0</v>
      </c>
      <c r="BA6" s="37"/>
      <c r="BB6" s="37"/>
      <c r="BC6" s="37"/>
      <c r="BD6" s="44">
        <v>-500000.0</v>
      </c>
      <c r="BE6" s="37"/>
      <c r="BF6" s="37"/>
      <c r="BG6" s="37"/>
      <c r="BH6" s="37"/>
      <c r="BI6" s="37"/>
      <c r="BJ6" s="43">
        <v>0.0</v>
      </c>
      <c r="BK6" s="43">
        <v>0.0</v>
      </c>
      <c r="BL6" s="43">
        <v>0.0</v>
      </c>
      <c r="BM6" s="43">
        <v>0.0</v>
      </c>
      <c r="BN6" s="37"/>
      <c r="BO6" s="43">
        <v>0.0</v>
      </c>
      <c r="BP6" s="43">
        <v>0.0</v>
      </c>
      <c r="BQ6" s="37"/>
      <c r="BR6" s="37" t="s">
        <v>19</v>
      </c>
      <c r="BS6" s="43">
        <v>0.0</v>
      </c>
      <c r="BT6" s="43">
        <v>0.0</v>
      </c>
      <c r="BU6" s="37"/>
      <c r="BV6" s="37"/>
      <c r="BW6" s="43">
        <v>0.0</v>
      </c>
      <c r="BX6" s="43">
        <v>0.0</v>
      </c>
      <c r="BY6" s="43">
        <v>0.0</v>
      </c>
      <c r="BZ6" s="43">
        <v>0.0</v>
      </c>
      <c r="CA6" s="43">
        <v>0.0</v>
      </c>
      <c r="CB6" s="37"/>
      <c r="CC6" s="43">
        <v>0.0</v>
      </c>
      <c r="CD6" s="43">
        <v>0.0</v>
      </c>
      <c r="CE6" s="43">
        <v>0.0</v>
      </c>
      <c r="CF6" s="43">
        <v>0.0</v>
      </c>
      <c r="CG6" s="43">
        <v>0.0</v>
      </c>
      <c r="CH6" s="43">
        <v>0.0</v>
      </c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43">
        <v>0.0</v>
      </c>
      <c r="DF6" s="43">
        <v>0.0</v>
      </c>
      <c r="DG6" s="43">
        <v>0.0</v>
      </c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43">
        <v>0.0</v>
      </c>
      <c r="EH6" s="43">
        <v>0.0</v>
      </c>
      <c r="EI6" s="43">
        <v>0.0</v>
      </c>
      <c r="EJ6" s="43">
        <v>0.0</v>
      </c>
      <c r="EK6" s="43">
        <v>0.0</v>
      </c>
      <c r="EL6" s="37"/>
      <c r="EM6" s="43">
        <v>0.0</v>
      </c>
      <c r="EN6" s="43">
        <v>0.0</v>
      </c>
      <c r="EO6" s="43">
        <v>0.0</v>
      </c>
      <c r="EP6" s="37"/>
      <c r="EQ6" s="37"/>
      <c r="ER6" s="37"/>
      <c r="ES6" s="37"/>
      <c r="ET6" s="37"/>
      <c r="EU6" s="37"/>
      <c r="EV6" s="37"/>
      <c r="EW6" s="37"/>
      <c r="EX6" s="37"/>
      <c r="EY6" s="37"/>
      <c r="EZ6" s="37"/>
      <c r="FA6" s="37"/>
      <c r="FB6" s="37"/>
      <c r="FC6" s="37"/>
      <c r="FD6" s="37"/>
      <c r="FE6" s="37"/>
      <c r="FF6" s="37"/>
      <c r="FG6" s="37"/>
      <c r="FH6" s="37"/>
      <c r="FI6" s="37"/>
      <c r="FJ6" s="37"/>
      <c r="FK6" s="37"/>
      <c r="FL6" s="37"/>
    </row>
    <row r="7" ht="15.75" customHeight="1">
      <c r="A7" s="37"/>
      <c r="B7" s="37"/>
      <c r="C7" s="38" t="s">
        <v>16</v>
      </c>
      <c r="D7" s="46">
        <v>50000.0</v>
      </c>
      <c r="E7" s="38" t="s">
        <v>20</v>
      </c>
      <c r="F7" s="37"/>
      <c r="G7" s="40">
        <v>11.0</v>
      </c>
      <c r="H7" s="37"/>
      <c r="I7" s="37"/>
      <c r="J7" s="37"/>
      <c r="K7" s="40">
        <v>0.0</v>
      </c>
      <c r="L7" s="37"/>
      <c r="M7" s="37"/>
      <c r="N7" s="40">
        <v>0.0</v>
      </c>
      <c r="O7" s="37"/>
      <c r="P7" s="37"/>
      <c r="Q7" s="43">
        <v>0.0</v>
      </c>
      <c r="R7" s="37"/>
      <c r="S7" s="37"/>
      <c r="T7" s="37" t="s">
        <v>23</v>
      </c>
      <c r="U7" s="37" t="s">
        <v>24</v>
      </c>
      <c r="V7" s="37"/>
      <c r="W7" s="37"/>
      <c r="X7" s="37"/>
      <c r="Y7" s="37"/>
      <c r="Z7" s="37"/>
      <c r="AA7" s="37"/>
      <c r="AB7" s="43">
        <v>0.0</v>
      </c>
      <c r="AC7" s="37"/>
      <c r="AD7" s="43">
        <v>0.0</v>
      </c>
      <c r="AE7" s="43">
        <v>0.0</v>
      </c>
      <c r="AF7" s="44">
        <v>50000.0</v>
      </c>
      <c r="AG7" s="43">
        <v>0.0</v>
      </c>
      <c r="AH7" s="43">
        <v>0.0</v>
      </c>
      <c r="AI7" s="43">
        <v>0.0</v>
      </c>
      <c r="AJ7" s="43">
        <v>0.0</v>
      </c>
      <c r="AK7" s="44">
        <v>-550000.0</v>
      </c>
      <c r="AL7" s="43">
        <v>1.0</v>
      </c>
      <c r="AM7" s="37"/>
      <c r="AN7" s="45" t="s">
        <v>17</v>
      </c>
      <c r="AO7" s="37"/>
      <c r="AP7" s="37" t="s">
        <v>25</v>
      </c>
      <c r="AQ7" s="37" t="s">
        <v>16</v>
      </c>
      <c r="AR7" s="37"/>
      <c r="AS7" s="37"/>
      <c r="AT7" s="37"/>
      <c r="AU7" s="37"/>
      <c r="AV7" s="37"/>
      <c r="AW7" s="37"/>
      <c r="AX7" s="43">
        <v>0.0</v>
      </c>
      <c r="AY7" s="43">
        <v>0.0</v>
      </c>
      <c r="AZ7" s="43">
        <v>0.0</v>
      </c>
      <c r="BA7" s="37"/>
      <c r="BB7" s="37"/>
      <c r="BC7" s="37"/>
      <c r="BD7" s="44">
        <v>-550000.0</v>
      </c>
      <c r="BE7" s="37"/>
      <c r="BF7" s="37"/>
      <c r="BG7" s="37"/>
      <c r="BH7" s="37"/>
      <c r="BI7" s="37"/>
      <c r="BJ7" s="43">
        <v>0.0</v>
      </c>
      <c r="BK7" s="43">
        <v>0.0</v>
      </c>
      <c r="BL7" s="43">
        <v>0.0</v>
      </c>
      <c r="BM7" s="43">
        <v>0.0</v>
      </c>
      <c r="BN7" s="37"/>
      <c r="BO7" s="43">
        <v>0.0</v>
      </c>
      <c r="BP7" s="43">
        <v>0.0</v>
      </c>
      <c r="BQ7" s="37"/>
      <c r="BR7" s="37" t="s">
        <v>19</v>
      </c>
      <c r="BS7" s="43">
        <v>0.0</v>
      </c>
      <c r="BT7" s="43">
        <v>0.0</v>
      </c>
      <c r="BU7" s="37"/>
      <c r="BV7" s="37"/>
      <c r="BW7" s="43">
        <v>0.0</v>
      </c>
      <c r="BX7" s="43">
        <v>0.0</v>
      </c>
      <c r="BY7" s="43">
        <v>0.0</v>
      </c>
      <c r="BZ7" s="43">
        <v>0.0</v>
      </c>
      <c r="CA7" s="43">
        <v>0.0</v>
      </c>
      <c r="CB7" s="37"/>
      <c r="CC7" s="43">
        <v>0.0</v>
      </c>
      <c r="CD7" s="43">
        <v>0.0</v>
      </c>
      <c r="CE7" s="43">
        <v>0.0</v>
      </c>
      <c r="CF7" s="43">
        <v>0.0</v>
      </c>
      <c r="CG7" s="43">
        <v>0.0</v>
      </c>
      <c r="CH7" s="43">
        <v>0.0</v>
      </c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43">
        <v>0.0</v>
      </c>
      <c r="DF7" s="43">
        <v>0.0</v>
      </c>
      <c r="DG7" s="43">
        <v>0.0</v>
      </c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43">
        <v>0.0</v>
      </c>
      <c r="EH7" s="43">
        <v>0.0</v>
      </c>
      <c r="EI7" s="43">
        <v>0.0</v>
      </c>
      <c r="EJ7" s="43">
        <v>0.0</v>
      </c>
      <c r="EK7" s="43">
        <v>0.0</v>
      </c>
      <c r="EL7" s="37"/>
      <c r="EM7" s="43">
        <v>0.0</v>
      </c>
      <c r="EN7" s="43">
        <v>0.0</v>
      </c>
      <c r="EO7" s="43">
        <v>0.0</v>
      </c>
      <c r="EP7" s="37"/>
      <c r="EQ7" s="37"/>
      <c r="ER7" s="37"/>
      <c r="ES7" s="37"/>
      <c r="ET7" s="37"/>
      <c r="EU7" s="37"/>
      <c r="EV7" s="37"/>
      <c r="EW7" s="37"/>
      <c r="EX7" s="37"/>
      <c r="EY7" s="37"/>
      <c r="EZ7" s="37"/>
      <c r="FA7" s="37"/>
      <c r="FB7" s="37"/>
      <c r="FC7" s="37"/>
      <c r="FD7" s="37"/>
      <c r="FE7" s="37"/>
      <c r="FF7" s="37"/>
      <c r="FG7" s="37"/>
      <c r="FH7" s="37"/>
      <c r="FI7" s="37"/>
      <c r="FJ7" s="37"/>
      <c r="FK7" s="37"/>
      <c r="FL7" s="37"/>
    </row>
    <row r="8" ht="15.75" customHeight="1">
      <c r="A8" s="37"/>
      <c r="B8" s="37"/>
      <c r="C8" s="37" t="s">
        <v>16</v>
      </c>
      <c r="D8" s="46">
        <v>-50000.0</v>
      </c>
      <c r="E8" s="37" t="s">
        <v>18</v>
      </c>
      <c r="F8" s="37"/>
      <c r="G8" s="40">
        <v>20.0</v>
      </c>
      <c r="H8" s="37"/>
      <c r="I8" s="37"/>
      <c r="J8" s="37"/>
      <c r="K8" s="40">
        <v>0.0</v>
      </c>
      <c r="L8" s="37"/>
      <c r="M8" s="37"/>
      <c r="N8" s="40">
        <v>0.0</v>
      </c>
      <c r="O8" s="37"/>
      <c r="P8" s="37"/>
      <c r="Q8" s="43">
        <v>0.0</v>
      </c>
      <c r="R8" s="37"/>
      <c r="S8" s="37"/>
      <c r="T8" s="37" t="s">
        <v>23</v>
      </c>
      <c r="U8" s="37" t="s">
        <v>24</v>
      </c>
      <c r="V8" s="37"/>
      <c r="W8" s="37"/>
      <c r="X8" s="37"/>
      <c r="Y8" s="37"/>
      <c r="Z8" s="37"/>
      <c r="AA8" s="37"/>
      <c r="AB8" s="43">
        <v>0.0</v>
      </c>
      <c r="AC8" s="37"/>
      <c r="AD8" s="43">
        <v>0.0</v>
      </c>
      <c r="AE8" s="43">
        <v>0.0</v>
      </c>
      <c r="AF8" s="44">
        <v>-50000.0</v>
      </c>
      <c r="AG8" s="43">
        <v>0.0</v>
      </c>
      <c r="AH8" s="43">
        <v>0.0</v>
      </c>
      <c r="AI8" s="43">
        <v>0.0</v>
      </c>
      <c r="AJ8" s="43">
        <v>0.0</v>
      </c>
      <c r="AK8" s="44">
        <v>1000000.0</v>
      </c>
      <c r="AL8" s="43">
        <v>1.0</v>
      </c>
      <c r="AM8" s="37"/>
      <c r="AN8" s="45" t="s">
        <v>29</v>
      </c>
      <c r="AO8" s="37"/>
      <c r="AP8" s="37" t="s">
        <v>25</v>
      </c>
      <c r="AQ8" s="37" t="s">
        <v>16</v>
      </c>
      <c r="AR8" s="37"/>
      <c r="AS8" s="37"/>
      <c r="AT8" s="37"/>
      <c r="AU8" s="37"/>
      <c r="AV8" s="37"/>
      <c r="AW8" s="37"/>
      <c r="AX8" s="43">
        <v>0.0</v>
      </c>
      <c r="AY8" s="43">
        <v>0.0</v>
      </c>
      <c r="AZ8" s="43">
        <v>0.0</v>
      </c>
      <c r="BA8" s="37"/>
      <c r="BB8" s="37"/>
      <c r="BC8" s="37"/>
      <c r="BD8" s="44">
        <v>1000000.0</v>
      </c>
      <c r="BE8" s="37"/>
      <c r="BF8" s="37"/>
      <c r="BG8" s="37"/>
      <c r="BH8" s="37"/>
      <c r="BI8" s="37"/>
      <c r="BJ8" s="43">
        <v>0.0</v>
      </c>
      <c r="BK8" s="43">
        <v>0.0</v>
      </c>
      <c r="BL8" s="43">
        <v>0.0</v>
      </c>
      <c r="BM8" s="43">
        <v>0.0</v>
      </c>
      <c r="BN8" s="37"/>
      <c r="BO8" s="43">
        <v>0.0</v>
      </c>
      <c r="BP8" s="43">
        <v>0.0</v>
      </c>
      <c r="BQ8" s="37"/>
      <c r="BR8" s="37" t="s">
        <v>19</v>
      </c>
      <c r="BS8" s="43">
        <v>0.0</v>
      </c>
      <c r="BT8" s="43">
        <v>0.0</v>
      </c>
      <c r="BU8" s="37"/>
      <c r="BV8" s="37"/>
      <c r="BW8" s="43">
        <v>0.0</v>
      </c>
      <c r="BX8" s="43">
        <v>0.0</v>
      </c>
      <c r="BY8" s="43">
        <v>0.0</v>
      </c>
      <c r="BZ8" s="43">
        <v>0.0</v>
      </c>
      <c r="CA8" s="43">
        <v>0.0</v>
      </c>
      <c r="CB8" s="37"/>
      <c r="CC8" s="43">
        <v>0.0</v>
      </c>
      <c r="CD8" s="43">
        <v>0.0</v>
      </c>
      <c r="CE8" s="43">
        <v>0.0</v>
      </c>
      <c r="CF8" s="43">
        <v>0.0</v>
      </c>
      <c r="CG8" s="43">
        <v>0.0</v>
      </c>
      <c r="CH8" s="43">
        <v>0.0</v>
      </c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43">
        <v>0.0</v>
      </c>
      <c r="DF8" s="43">
        <v>0.0</v>
      </c>
      <c r="DG8" s="43">
        <v>0.0</v>
      </c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43">
        <v>0.0</v>
      </c>
      <c r="EH8" s="43">
        <v>0.0</v>
      </c>
      <c r="EI8" s="43">
        <v>0.0</v>
      </c>
      <c r="EJ8" s="43">
        <v>0.0</v>
      </c>
      <c r="EK8" s="43">
        <v>0.0</v>
      </c>
      <c r="EL8" s="37"/>
      <c r="EM8" s="43">
        <v>0.0</v>
      </c>
      <c r="EN8" s="43">
        <v>0.0</v>
      </c>
      <c r="EO8" s="43">
        <v>0.0</v>
      </c>
      <c r="EP8" s="37"/>
      <c r="EQ8" s="37"/>
      <c r="ER8" s="37"/>
      <c r="ES8" s="37"/>
      <c r="ET8" s="37"/>
      <c r="EU8" s="37"/>
      <c r="EV8" s="37"/>
      <c r="EW8" s="37"/>
      <c r="EX8" s="37"/>
      <c r="EY8" s="37"/>
      <c r="EZ8" s="37"/>
      <c r="FA8" s="37"/>
      <c r="FB8" s="37"/>
      <c r="FC8" s="37"/>
      <c r="FD8" s="37"/>
      <c r="FE8" s="37"/>
      <c r="FF8" s="37"/>
      <c r="FG8" s="37"/>
      <c r="FH8" s="37"/>
      <c r="FI8" s="37"/>
      <c r="FJ8" s="37"/>
      <c r="FK8" s="37"/>
      <c r="FL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