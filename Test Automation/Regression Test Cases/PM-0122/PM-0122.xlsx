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ettings" sheetId="1" r:id="rId3"/>
    <sheet state="visible" name="_Modules" sheetId="2" r:id="rId4"/>
    <sheet state="visible" name="_MasterData" sheetId="3" r:id="rId5"/>
    <sheet state="visible" name="CreateDoneAwayOrder" sheetId="4" r:id="rId6"/>
    <sheet state="visible" name="GroupRowPM" sheetId="5" r:id="rId7"/>
    <sheet state="visible" name="ClosePositionFromPM" sheetId="6" r:id="rId8"/>
    <sheet state="visible" name="CreateDoneAwayOrder1" sheetId="7" r:id="rId9"/>
    <sheet state="visible" name="GetDataClosing" sheetId="8" r:id="rId10"/>
    <sheet state="visible" name="ManualClosing" sheetId="9" r:id="rId11"/>
    <sheet state="visible" name="ManualClosing1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<sst xmlns="http://schemas.openxmlformats.org/spreadsheetml/2006/main" count="204" uniqueCount="41">
  <si>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</si>
  <si>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</si>
  <si>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</si>
  <si>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</si>
  <si>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</si>
  <si>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Modules Info</t>
  </si>
  <si>
    <t>Modules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</si>
  <si>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</si>
  <si>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</si>
  <si>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</si>
  <si>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</si>
  <si>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</si>
  <si>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</si>
  <si>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</si>
  <si>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</si>
  <si>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</si>
  <si>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</si>
  <si>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</si>
  <si>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</si>
  <si>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</si>
  <si>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Allocation2</t>
  </si>
  <si>
    <t>PortfolioManagement</t>
  </si>
  <si>
    <t>GroupRowPM</t>
  </si>
  <si>
    <t>Symbol</t>
  </si>
  <si>
    <t>ClosePositionFromPM</t>
  </si>
  <si>
    <t>Sell</t>
  </si>
  <si>
    <t>Closing</t>
  </si>
  <si>
    <t>GetDataClosing</t>
  </si>
  <si>
    <t>Current</t>
  </si>
  <si>
    <t>ManualClosing</t>
  </si>
  <si>
    <t>Equity</t>
  </si>
  <si>
    <t>Blotter</t>
  </si>
  <si>
    <t>VerifyOrder</t>
  </si>
  <si>
    <t>Filled</t>
  </si>
  <si>
    <t>Market</t>
  </si>
  <si>
    <t>Allocation</t>
  </si>
  <si>
    <t>GetDataAllocation</t>
  </si>
  <si>
    <t>CheckAllocatedGroups</t>
  </si>
  <si>
    <t>Closed</t>
  </si>
  <si>
    <t>CheckPortfolioManagement</t>
  </si>
  <si>
    <t>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</si>
</sst>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/>
      <right/>
      <top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14" xfId="0" applyAlignment="1" applyFont="1" applyNumberFormat="1">
      <alignment shrinkToFit="0" wrapText="0"/>
    </xf>
    <xf borderId="0" fillId="0" fontId="3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  <xf borderId="0" fillId="4" fontId="13" numFmtId="0" xfId="0" applyFont="1"/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2" fontId="6" numFmtId="0" xfId="0" applyAlignment="1" applyFont="1">
      <alignment horizontal="center" readingOrder="0" shrinkToFit="0" wrapText="0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8" t="s">
        <v>4</v>
      </c>
      <c r="C4" s="4"/>
    </row>
    <row r="5" ht="15.75" customHeight="1">
      <c r="A5" s="9"/>
      <c r="B5" s="4"/>
      <c r="C5" s="4"/>
    </row>
    <row r="6" ht="15.75" customHeight="1">
      <c r="A6" s="9"/>
      <c r="B6" s="4"/>
      <c r="C6" s="4"/>
    </row>
    <row r="7" ht="15.75" customHeight="1">
      <c r="A7" s="9"/>
      <c r="B7" s="4"/>
      <c r="C7" s="4"/>
    </row>
    <row r="8" ht="15.75" customHeight="1">
      <c r="A8" s="9"/>
      <c r="B8" s="4"/>
      <c r="C8" s="4"/>
    </row>
    <row r="9" ht="15.75" customHeight="1">
      <c r="A9" s="9"/>
      <c r="B9" s="4"/>
      <c r="C9" s="4"/>
    </row>
    <row r="10" ht="15.75" customHeight="1">
      <c r="A10" s="9"/>
      <c r="B10" s="4"/>
      <c r="C10" s="4"/>
    </row>
    <row r="11" ht="15.75" customHeight="1">
      <c r="A11" s="9"/>
      <c r="B11" s="4"/>
      <c r="C11" s="4"/>
    </row>
    <row r="12" ht="15.75" customHeight="1">
      <c r="A12" s="9"/>
      <c r="B12" s="4"/>
      <c r="C12" s="4"/>
    </row>
    <row r="13" ht="15.75" customHeight="1">
      <c r="A13" s="9"/>
      <c r="B13" s="4"/>
      <c r="C13" s="4"/>
    </row>
    <row r="14" ht="15.75" customHeight="1">
      <c r="A14" s="9"/>
      <c r="B14" s="4"/>
      <c r="C14" s="4"/>
    </row>
    <row r="15" ht="15.75" customHeight="1">
      <c r="A15" s="9"/>
      <c r="B15" s="4"/>
      <c r="C15" s="4"/>
    </row>
    <row r="16" ht="15.75" customHeight="1">
      <c r="A16" s="9"/>
      <c r="B16" s="4"/>
      <c r="C16" s="4"/>
    </row>
    <row r="17" ht="15.75" customHeight="1">
      <c r="A17" s="9"/>
      <c r="B17" s="4"/>
      <c r="C17" s="4"/>
    </row>
    <row r="18" ht="15.75" customHeight="1">
      <c r="A18" s="9"/>
      <c r="B18" s="4"/>
      <c r="C18" s="4"/>
    </row>
    <row r="19" ht="15.75" customHeight="1">
      <c r="A19" s="9"/>
      <c r="B19" s="4"/>
      <c r="C19" s="4"/>
    </row>
    <row r="20" ht="15.75" customHeight="1">
      <c r="A20" s="9"/>
      <c r="B20" s="4"/>
      <c r="C20" s="4"/>
    </row>
    <row r="21" ht="15.75" customHeight="1">
      <c r="A21" s="9"/>
      <c r="B21" s="4"/>
      <c r="C21" s="4"/>
    </row>
    <row r="22" ht="15.75" customHeight="1">
      <c r="A22" s="9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0" t="s">
        <v>5</v>
      </c>
      <c r="B1" s="2"/>
      <c r="C1" s="2"/>
      <c r="D1" s="2"/>
      <c r="E1" s="2"/>
      <c r="F1" s="3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5" t="s">
        <v>6</v>
      </c>
      <c r="B3" s="12"/>
      <c r="C3" s="13"/>
      <c r="D3" s="13"/>
      <c r="E3" s="13"/>
      <c r="F3" s="13"/>
    </row>
    <row r="4" ht="15.75" customHeight="1">
      <c r="A4" s="4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IFERROR(__xludf.DUMMYFUNCTION("""COMPUTED_VALUE"""),"undefined")</f>
        <v>undefined</v>
      </c>
      <c r="D4" s="11"/>
      <c r="E4" s="11"/>
      <c r="F4" s="11"/>
    </row>
    <row r="5" ht="15.75" customHeight="1">
      <c r="A5" s="4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IFERROR(__xludf.DUMMYFUNCTION("""COMPUTED_VALUE"""),"17_QBMicEOUihB2C-6dtz1DG3VfJj05Sk118TBLigcGQ")</f>
        <v>17_QBMicEOUihB2C-6dtz1DG3VfJj05Sk118TBLigcGQ</v>
      </c>
      <c r="D5" s="11"/>
      <c r="E5" s="11"/>
      <c r="F5" s="11"/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IFERROR(__xludf.DUMMYFUNCTION("""COMPUTED_VALUE"""),"GetDataAllocation")</f>
        <v>GetDataAllocation</v>
      </c>
      <c r="C6" s="11" t="str">
        <f>IFERROR(__xludf.DUMMYFUNCTION("""COMPUTED_VALUE"""),"1hVcm2AM6tpl7LAL1inbzLF7lPKrzoS8Hf_xEf0r0QvU")</f>
        <v>1hVcm2AM6tpl7LAL1inbzLF7lPKrzoS8Hf_xEf0r0QvU</v>
      </c>
      <c r="D6" s="11"/>
      <c r="E6" s="11"/>
      <c r="F6" s="11"/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IFERROR(__xludf.DUMMYFUNCTION("""COMPUTED_VALUE"""),"SelectAllocatedGroup")</f>
        <v>SelectAllocatedGroup</v>
      </c>
      <c r="C7" s="11" t="str">
        <f>IFERROR(__xludf.DUMMYFUNCTION("""COMPUTED_VALUE"""),"1xln1FAf_biSADXIchn7RxBiBbGXPZU2Qmiafzz63n_s")</f>
        <v>1xln1FAf_biSADXIchn7RxBiBbGXPZU2Qmiafzz63n_s</v>
      </c>
      <c r="D7" s="11"/>
      <c r="E7" s="11"/>
      <c r="F7" s="11"/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IFERROR(__xludf.DUMMYFUNCTION("""COMPUTED_VALUE"""),"EditTradesAllocated")</f>
        <v>EditTradesAllocated</v>
      </c>
      <c r="C8" s="11" t="str">
        <f>IFERROR(__xludf.DUMMYFUNCTION("""COMPUTED_VALUE"""),"1ZJZn5gs7a2MhaEr-ryFvr-6l8Lrpw49ZtdxRjUmj2lE")</f>
        <v>1ZJZn5gs7a2MhaEr-ryFvr-6l8Lrpw49ZtdxRjUmj2lE</v>
      </c>
      <c r="D8" s="11"/>
      <c r="E8" s="11"/>
      <c r="F8" s="11"/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IFERROR(__xludf.DUMMYFUNCTION("""COMPUTED_VALUE"""),"EditTradesUnallocated")</f>
        <v>EditTradesUnallocated</v>
      </c>
      <c r="C9" s="11" t="str">
        <f>IFERROR(__xludf.DUMMYFUNCTION("""COMPUTED_VALUE"""),"1OCGMVOHt03_eCmO7qiby_rf8bEME9TovKxz3Ntf7vgg")</f>
        <v>1OCGMVOHt03_eCmO7qiby_rf8bEME9TovKxz3Ntf7vgg</v>
      </c>
      <c r="D9" s="11"/>
      <c r="E9" s="11"/>
      <c r="F9" s="11"/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IFERROR(__xludf.DUMMYFUNCTION("""COMPUTED_VALUE"""),"Reallocate")</f>
        <v>Reallocate</v>
      </c>
      <c r="C10" s="11" t="str">
        <f>IFERROR(__xludf.DUMMYFUNCTION("""COMPUTED_VALUE"""),"undefined")</f>
        <v>undefined</v>
      </c>
      <c r="D10" s="11"/>
      <c r="E10" s="11"/>
      <c r="F10" s="11"/>
    </row>
    <row r="11" ht="15.75" customHeight="1">
      <c r="A11" s="11" t="str">
        <f>IFERROR(__xludf.DUMMYFUNCTION("""COMPUTED_VALUE"""),"Blotter")</f>
        <v>Blotter</v>
      </c>
      <c r="B11" s="11" t="str">
        <f>IFERROR(__xludf.DUMMYFUNCTION("""COMPUTED_VALUE"""),"ReplaceFillsOnBlotter")</f>
        <v>ReplaceFillsOnBlotter</v>
      </c>
      <c r="C11" s="11" t="str">
        <f>IFERROR(__xludf.DUMMYFUNCTION("""COMPUTED_VALUE"""),"undefined")</f>
        <v>undefined</v>
      </c>
      <c r="D11" s="11"/>
      <c r="E11" s="11"/>
      <c r="F11" s="11"/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IFERROR(__xludf.DUMMYFUNCTION("""COMPUTED_VALUE"""),"CheckBlotter")</f>
        <v>CheckBlotter</v>
      </c>
      <c r="C12" s="11" t="str">
        <f>IFERROR(__xludf.DUMMYFUNCTION("""COMPUTED_VALUE"""),"11MUm_Wks-ynsuzwq0ucx9YCmN_Dlux4joQTI9V_vxSQ")</f>
        <v>11MUm_Wks-ynsuzwq0ucx9YCmN_Dlux4joQTI9V_vxSQ</v>
      </c>
      <c r="D12" s="11"/>
      <c r="E12" s="11"/>
      <c r="F12" s="11"/>
    </row>
    <row r="13" ht="15.75" customHeight="1">
      <c r="A13" s="11" t="str">
        <f>IFERROR(__xludf.DUMMYFUNCTION("""COMPUTED_VALUE"""),"GeneralLedger")</f>
        <v>GeneralLedger</v>
      </c>
      <c r="B13" s="11" t="str">
        <f>IFERROR(__xludf.DUMMYFUNCTION("""COMPUTED_VALUE"""),"GetDataCash")</f>
        <v>GetDataCash</v>
      </c>
      <c r="C13" s="11" t="str">
        <f>IFERROR(__xludf.DUMMYFUNCTION("""COMPUTED_VALUE"""),"1HibVHHcuFf3loa0fNI6zJwXL0glRkLz9BQwFMwolEWs")</f>
        <v>1HibVHHcuFf3loa0fNI6zJwXL0glRkLz9BQwFMwolEWs</v>
      </c>
      <c r="D13" s="11"/>
      <c r="E13" s="11"/>
      <c r="F13" s="11"/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IFERROR(__xludf.DUMMYFUNCTION("""COMPUTED_VALUE"""),"EnterCashDividends")</f>
        <v>EnterCashDividends</v>
      </c>
      <c r="C14" s="11" t="str">
        <f>IFERROR(__xludf.DUMMYFUNCTION("""COMPUTED_VALUE"""),"1v_MUqtv78nxjsN8Cecn_LuQEABNjfo6irXnL4E327-E")</f>
        <v>1v_MUqtv78nxjsN8Cecn_LuQEABNjfo6irXnL4E327-E</v>
      </c>
      <c r="D14" s="11"/>
      <c r="E14" s="11"/>
      <c r="F14" s="11"/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IFERROR(__xludf.DUMMYFUNCTION("""COMPUTED_VALUE"""),"EnterNonTradingTransaction")</f>
        <v>EnterNonTradingTransaction</v>
      </c>
      <c r="C15" s="11" t="str">
        <f>IFERROR(__xludf.DUMMYFUNCTION("""COMPUTED_VALUE"""),"175-JCUqdn62shwwTBrtayS4sAfQdJI1es-MdB_afiEU")</f>
        <v>175-JCUqdn62shwwTBrtayS4sAfQdJI1es-MdB_afiEU</v>
      </c>
      <c r="D15" s="11"/>
      <c r="E15" s="11"/>
      <c r="F15" s="11"/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IFERROR(__xludf.DUMMYFUNCTION("""COMPUTED_VALUE"""),"VerifyCash")</f>
        <v>VerifyCash</v>
      </c>
      <c r="C16" s="11" t="str">
        <f>IFERROR(__xludf.DUMMYFUNCTION("""COMPUTED_VALUE"""),"17eDimySFNF45ncJKZNMN1WafcCPlObqPuWpiaELn4XI")</f>
        <v>17eDimySFNF45ncJKZNMN1WafcCPlObqPuWpiaELn4XI</v>
      </c>
      <c r="D16" s="11"/>
      <c r="E16" s="11"/>
      <c r="F16" s="11"/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IFERROR(__xludf.DUMMYFUNCTION("""COMPUTED_VALUE"""),"VerifyActivity")</f>
        <v>VerifyActivity</v>
      </c>
      <c r="C17" s="11" t="str">
        <f>IFERROR(__xludf.DUMMYFUNCTION("""COMPUTED_VALUE"""),"1Pfyi8724AHHPSpjL28hJwa2o4mQbLhWDX3ERQDqoMjM")</f>
        <v>1Pfyi8724AHHPSpjL28hJwa2o4mQbLhWDX3ERQDqoMjM</v>
      </c>
      <c r="D17" s="11"/>
      <c r="E17" s="11"/>
      <c r="F17" s="11"/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IFERROR(__xludf.DUMMYFUNCTION("""COMPUTED_VALUE"""),"VerifyTradingTransaction")</f>
        <v>VerifyTradingTransaction</v>
      </c>
      <c r="C18" s="11" t="str">
        <f>IFERROR(__xludf.DUMMYFUNCTION("""COMPUTED_VALUE"""),"1YVs2pxOwqxSOoRvY-L6RFBNX-V1Iq7YCTlJJjcZGOrk")</f>
        <v>1YVs2pxOwqxSOoRvY-L6RFBNX-V1Iq7YCTlJJjcZGOrk</v>
      </c>
      <c r="D18" s="11"/>
      <c r="E18" s="11"/>
      <c r="F18" s="11"/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IFERROR(__xludf.DUMMYFUNCTION("""COMPUTED_VALUE"""),"VerifyRevaluationData")</f>
        <v>VerifyRevaluationData</v>
      </c>
      <c r="C19" s="11" t="str">
        <f>IFERROR(__xludf.DUMMYFUNCTION("""COMPUTED_VALUE"""),"1B8hcujE70thHD0YsedA4IBNf7vn0AyfU4JVfJ_wJt20")</f>
        <v>1B8hcujE70thHD0YsedA4IBNf7vn0AyfU4JVfJ_wJt20</v>
      </c>
      <c r="D19" s="11"/>
      <c r="E19" s="11"/>
      <c r="F19" s="11"/>
    </row>
    <row r="20" ht="15.75" customHeight="1">
      <c r="A20" s="11" t="str">
        <f>IFERROR(__xludf.DUMMYFUNCTION("""COMPUTED_VALUE"""),"CorporateAction")</f>
        <v>CorporateAction</v>
      </c>
      <c r="B20" s="11" t="str">
        <f>IFERROR(__xludf.DUMMYFUNCTION("""COMPUTED_VALUE"""),"CorporateAction")</f>
        <v>CorporateAction</v>
      </c>
      <c r="C20" s="11" t="str">
        <f>IFERROR(__xludf.DUMMYFUNCTION("""COMPUTED_VALUE"""),"1-W-RmffTnEi0hw7mazbNadwwiSRGoy1wrw8PHkuofYY")</f>
        <v>1-W-RmffTnEi0hw7mazbNadwwiSRGoy1wrw8PHkuofYY</v>
      </c>
      <c r="D20" s="11"/>
      <c r="E20" s="11"/>
      <c r="F20" s="11"/>
    </row>
    <row r="21" ht="15.75" customHeight="1">
      <c r="A21" s="11" t="str">
        <f>IFERROR(__xludf.DUMMYFUNCTION("""COMPUTED_VALUE"""),"CreateTransaction")</f>
        <v>CreateTransaction</v>
      </c>
      <c r="B21" s="11" t="str">
        <f>IFERROR(__xludf.DUMMYFUNCTION("""COMPUTED_VALUE"""),"CreateTransaction")</f>
        <v>CreateTransaction</v>
      </c>
      <c r="C21" s="11" t="str">
        <f>IFERROR(__xludf.DUMMYFUNCTION("""COMPUTED_VALUE"""),"1esoF-RnVyz6ko5JWW7n-M62RtAdH_oBEGryr3tVxBD0")</f>
        <v>1esoF-RnVyz6ko5JWW7n-M62RtAdH_oBEGryr3tVxBD0</v>
      </c>
      <c r="D21" s="11"/>
      <c r="E21" s="11"/>
      <c r="F21" s="11"/>
    </row>
    <row r="22" ht="15.75" customHeight="1">
      <c r="A22" s="11" t="str">
        <f>IFERROR(__xludf.DUMMYFUNCTION("""COMPUTED_VALUE"""),"DailyValuation")</f>
        <v>DailyValuation</v>
      </c>
      <c r="B22" s="11" t="str">
        <f>IFERROR(__xludf.DUMMYFUNCTION("""COMPUTED_VALUE"""),"UpdateBeta")</f>
        <v>UpdateBeta</v>
      </c>
      <c r="C22" s="11" t="str">
        <f>IFERROR(__xludf.DUMMYFUNCTION("""COMPUTED_VALUE"""),"1e5P2Fpj6vybIn_paB2b7Fy1UWvvzM_QLBcFFEnG_Sog")</f>
        <v>1e5P2Fpj6vybIn_paB2b7Fy1UWvvzM_QLBcFFEnG_Sog</v>
      </c>
      <c r="D22" s="11"/>
      <c r="E22" s="11"/>
      <c r="F22" s="11"/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IFERROR(__xludf.DUMMYFUNCTION("""COMPUTED_VALUE"""),"UpdateDailyCash")</f>
        <v>UpdateDailyCash</v>
      </c>
      <c r="C23" s="11" t="str">
        <f>IFERROR(__xludf.DUMMYFUNCTION("""COMPUTED_VALUE"""),"17wP7K35BVS-mcToVvypH9kFnKwLPjhX5cgZessf5L3U")</f>
        <v>17wP7K35BVS-mcToVvypH9kFnKwLPjhX5cgZessf5L3U</v>
      </c>
      <c r="D23" s="11"/>
      <c r="E23" s="11"/>
      <c r="F23" s="11"/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IFERROR(__xludf.DUMMYFUNCTION("""COMPUTED_VALUE"""),"UpdateForexConversion")</f>
        <v>UpdateForexConversion</v>
      </c>
      <c r="C24" s="11" t="str">
        <f>IFERROR(__xludf.DUMMYFUNCTION("""COMPUTED_VALUE"""),"1MhtifEhyzplKiAJ2B7ZBGDQykTLhDMrJnLNmWidmDfo")</f>
        <v>1MhtifEhyzplKiAJ2B7ZBGDQykTLhDMrJnLNmWidmDfo</v>
      </c>
      <c r="D24" s="11"/>
      <c r="E24" s="11"/>
      <c r="F24" s="11"/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IFERROR(__xludf.DUMMYFUNCTION("""COMPUTED_VALUE"""),"UpdateMarkPrice")</f>
        <v>UpdateMarkPrice</v>
      </c>
      <c r="C25" s="11" t="str">
        <f>IFERROR(__xludf.DUMMYFUNCTION("""COMPUTED_VALUE"""),"14ykotElrdKk_65x7FoOo3uy_l0cCpWTItQ6NjoPCFto")</f>
        <v>14ykotElrdKk_65x7FoOo3uy_l0cCpWTItQ6NjoPCFto</v>
      </c>
      <c r="D25" s="11"/>
      <c r="E25" s="11"/>
      <c r="F25" s="11"/>
    </row>
    <row r="26" ht="15.75" customHeight="1">
      <c r="A26" s="11" t="str">
        <f>IFERROR(__xludf.DUMMYFUNCTION("""COMPUTED_VALUE"""),"Import")</f>
        <v>Import</v>
      </c>
      <c r="B26" s="11" t="str">
        <f>IFERROR(__xludf.DUMMYFUNCTION("""COMPUTED_VALUE"""),"Import")</f>
        <v>Import</v>
      </c>
      <c r="C26" s="11" t="str">
        <f>IFERROR(__xludf.DUMMYFUNCTION("""COMPUTED_VALUE"""),"16g9Kf7Sel1N9rpDdDYebIoVnUvEmGkdOIDvOEX1x5rs")</f>
        <v>16g9Kf7Sel1N9rpDdDYebIoVnUvEmGkdOIDvOEX1x5rs</v>
      </c>
      <c r="D26" s="11"/>
      <c r="E26" s="11"/>
      <c r="F26" s="11"/>
    </row>
    <row r="27" ht="15.75" customHeight="1">
      <c r="A27" s="11" t="str">
        <f>IFERROR(__xludf.DUMMYFUNCTION("""COMPUTED_VALUE"""),"PortfolioManagement")</f>
        <v>PortfolioManagement</v>
      </c>
      <c r="B27" s="11" t="str">
        <f>IFERROR(__xludf.DUMMYFUNCTION("""COMPUTED_VALUE"""),"CheckDashboardPM")</f>
        <v>CheckDashboardPM</v>
      </c>
      <c r="C27" s="11" t="str">
        <f>IFERROR(__xludf.DUMMYFUNCTION("""COMPUTED_VALUE"""),"1dCUqkFToxbHWLcuEsup6xul17t7dk0JWXjsF_NqJWLs")</f>
        <v>1dCUqkFToxbHWLcuEsup6xul17t7dk0JWXjsF_NqJWLs</v>
      </c>
      <c r="D27" s="11"/>
      <c r="E27" s="11"/>
      <c r="F27" s="11"/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IFERROR(__xludf.DUMMYFUNCTION("""COMPUTED_VALUE"""),"CheckPortfolioManagement")</f>
        <v>CheckPortfolioManagement</v>
      </c>
      <c r="C28" s="11" t="str">
        <f>IFERROR(__xludf.DUMMYFUNCTION("""COMPUTED_VALUE"""),"1WrLR2m07rC0_5QRVRBEKQH-92mAfrcXJUuuIwELno2g")</f>
        <v>1WrLR2m07rC0_5QRVRBEKQH-92mAfrcXJUuuIwELno2g</v>
      </c>
      <c r="D28" s="11"/>
      <c r="E28" s="11"/>
      <c r="F28" s="11"/>
    </row>
    <row r="29" ht="15.75" customHeight="1">
      <c r="A29" s="11" t="str">
        <f>IFERROR(__xludf.DUMMYFUNCTION("""COMPUTED_VALUE"""),"PricingInput")</f>
        <v>PricingInput</v>
      </c>
      <c r="B29" s="11" t="str">
        <f>IFERROR(__xludf.DUMMYFUNCTION("""COMPUTED_VALUE"""),"PricingInput")</f>
        <v>PricingInput</v>
      </c>
      <c r="C29" s="11" t="str">
        <f>IFERROR(__xludf.DUMMYFUNCTION("""COMPUTED_VALUE"""),"16EMowOhNWCoGHg3C_AEEGTB-3SXFMg5x63-S3irnai0")</f>
        <v>16EMowOhNWCoGHg3C_AEEGTB-3SXFMg5x63-S3irnai0</v>
      </c>
      <c r="D29" s="11"/>
      <c r="E29" s="11"/>
      <c r="F29" s="11"/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IFERROR(__xludf.DUMMYFUNCTION("""COMPUTED_VALUE"""),"UpdateSharesOutstanding")</f>
        <v>UpdateSharesOutstanding</v>
      </c>
      <c r="C30" s="11" t="str">
        <f>IFERROR(__xludf.DUMMYFUNCTION("""COMPUTED_VALUE"""),"1q9dRSKiXfUcfgc5w_m-vMSRuUWcHC5mxzB_SFqqFzJk")</f>
        <v>1q9dRSKiXfUcfgc5w_m-vMSRuUWcHC5mxzB_SFqqFzJk</v>
      </c>
      <c r="D30" s="11"/>
      <c r="E30" s="11"/>
      <c r="F30" s="11"/>
    </row>
    <row r="31" ht="15.75" customHeight="1">
      <c r="A31" s="11" t="str">
        <f>IFERROR(__xludf.DUMMYFUNCTION("""COMPUTED_VALUE"""),"SymbolLookup")</f>
        <v>SymbolLookup</v>
      </c>
      <c r="B31" s="11" t="str">
        <f>IFERROR(__xludf.DUMMYFUNCTION("""COMPUTED_VALUE"""),"VerifySymbolLookUp")</f>
        <v>VerifySymbolLookUp</v>
      </c>
      <c r="C31" s="11" t="str">
        <f>IFERROR(__xludf.DUMMYFUNCTION("""COMPUTED_VALUE"""),"1lP1jJVwyLgSReroORPW2qHMX-c1ylMBmX8jxb7m4wfI")</f>
        <v>1lP1jJVwyLgSReroORPW2qHMX-c1ylMBmX8jxb7m4wfI</v>
      </c>
      <c r="D31" s="11"/>
      <c r="E31" s="11"/>
      <c r="F31" s="11"/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IFERROR(__xludf.DUMMYFUNCTION("""COMPUTED_VALUE"""),"SymbolLookupFromTT")</f>
        <v>SymbolLookupFromTT</v>
      </c>
      <c r="C32" s="11" t="str">
        <f>IFERROR(__xludf.DUMMYFUNCTION("""COMPUTED_VALUE"""),"1Ws0Hw39H3ULaKM5Cl_p6p-caLwRm8T0L43ngVqjHMnM")</f>
        <v>1Ws0Hw39H3ULaKM5Cl_p6p-caLwRm8T0L43ngVqjHMnM</v>
      </c>
      <c r="D32" s="11"/>
      <c r="E32" s="11"/>
      <c r="F32" s="11"/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IFERROR(__xludf.DUMMYFUNCTION("""COMPUTED_VALUE"""),"UpdateUDA")</f>
        <v>UpdateUDA</v>
      </c>
      <c r="C33" s="11" t="str">
        <f>IFERROR(__xludf.DUMMYFUNCTION("""COMPUTED_VALUE"""),"18ZefsYffctRJZetWSPUYeTMEPqefQ72fJ-dT_WrQO6E")</f>
        <v>18ZefsYffctRJZetWSPUYeTMEPqefQ72fJ-dT_WrQO6E</v>
      </c>
      <c r="D33" s="11"/>
      <c r="E33" s="11"/>
      <c r="F33" s="11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14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11"/>
      <c r="B2" s="11"/>
      <c r="C2" s="11"/>
      <c r="D2" s="11"/>
      <c r="E2" s="11"/>
      <c r="F2" s="11"/>
    </row>
    <row r="3">
      <c r="A3" s="7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1b5S4Xpp4fgZ1ez6cK92QFnVBylqz8jhwxdAyEvwDqUI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16</v>
      </c>
      <c r="C6" s="8" t="s">
        <v>17</v>
      </c>
      <c r="D6" s="8">
        <v>50000.0</v>
      </c>
      <c r="E6" s="8">
        <v>50000.0</v>
      </c>
      <c r="F6" s="8" t="s">
        <v>18</v>
      </c>
      <c r="G6" s="8" t="s">
        <v>19</v>
      </c>
      <c r="H6" s="4"/>
      <c r="I6" s="4"/>
      <c r="J6" s="8">
        <v>10.0</v>
      </c>
      <c r="K6" s="4"/>
      <c r="L6" s="4"/>
      <c r="M6" s="4"/>
      <c r="N6" s="31">
        <f t="shared" ref="N6:N7" si="1">Today()</f>
        <v>44656</v>
      </c>
      <c r="O6" s="4"/>
    </row>
    <row r="7" ht="15.75" customHeight="1">
      <c r="A7" s="4"/>
      <c r="B7" s="8" t="s">
        <v>16</v>
      </c>
      <c r="C7" s="8" t="s">
        <v>17</v>
      </c>
      <c r="D7" s="8">
        <v>50000.0</v>
      </c>
      <c r="E7" s="8">
        <v>50000.0</v>
      </c>
      <c r="F7" s="8" t="s">
        <v>20</v>
      </c>
      <c r="G7" s="8" t="s">
        <v>19</v>
      </c>
      <c r="H7" s="4"/>
      <c r="I7" s="4"/>
      <c r="J7" s="8">
        <v>15.0</v>
      </c>
      <c r="K7" s="4"/>
      <c r="L7" s="4"/>
      <c r="M7" s="4"/>
      <c r="N7" s="31">
        <f t="shared" si="1"/>
        <v>44656</v>
      </c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23</v>
      </c>
      <c r="C6" s="4"/>
      <c r="D6" s="8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 t="s">
        <v>16</v>
      </c>
      <c r="D6" s="8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1b5S4Xpp4fgZ1ez6cK92QFnVBylqz8jhwxdAyEvwDqUI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16</v>
      </c>
      <c r="C6" s="8" t="s">
        <v>25</v>
      </c>
      <c r="D6" s="8">
        <v>50000.0</v>
      </c>
      <c r="E6" s="8"/>
      <c r="F6" s="8" t="s">
        <v>18</v>
      </c>
      <c r="G6" s="8" t="s">
        <v>19</v>
      </c>
      <c r="H6" s="4"/>
      <c r="I6" s="4"/>
      <c r="J6" s="8">
        <v>20.0</v>
      </c>
      <c r="K6" s="4"/>
      <c r="L6" s="4"/>
      <c r="M6" s="4"/>
      <c r="N6" s="4"/>
      <c r="O6" s="4"/>
    </row>
    <row r="7" ht="15.75" customHeight="1">
      <c r="A7" s="33"/>
      <c r="B7" s="34" t="s">
        <v>16</v>
      </c>
      <c r="C7" s="34" t="s">
        <v>25</v>
      </c>
      <c r="D7" s="35">
        <v>50000.0</v>
      </c>
      <c r="E7" s="34"/>
      <c r="F7" s="36" t="s">
        <v>20</v>
      </c>
      <c r="G7" s="34" t="s">
        <v>19</v>
      </c>
      <c r="H7" s="34"/>
      <c r="I7" s="34"/>
      <c r="J7" s="35">
        <v>20.0</v>
      </c>
      <c r="K7" s="34"/>
      <c r="L7" s="34"/>
      <c r="M7" s="34"/>
      <c r="N7" s="34"/>
      <c r="O7" s="34"/>
      <c r="P7" s="34"/>
      <c r="Q7" s="34"/>
      <c r="R7" s="34"/>
      <c r="S7" s="34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28</v>
      </c>
      <c r="C6" s="4"/>
      <c r="D6" s="8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b">
        <v>0</v>
      </c>
      <c r="C6" s="8" t="b">
        <v>1</v>
      </c>
      <c r="D6" s="8" t="s">
        <v>18</v>
      </c>
      <c r="E6" s="8" t="s">
        <v>30</v>
      </c>
      <c r="F6" s="4"/>
      <c r="G6" s="4"/>
      <c r="H6" s="4"/>
      <c r="I6" s="4"/>
      <c r="J6" s="4"/>
      <c r="K6" s="8">
        <v>10.0</v>
      </c>
      <c r="L6" s="4"/>
      <c r="M6" s="4"/>
      <c r="N6" s="4"/>
      <c r="O6" s="8">
        <v>50000.0</v>
      </c>
      <c r="V6" s="14" t="s">
        <v>17</v>
      </c>
      <c r="X6" s="14" t="s">
        <v>16</v>
      </c>
      <c r="AE6" s="14" t="s">
        <v>18</v>
      </c>
      <c r="AF6" s="14" t="s">
        <v>30</v>
      </c>
      <c r="AL6" s="14">
        <v>20.0</v>
      </c>
      <c r="AP6" s="14">
        <v>50000.0</v>
      </c>
      <c r="AW6" s="14" t="s">
        <v>25</v>
      </c>
      <c r="AY6" s="14" t="s">
        <v>16</v>
      </c>
    </row>
    <row r="7" ht="15.75" customHeight="1">
      <c r="A7" s="8"/>
      <c r="B7" s="8"/>
      <c r="C7" s="8"/>
      <c r="D7" s="8"/>
      <c r="E7" s="8"/>
      <c r="F7" s="4"/>
      <c r="G7" s="4"/>
      <c r="H7" s="4"/>
      <c r="I7" s="4"/>
      <c r="J7" s="4"/>
      <c r="K7" s="8"/>
      <c r="L7" s="4"/>
      <c r="M7" s="4"/>
      <c r="N7" s="4"/>
      <c r="O7" s="8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b">
        <v>0</v>
      </c>
      <c r="C6" s="8" t="b">
        <v>1</v>
      </c>
      <c r="D6" s="8" t="s">
        <v>20</v>
      </c>
      <c r="E6" s="8" t="s">
        <v>30</v>
      </c>
      <c r="F6" s="4"/>
      <c r="G6" s="4"/>
      <c r="H6" s="4"/>
      <c r="I6" s="4"/>
      <c r="J6" s="4"/>
      <c r="K6" s="8">
        <v>15.0</v>
      </c>
      <c r="L6" s="4"/>
      <c r="M6" s="4"/>
      <c r="N6" s="4"/>
      <c r="O6" s="8">
        <v>50000.0</v>
      </c>
      <c r="V6" s="14" t="s">
        <v>17</v>
      </c>
      <c r="X6" s="14" t="s">
        <v>16</v>
      </c>
      <c r="AE6" s="14" t="s">
        <v>20</v>
      </c>
      <c r="AF6" s="14" t="s">
        <v>30</v>
      </c>
      <c r="AL6" s="14">
        <v>20.0</v>
      </c>
      <c r="AP6" s="14">
        <v>50000.0</v>
      </c>
      <c r="AW6" s="14" t="s">
        <v>25</v>
      </c>
      <c r="AY6" s="14" t="s">
        <v>16</v>
      </c>
    </row>
    <row r="7" ht="15.75" customHeight="1">
      <c r="A7" s="8"/>
      <c r="B7" s="8"/>
      <c r="C7" s="8"/>
      <c r="D7" s="8"/>
      <c r="E7" s="8"/>
      <c r="F7" s="4"/>
      <c r="G7" s="4"/>
      <c r="H7" s="4"/>
      <c r="I7" s="4"/>
      <c r="J7" s="4"/>
      <c r="K7" s="8"/>
      <c r="L7" s="4"/>
      <c r="M7" s="4"/>
      <c r="N7" s="4"/>
      <c r="O7" s="8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4"/>
      <c r="D6" s="8">
        <v>0.0</v>
      </c>
      <c r="E6" s="32"/>
      <c r="F6" s="4"/>
      <c r="G6" s="4"/>
      <c r="H6" s="4"/>
      <c r="I6" s="4"/>
      <c r="J6" s="4"/>
      <c r="K6" s="4"/>
      <c r="L6" s="4"/>
      <c r="M6" s="4"/>
      <c r="N6" s="4"/>
      <c r="O6" s="4"/>
      <c r="AD6" s="14">
        <v>0.0</v>
      </c>
      <c r="AH6" s="14" t="s">
        <v>30</v>
      </c>
      <c r="AI6" s="14" t="s">
        <v>16</v>
      </c>
      <c r="AJ6" s="14" t="s">
        <v>17</v>
      </c>
      <c r="AK6" s="14" t="s">
        <v>33</v>
      </c>
      <c r="AL6" s="14">
        <v>50000.0</v>
      </c>
      <c r="AM6" s="14">
        <v>50000.0</v>
      </c>
      <c r="AN6" s="14">
        <v>100.0</v>
      </c>
      <c r="AO6" s="14">
        <v>50000.0</v>
      </c>
      <c r="AQ6" s="14">
        <v>10.0</v>
      </c>
      <c r="AR6" s="14">
        <v>10.0</v>
      </c>
      <c r="AS6" s="14" t="s">
        <v>19</v>
      </c>
      <c r="AT6" s="14" t="s">
        <v>18</v>
      </c>
      <c r="AU6" s="14" t="s">
        <v>34</v>
      </c>
      <c r="AY6" s="14">
        <v>50000.0</v>
      </c>
      <c r="AZ6" s="14">
        <v>0.0</v>
      </c>
    </row>
    <row r="7" ht="15.75" customHeight="1">
      <c r="A7" s="8"/>
      <c r="B7" s="8"/>
      <c r="C7" s="4"/>
      <c r="D7" s="8">
        <v>0.0</v>
      </c>
      <c r="E7" s="32"/>
      <c r="F7" s="4"/>
      <c r="G7" s="4"/>
      <c r="H7" s="4"/>
      <c r="I7" s="4"/>
      <c r="J7" s="4"/>
      <c r="K7" s="4"/>
      <c r="L7" s="4"/>
      <c r="M7" s="4"/>
      <c r="N7" s="4"/>
      <c r="O7" s="4"/>
      <c r="AD7" s="14">
        <v>0.0</v>
      </c>
      <c r="AH7" s="14" t="s">
        <v>30</v>
      </c>
      <c r="AI7" s="14" t="s">
        <v>16</v>
      </c>
      <c r="AJ7" s="14" t="s">
        <v>17</v>
      </c>
      <c r="AK7" s="14" t="s">
        <v>33</v>
      </c>
      <c r="AL7" s="14">
        <v>50000.0</v>
      </c>
      <c r="AM7" s="14">
        <v>50000.0</v>
      </c>
      <c r="AN7" s="14">
        <v>100.0</v>
      </c>
      <c r="AO7" s="14">
        <v>50000.0</v>
      </c>
      <c r="AQ7" s="14">
        <v>15.0</v>
      </c>
      <c r="AR7" s="14">
        <v>15.0</v>
      </c>
      <c r="AS7" s="14" t="s">
        <v>19</v>
      </c>
      <c r="AT7" s="14" t="s">
        <v>20</v>
      </c>
      <c r="AU7" s="14" t="s">
        <v>34</v>
      </c>
      <c r="AY7" s="14">
        <v>50000.0</v>
      </c>
      <c r="AZ7" s="14">
        <v>0.0</v>
      </c>
    </row>
    <row r="8" ht="15.75" customHeight="1">
      <c r="A8" s="8"/>
      <c r="B8" s="8"/>
      <c r="C8" s="4"/>
      <c r="D8" s="8">
        <v>0.0</v>
      </c>
      <c r="E8" s="32"/>
      <c r="F8" s="4"/>
      <c r="G8" s="4"/>
      <c r="H8" s="4"/>
      <c r="I8" s="4"/>
      <c r="J8" s="4"/>
      <c r="K8" s="4"/>
      <c r="L8" s="4"/>
      <c r="M8" s="4"/>
      <c r="N8" s="4"/>
      <c r="O8" s="4"/>
      <c r="AD8" s="14">
        <v>0.0</v>
      </c>
      <c r="AH8" s="14" t="s">
        <v>30</v>
      </c>
      <c r="AI8" s="14" t="s">
        <v>16</v>
      </c>
      <c r="AJ8" s="14" t="s">
        <v>25</v>
      </c>
      <c r="AK8" s="14" t="s">
        <v>33</v>
      </c>
      <c r="AL8" s="14">
        <v>50000.0</v>
      </c>
      <c r="AM8" s="14">
        <v>50000.0</v>
      </c>
      <c r="AN8" s="14">
        <v>100.0</v>
      </c>
      <c r="AO8" s="14">
        <v>50000.0</v>
      </c>
      <c r="AQ8" s="14">
        <v>20.0</v>
      </c>
      <c r="AR8" s="14">
        <v>20.0</v>
      </c>
      <c r="AS8" s="14" t="s">
        <v>19</v>
      </c>
      <c r="AT8" s="14" t="s">
        <v>18</v>
      </c>
      <c r="AU8" s="14" t="s">
        <v>34</v>
      </c>
      <c r="AY8" s="14">
        <v>50000.0</v>
      </c>
      <c r="AZ8" s="14">
        <v>0.0</v>
      </c>
    </row>
    <row r="9" ht="15.75" customHeight="1">
      <c r="A9" s="8"/>
      <c r="B9" s="8"/>
      <c r="C9" s="4"/>
      <c r="D9" s="8">
        <v>0.0</v>
      </c>
      <c r="E9" s="32"/>
      <c r="F9" s="4"/>
      <c r="G9" s="4"/>
      <c r="H9" s="4"/>
      <c r="I9" s="4"/>
      <c r="J9" s="4"/>
      <c r="K9" s="4"/>
      <c r="L9" s="4"/>
      <c r="M9" s="4"/>
      <c r="N9" s="4"/>
      <c r="O9" s="4"/>
      <c r="AD9" s="14">
        <v>0.0</v>
      </c>
      <c r="AH9" s="14" t="s">
        <v>30</v>
      </c>
      <c r="AI9" s="14" t="s">
        <v>16</v>
      </c>
      <c r="AJ9" s="14" t="s">
        <v>25</v>
      </c>
      <c r="AK9" s="14" t="s">
        <v>33</v>
      </c>
      <c r="AL9" s="14">
        <v>50000.0</v>
      </c>
      <c r="AM9" s="14">
        <v>50000.0</v>
      </c>
      <c r="AN9" s="14">
        <v>100.0</v>
      </c>
      <c r="AO9" s="14">
        <v>50000.0</v>
      </c>
      <c r="AQ9" s="14">
        <v>20.0</v>
      </c>
      <c r="AR9" s="14">
        <v>20.0</v>
      </c>
      <c r="AS9" s="14" t="s">
        <v>19</v>
      </c>
      <c r="AT9" s="14" t="s">
        <v>20</v>
      </c>
      <c r="AU9" s="14" t="s">
        <v>34</v>
      </c>
      <c r="AY9" s="14">
        <v>50000.0</v>
      </c>
      <c r="AZ9" s="14">
        <v>0.0</v>
      </c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28</v>
      </c>
      <c r="C6" s="4"/>
      <c r="D6" s="8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</v>
      </c>
      <c r="C6" s="8"/>
      <c r="D6" s="8"/>
      <c r="E6" s="8">
        <v>50000.0</v>
      </c>
      <c r="F6" s="4"/>
      <c r="G6" s="8" t="s">
        <v>30</v>
      </c>
      <c r="H6" s="8">
        <v>0.0</v>
      </c>
      <c r="I6" s="8">
        <v>0.0</v>
      </c>
      <c r="J6" s="4"/>
      <c r="K6" s="8">
        <v>0.0</v>
      </c>
      <c r="L6" s="8">
        <v>10.0</v>
      </c>
      <c r="M6" s="4"/>
      <c r="N6" s="4"/>
      <c r="O6" s="8" t="s">
        <v>19</v>
      </c>
      <c r="R6" s="14">
        <v>0.0</v>
      </c>
      <c r="S6" s="14" t="s">
        <v>38</v>
      </c>
      <c r="T6" s="14">
        <v>0.0</v>
      </c>
      <c r="AE6" s="14">
        <v>50000.0</v>
      </c>
      <c r="AT6" s="14">
        <v>0.0</v>
      </c>
      <c r="AU6" s="14">
        <v>500000.0</v>
      </c>
      <c r="AW6" s="14">
        <v>0.0</v>
      </c>
      <c r="AY6" s="14" t="s">
        <v>34</v>
      </c>
      <c r="AZ6" s="14">
        <v>0.0</v>
      </c>
      <c r="BC6" s="14">
        <v>0.0</v>
      </c>
      <c r="BE6" s="14">
        <v>0.0</v>
      </c>
      <c r="BF6" s="14">
        <v>500000.0</v>
      </c>
      <c r="BJ6" s="14">
        <v>50000.0</v>
      </c>
      <c r="BK6" s="14">
        <v>0.0</v>
      </c>
      <c r="BO6" s="14" t="s">
        <v>17</v>
      </c>
      <c r="BT6" s="14" t="s">
        <v>16</v>
      </c>
      <c r="BW6" s="14">
        <v>0.0</v>
      </c>
      <c r="CG6" s="14">
        <v>0.0</v>
      </c>
      <c r="CI6" s="14" t="s">
        <v>17</v>
      </c>
      <c r="CJ6" s="14">
        <v>0.0</v>
      </c>
    </row>
    <row r="7" ht="15.75" customHeight="1">
      <c r="A7" s="8"/>
      <c r="B7" s="8" t="s">
        <v>20</v>
      </c>
      <c r="C7" s="8"/>
      <c r="D7" s="8"/>
      <c r="E7" s="8">
        <v>50000.0</v>
      </c>
      <c r="F7" s="4"/>
      <c r="G7" s="8" t="s">
        <v>30</v>
      </c>
      <c r="H7" s="8">
        <v>0.0</v>
      </c>
      <c r="I7" s="8">
        <v>0.0</v>
      </c>
      <c r="J7" s="4"/>
      <c r="K7" s="8">
        <v>0.0</v>
      </c>
      <c r="L7" s="8">
        <v>15.0</v>
      </c>
      <c r="M7" s="4"/>
      <c r="N7" s="4"/>
      <c r="O7" s="8" t="s">
        <v>19</v>
      </c>
      <c r="R7" s="14">
        <v>0.0</v>
      </c>
      <c r="S7" s="14" t="s">
        <v>38</v>
      </c>
      <c r="T7" s="14">
        <v>0.0</v>
      </c>
      <c r="AE7" s="14">
        <v>50000.0</v>
      </c>
      <c r="AT7" s="14">
        <v>0.0</v>
      </c>
      <c r="AU7" s="14">
        <v>750000.0</v>
      </c>
      <c r="AW7" s="14">
        <v>0.0</v>
      </c>
      <c r="AY7" s="14" t="s">
        <v>34</v>
      </c>
      <c r="AZ7" s="14">
        <v>0.0</v>
      </c>
      <c r="BC7" s="14">
        <v>0.0</v>
      </c>
      <c r="BE7" s="14">
        <v>0.0</v>
      </c>
      <c r="BF7" s="14">
        <v>750000.0</v>
      </c>
      <c r="BJ7" s="14">
        <v>50000.0</v>
      </c>
      <c r="BK7" s="14">
        <v>0.0</v>
      </c>
      <c r="BO7" s="14" t="s">
        <v>17</v>
      </c>
      <c r="BT7" s="14" t="s">
        <v>16</v>
      </c>
      <c r="BW7" s="14">
        <v>0.0</v>
      </c>
      <c r="CG7" s="14">
        <v>0.0</v>
      </c>
      <c r="CI7" s="14" t="s">
        <v>17</v>
      </c>
      <c r="CJ7" s="14">
        <v>0.0</v>
      </c>
    </row>
    <row r="8" ht="15.75" customHeight="1">
      <c r="A8" s="33"/>
      <c r="B8" s="38" t="s">
        <v>18</v>
      </c>
      <c r="C8" s="33"/>
      <c r="D8" s="33"/>
      <c r="E8" s="39">
        <v>50000.0</v>
      </c>
      <c r="F8" s="33"/>
      <c r="G8" s="40" t="s">
        <v>30</v>
      </c>
      <c r="H8" s="41">
        <v>0.0</v>
      </c>
      <c r="I8" s="41">
        <v>0.0</v>
      </c>
      <c r="J8" s="33"/>
      <c r="K8" s="41">
        <v>0.0</v>
      </c>
      <c r="L8" s="41">
        <v>20.0</v>
      </c>
      <c r="M8" s="33"/>
      <c r="N8" s="33"/>
      <c r="O8" s="40" t="s">
        <v>19</v>
      </c>
      <c r="P8" s="33"/>
      <c r="Q8" s="33"/>
      <c r="R8" s="42">
        <v>0.0</v>
      </c>
      <c r="S8" s="33" t="s">
        <v>38</v>
      </c>
      <c r="T8" s="42">
        <v>0.0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14">
        <v>50000.0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42">
        <v>0.0</v>
      </c>
      <c r="AU8" s="14">
        <v>1000000.0</v>
      </c>
      <c r="AV8" s="33"/>
      <c r="AW8" s="42">
        <v>0.0</v>
      </c>
      <c r="AX8" s="33"/>
      <c r="AY8" s="33" t="s">
        <v>34</v>
      </c>
      <c r="AZ8" s="42">
        <v>0.0</v>
      </c>
      <c r="BA8" s="33"/>
      <c r="BB8" s="33"/>
      <c r="BC8" s="42">
        <v>0.0</v>
      </c>
      <c r="BD8" s="33"/>
      <c r="BE8" s="42">
        <v>0.0</v>
      </c>
      <c r="BF8" s="14">
        <v>1000000.0</v>
      </c>
      <c r="BG8" s="33"/>
      <c r="BH8" s="33"/>
      <c r="BI8" s="33"/>
      <c r="BJ8" s="14">
        <v>50000.0</v>
      </c>
      <c r="BK8" s="42">
        <v>0.0</v>
      </c>
      <c r="BL8" s="33"/>
      <c r="BM8" s="33"/>
      <c r="BN8" s="33"/>
      <c r="BO8" s="33" t="s">
        <v>25</v>
      </c>
      <c r="BP8" s="33"/>
      <c r="BQ8" s="33"/>
      <c r="BR8" s="33"/>
      <c r="BS8" s="33"/>
      <c r="BT8" s="33" t="s">
        <v>16</v>
      </c>
      <c r="BU8" s="33"/>
      <c r="BV8" s="33"/>
      <c r="BW8" s="42">
        <v>0.0</v>
      </c>
      <c r="BX8" s="33"/>
      <c r="BY8" s="33"/>
      <c r="BZ8" s="33"/>
      <c r="CA8" s="33"/>
      <c r="CB8" s="33"/>
      <c r="CC8" s="33"/>
      <c r="CD8" s="33"/>
      <c r="CE8" s="33"/>
      <c r="CF8" s="33"/>
      <c r="CG8" s="42">
        <v>0.0</v>
      </c>
      <c r="CH8" s="33"/>
      <c r="CI8" s="33" t="s">
        <v>25</v>
      </c>
      <c r="CJ8" s="42">
        <v>0.0</v>
      </c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"/>
      <c r="B9" s="8" t="s">
        <v>20</v>
      </c>
      <c r="C9" s="4"/>
      <c r="D9" s="4"/>
      <c r="E9" s="8">
        <v>50000.0</v>
      </c>
      <c r="F9" s="4"/>
      <c r="G9" s="8" t="s">
        <v>30</v>
      </c>
      <c r="H9" s="41">
        <v>0.0</v>
      </c>
      <c r="I9" s="41">
        <v>0.0</v>
      </c>
      <c r="J9" s="4"/>
      <c r="K9" s="41">
        <v>0.0</v>
      </c>
      <c r="L9" s="41">
        <v>20.0</v>
      </c>
      <c r="M9" s="4"/>
      <c r="N9" s="4"/>
      <c r="O9" s="40" t="s">
        <v>19</v>
      </c>
      <c r="R9" s="42">
        <v>0.0</v>
      </c>
      <c r="S9" s="33" t="s">
        <v>38</v>
      </c>
      <c r="T9" s="42">
        <v>0.0</v>
      </c>
      <c r="AE9" s="14">
        <v>50000.0</v>
      </c>
      <c r="AT9" s="14">
        <v>0.0</v>
      </c>
      <c r="AU9" s="14">
        <v>1000000.0</v>
      </c>
      <c r="AW9" s="14">
        <v>0.0</v>
      </c>
      <c r="AY9" s="14" t="s">
        <v>34</v>
      </c>
      <c r="AZ9" s="14">
        <v>0.0</v>
      </c>
      <c r="BC9" s="14">
        <v>0.0</v>
      </c>
      <c r="BE9" s="14">
        <v>0.0</v>
      </c>
      <c r="BF9" s="14">
        <v>1000000.0</v>
      </c>
      <c r="BJ9" s="14">
        <v>50000.0</v>
      </c>
      <c r="BK9" s="14">
        <v>0.0</v>
      </c>
      <c r="BO9" s="14" t="s">
        <v>25</v>
      </c>
      <c r="BT9" s="14" t="s">
        <v>16</v>
      </c>
      <c r="BW9" s="14">
        <v>0.0</v>
      </c>
      <c r="CG9" s="14">
        <v>0.0</v>
      </c>
      <c r="CI9" s="14" t="s">
        <v>25</v>
      </c>
      <c r="CJ9" s="14">
        <v>0.0</v>
      </c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43">
        <v>0.0</v>
      </c>
      <c r="B1" s="10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1" t="str">
        <f> VLOOKUP($E$3,'_MasterData'!B4:D1000,3,FALSE)</f>
        <v>#N/A</v>
      </c>
      <c r="K2" s="21"/>
      <c r="L2" s="4"/>
      <c r="M2" s="4"/>
      <c r="N2" s="4"/>
      <c r="O2" s="4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9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4" t="str">
        <f>IFERROR(__xludf.DUMMYFUNCTION("""COMPUTED_VALUE"""),"Trade Date")</f>
        <v>Trade Date</v>
      </c>
      <c r="C5" s="44" t="str">
        <f>IFERROR(__xludf.DUMMYFUNCTION("""COMPUTED_VALUE"""),"Symbol")</f>
        <v>Symbol</v>
      </c>
      <c r="D5" s="44" t="str">
        <f>IFERROR(__xludf.DUMMYFUNCTION("""COMPUTED_VALUE"""),"Position")</f>
        <v>Position</v>
      </c>
      <c r="E5" s="44" t="str">
        <f>IFERROR(__xludf.DUMMYFUNCTION("""COMPUTED_VALUE"""),"Account")</f>
        <v>Account</v>
      </c>
      <c r="F5" s="45" t="str">
        <f>IFERROR(__xludf.DUMMYFUNCTION("""COMPUTED_VALUE"""),"MasterFund")</f>
        <v>MasterFund</v>
      </c>
      <c r="G5" s="44" t="str">
        <f>IFERROR(__xludf.DUMMYFUNCTION("""COMPUTED_VALUE"""),"Cost Basis")</f>
        <v>Cost Basis</v>
      </c>
      <c r="H5" s="44" t="str">
        <f>IFERROR(__xludf.DUMMYFUNCTION("""COMPUTED_VALUE"""),"Position Side")</f>
        <v>Position Side</v>
      </c>
      <c r="I5" s="44" t="str">
        <f>IFERROR(__xludf.DUMMYFUNCTION("""COMPUTED_VALUE"""),"Market Value (Base)")</f>
        <v>Market Value (Base)</v>
      </c>
      <c r="J5" s="44" t="str">
        <f>IFERROR(__xludf.DUMMYFUNCTION("""COMPUTED_VALUE"""),"% Day P&amp;L (Gross MV)")</f>
        <v>% Day P&amp;L (Gross MV)</v>
      </c>
      <c r="K5" s="44" t="str">
        <f>IFERROR(__xludf.DUMMYFUNCTION("""COMPUTED_VALUE"""),"Net Exposure (Base)")</f>
        <v>Net Exposure (Base)</v>
      </c>
      <c r="L5" s="44" t="str">
        <f>IFERROR(__xludf.DUMMYFUNCTION("""COMPUTED_VALUE"""),"Beta Adj. Gross Exposure (Base)")</f>
        <v>Beta Adj. Gross Exposure (Base)</v>
      </c>
      <c r="M5" s="44" t="str">
        <f>IFERROR(__xludf.DUMMYFUNCTION("""COMPUTED_VALUE"""),"Beta Adj. Gross Exposure (Underlying) (Base)")</f>
        <v>Beta Adj. Gross Exposure (Underlying) (Base)</v>
      </c>
      <c r="N5" s="44" t="str">
        <f>IFERROR(__xludf.DUMMYFUNCTION("""COMPUTED_VALUE"""),"Day P&amp;L (Base)")</f>
        <v>Day P&amp;L (Base)</v>
      </c>
      <c r="O5" s="44" t="str">
        <f>IFERROR(__xludf.DUMMYFUNCTION("""COMPUTED_VALUE"""),"Security Name")</f>
        <v>Security Name</v>
      </c>
      <c r="P5" s="44" t="str">
        <f>IFERROR(__xludf.DUMMYFUNCTION("""COMPUTED_VALUE"""),"Closing Mark")</f>
        <v>Closing Mark</v>
      </c>
      <c r="Q5" s="44" t="str">
        <f>IFERROR(__xludf.DUMMYFUNCTION("""COMPUTED_VALUE"""),"Cost Basis P&amp;L (Base)")</f>
        <v>Cost Basis P&amp;L (Base)</v>
      </c>
      <c r="R5" s="44" t="str">
        <f>IFERROR(__xludf.DUMMYFUNCTION("""COMPUTED_VALUE"""),"Prime Broker")</f>
        <v>Prime Broker</v>
      </c>
      <c r="S5" s="44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3"/>
      <c r="B6" s="33"/>
      <c r="C6" s="46" t="s">
        <v>16</v>
      </c>
      <c r="D6" s="47">
        <v>50000.0</v>
      </c>
      <c r="E6" s="47" t="s">
        <v>20</v>
      </c>
      <c r="F6" s="33"/>
      <c r="G6" s="46">
        <v>15.0</v>
      </c>
      <c r="H6" s="46"/>
      <c r="I6" s="33"/>
      <c r="J6" s="47"/>
      <c r="K6" s="48"/>
      <c r="L6" s="33"/>
      <c r="M6" s="33"/>
      <c r="N6" s="48"/>
      <c r="O6" s="33"/>
      <c r="P6" s="33"/>
      <c r="Q6" s="48"/>
      <c r="R6" s="33"/>
      <c r="S6" s="33"/>
      <c r="T6" s="46" t="s">
        <v>30</v>
      </c>
      <c r="U6" s="48"/>
      <c r="V6" s="33"/>
      <c r="W6" s="46" t="s">
        <v>40</v>
      </c>
      <c r="X6" s="33"/>
      <c r="Y6" s="33"/>
      <c r="Z6" s="33"/>
      <c r="AA6" s="33"/>
      <c r="AB6" s="48"/>
      <c r="AC6" s="33"/>
      <c r="AD6" s="48"/>
      <c r="AE6" s="48"/>
      <c r="AF6" s="48"/>
      <c r="AG6" s="48"/>
      <c r="AH6" s="48"/>
      <c r="AI6" s="48"/>
      <c r="AJ6" s="48"/>
      <c r="AK6" s="48"/>
      <c r="AL6" s="33"/>
      <c r="AM6" s="33"/>
      <c r="AN6" s="46" t="s">
        <v>17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6" t="s">
        <v>16</v>
      </c>
      <c r="D7" s="47">
        <v>-50000.0</v>
      </c>
      <c r="E7" s="47" t="s">
        <v>18</v>
      </c>
      <c r="F7" s="33"/>
      <c r="G7" s="46">
        <v>20.0</v>
      </c>
      <c r="H7" s="46"/>
      <c r="I7" s="33"/>
      <c r="J7" s="47"/>
      <c r="K7" s="48"/>
      <c r="L7" s="33"/>
      <c r="M7" s="33"/>
      <c r="N7" s="48"/>
      <c r="O7" s="33"/>
      <c r="P7" s="33"/>
      <c r="Q7" s="48"/>
      <c r="R7" s="33"/>
      <c r="S7" s="33"/>
      <c r="T7" s="46" t="s">
        <v>30</v>
      </c>
      <c r="U7" s="48"/>
      <c r="V7" s="33"/>
      <c r="W7" s="46" t="s">
        <v>40</v>
      </c>
      <c r="X7" s="33"/>
      <c r="Y7" s="33"/>
      <c r="Z7" s="33"/>
      <c r="AA7" s="33"/>
      <c r="AB7" s="48"/>
      <c r="AC7" s="33"/>
      <c r="AD7" s="48"/>
      <c r="AE7" s="48"/>
      <c r="AF7" s="48"/>
      <c r="AG7" s="48"/>
      <c r="AH7" s="48"/>
      <c r="AI7" s="48"/>
      <c r="AJ7" s="48"/>
      <c r="AK7" s="48"/>
      <c r="AL7" s="33"/>
      <c r="AM7" s="33"/>
      <c r="AN7" s="46" t="s">
        <v>25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6" t="s">
        <v>16</v>
      </c>
      <c r="D8" s="47">
        <v>50000.0</v>
      </c>
      <c r="E8" s="47" t="s">
        <v>18</v>
      </c>
      <c r="F8" s="33"/>
      <c r="G8" s="46">
        <v>10.0</v>
      </c>
      <c r="H8" s="46"/>
      <c r="I8" s="33"/>
      <c r="J8" s="47"/>
      <c r="K8" s="48"/>
      <c r="L8" s="33"/>
      <c r="M8" s="33"/>
      <c r="N8" s="48"/>
      <c r="O8" s="33"/>
      <c r="P8" s="33"/>
      <c r="Q8" s="48"/>
      <c r="R8" s="33"/>
      <c r="S8" s="33"/>
      <c r="T8" s="46" t="s">
        <v>30</v>
      </c>
      <c r="U8" s="48"/>
      <c r="V8" s="33"/>
      <c r="W8" s="46" t="s">
        <v>40</v>
      </c>
      <c r="X8" s="33"/>
      <c r="Y8" s="33"/>
      <c r="Z8" s="33"/>
      <c r="AA8" s="33"/>
      <c r="AB8" s="48"/>
      <c r="AC8" s="33"/>
      <c r="AD8" s="48"/>
      <c r="AE8" s="48"/>
      <c r="AF8" s="48"/>
      <c r="AG8" s="48"/>
      <c r="AH8" s="48"/>
      <c r="AI8" s="48"/>
      <c r="AJ8" s="48"/>
      <c r="AK8" s="48"/>
      <c r="AL8" s="33"/>
      <c r="AM8" s="33"/>
      <c r="AN8" s="46" t="s">
        <v>17</v>
      </c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6" t="s">
        <v>16</v>
      </c>
      <c r="D9" s="47">
        <v>-50000.0</v>
      </c>
      <c r="E9" s="47" t="s">
        <v>20</v>
      </c>
      <c r="F9" s="33"/>
      <c r="G9" s="46">
        <v>20.0</v>
      </c>
      <c r="H9" s="46"/>
      <c r="I9" s="33"/>
      <c r="J9" s="47"/>
      <c r="K9" s="48"/>
      <c r="L9" s="33"/>
      <c r="M9" s="33"/>
      <c r="N9" s="48"/>
      <c r="O9" s="33"/>
      <c r="P9" s="33"/>
      <c r="Q9" s="48"/>
      <c r="R9" s="33"/>
      <c r="S9" s="33"/>
      <c r="T9" s="46" t="s">
        <v>30</v>
      </c>
      <c r="U9" s="48"/>
      <c r="V9" s="33"/>
      <c r="W9" s="46" t="s">
        <v>40</v>
      </c>
      <c r="X9" s="33"/>
      <c r="Y9" s="33"/>
      <c r="Z9" s="33"/>
      <c r="AA9" s="33"/>
      <c r="AB9" s="48"/>
      <c r="AC9" s="33"/>
      <c r="AD9" s="48"/>
      <c r="AE9" s="48"/>
      <c r="AF9" s="48"/>
      <c r="AG9" s="48"/>
      <c r="AH9" s="48"/>
      <c r="AI9" s="48"/>
      <c r="AJ9" s="48"/>
      <c r="AK9" s="48"/>
      <c r="AL9" s="33"/>
      <c r="AM9" s="33"/>
      <c r="AN9" s="46" t="s">
        <v>25</v>
      </c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