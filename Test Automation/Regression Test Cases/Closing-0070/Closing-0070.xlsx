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CheckAllocatedGroups" sheetId="6" r:id="rId8"/>
    <sheet state="visible" name="SelectTradeUnexpiredUnsettled" sheetId="7" r:id="rId9"/>
    <sheet state="visible" name="ExerciseAssignment" sheetId="8" r:id="rId10"/>
    <sheet state="visible" name="CheckAllocatedGroups1" sheetId="9" r:id="rId11"/>
    <sheet state="visible" name="SetClosingPreference2" sheetId="10" r:id="rId12"/>
  </sheets>
  <definedNames/>
  <calcPr/>
</workbook>
</file>

<file path=xl/sharedStrings.xml><?xml version="1.0" encoding="utf-8"?>
<sst xmlns="http://schemas.openxmlformats.org/spreadsheetml/2006/main" count="148" uniqueCount="35">
  <si>
    <t>Modules Info</t>
  </si>
  <si>
    <t>Settings</t>
  </si>
  <si>
    <t>Master Data Info</t>
  </si>
  <si>
    <t>Module</t>
  </si>
  <si>
    <t>Modules</t>
  </si>
  <si>
    <t>Module Step Setting File</t>
  </si>
  <si>
    <t>Step</t>
  </si>
  <si>
    <t>15Il9KeswuJGgf6kL64q0xt7c_sevGOAe7T20r5WsNa0</t>
  </si>
  <si>
    <t>Master Data Sheet</t>
  </si>
  <si>
    <t>Master Data Settings File</t>
  </si>
  <si>
    <t>1hEhI9rg16D4Xvfk19pDaFUFF78jjfIG29BBaNg8kT0A</t>
  </si>
  <si>
    <t>Data</t>
  </si>
  <si>
    <t>Closing</t>
  </si>
  <si>
    <t>SetClosingPreference</t>
  </si>
  <si>
    <t>Data Format</t>
  </si>
  <si>
    <t>Input Format</t>
  </si>
  <si>
    <t>TradingTicket</t>
  </si>
  <si>
    <t>CreateDoneAwayOrder</t>
  </si>
  <si>
    <t>O:ABM 10D20.00</t>
  </si>
  <si>
    <t>Buy to Open</t>
  </si>
  <si>
    <t>Allocation1</t>
  </si>
  <si>
    <t>Sell to Close</t>
  </si>
  <si>
    <t>BP U3C1240</t>
  </si>
  <si>
    <t>Allocation</t>
  </si>
  <si>
    <t>CheckAllocatedGroups</t>
  </si>
  <si>
    <t>EquityOption</t>
  </si>
  <si>
    <t>FutureOption</t>
  </si>
  <si>
    <t>SelectTradeUnexpiredUnsettled</t>
  </si>
  <si>
    <t>ExerciseAssignment</t>
  </si>
  <si>
    <t>Future</t>
  </si>
  <si>
    <t>Sell short</t>
  </si>
  <si>
    <t>BP U3</t>
  </si>
  <si>
    <t>Buy</t>
  </si>
  <si>
    <t>Equity</t>
  </si>
  <si>
    <t>ABM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</si>
</sst>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8" numFmtId="0" xfId="0" applyFont="1"/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4</v>
      </c>
      <c r="B3" s="12"/>
      <c r="C3" s="14"/>
      <c r="D3" s="14"/>
      <c r="E3" s="14"/>
      <c r="F3" s="14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5" t="s">
        <v>7</v>
      </c>
      <c r="C3" s="7"/>
    </row>
    <row r="4" ht="15.75" customHeight="1">
      <c r="A4" s="8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6</v>
      </c>
      <c r="C3" s="10" t="s">
        <v>8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IFERROR(__xludf.DUMMYFUNCTION("""COMPUTED_VALUE"""),"Method")</f>
        <v>Method</v>
      </c>
      <c r="C5" s="26" t="str">
        <f>IFERROR(__xludf.DUMMYFUNCTION("""COMPUTED_VALUE"""),"Global Algorithm")</f>
        <v>Global Algorithm</v>
      </c>
      <c r="D5" s="26" t="str">
        <f>IFERROR(__xludf.DUMMYFUNCTION("""COMPUTED_VALUE"""),"Secondary Sort Criteria")</f>
        <v>Secondary Sort Criteria</v>
      </c>
      <c r="E5" s="26" t="str">
        <f>IFERROR(__xludf.DUMMYFUNCTION("""COMPUTED_VALUE"""),"Override Global Algorithm")</f>
        <v>Override Global Algorithm</v>
      </c>
      <c r="F5" s="27" t="str">
        <f>IFERROR(__xludf.DUMMYFUNCTION("""COMPUTED_VALUE"""),"Can close Sell Short with Buy and Buy to Open")</f>
        <v>Can close Sell Short with Buy and Buy to Open</v>
      </c>
      <c r="G5" s="26" t="str">
        <f>IFERROR(__xludf.DUMMYFUNCTION("""COMPUTED_VALUE"""),"Can close Sell with Buy to Close")</f>
        <v>Can close Sell with Buy to Close</v>
      </c>
      <c r="H5" s="26" t="str">
        <f>IFERROR(__xludf.DUMMYFUNCTION("""COMPUTED_VALUE"""),"Fetch Data Automatically")</f>
        <v>Fetch Data Automatically</v>
      </c>
      <c r="I5" s="26" t="str">
        <f>IFERROR(__xludf.DUMMYFUNCTION("""COMPUTED_VALUE"""),"Auto Close Stategy")</f>
        <v>Auto Close Stategy</v>
      </c>
      <c r="J5" s="26" t="str">
        <f>IFERROR(__xludf.DUMMYFUNCTION("""COMPUTED_VALUE"""),"Exercise/Assign CheckSide Validation")</f>
        <v>Exercise/Assign CheckSide Validation</v>
      </c>
      <c r="K5" s="26" t="str">
        <f>IFERROR(__xludf.DUMMYFUNCTION("""COMPUTED_VALUE"""),"Long Term Tax Rate (%)")</f>
        <v>Long Term Tax Rate (%)</v>
      </c>
      <c r="L5" s="26" t="str">
        <f>IFERROR(__xludf.DUMMYFUNCTION("""COMPUTED_VALUE"""),"Short Term Tax Rate (%)")</f>
        <v>Short Term Tax Rate (%)</v>
      </c>
      <c r="M5" s="26" t="str">
        <f>IFERROR(__xludf.DUMMYFUNCTION("""COMPUTED_VALUE"""),"Quantity round off digits")</f>
        <v>Quantity round off digits</v>
      </c>
      <c r="N5" s="26" t="str">
        <f>IFERROR(__xludf.DUMMYFUNCTION("""COMPUTED_VALUE"""),"Price round off digits")</f>
        <v>Price round off digits</v>
      </c>
      <c r="O5" s="26" t="str">
        <f>IFERROR(__xludf.DUMMYFUNCTION("""COMPUTED_VALUE"""),"Closing Field")</f>
        <v>Closing Field</v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15" t="b">
        <v>1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17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 t="s">
        <v>18</v>
      </c>
      <c r="C6" s="15" t="s">
        <v>19</v>
      </c>
      <c r="D6" s="15">
        <v>100.0</v>
      </c>
      <c r="E6" s="7"/>
      <c r="F6" s="15" t="s">
        <v>20</v>
      </c>
      <c r="G6" s="7"/>
      <c r="H6" s="7"/>
      <c r="I6" s="7"/>
      <c r="J6" s="15">
        <v>22.0</v>
      </c>
      <c r="K6" s="7"/>
      <c r="L6" s="7"/>
      <c r="M6" s="7"/>
      <c r="N6" s="30">
        <f t="shared" ref="N6:N9" si="1">Today()</f>
        <v>43734</v>
      </c>
      <c r="O6" s="7"/>
    </row>
    <row r="7" ht="15.75" customHeight="1">
      <c r="A7" s="7"/>
      <c r="B7" s="15" t="s">
        <v>18</v>
      </c>
      <c r="C7" s="15" t="s">
        <v>21</v>
      </c>
      <c r="D7" s="15">
        <v>50.0</v>
      </c>
      <c r="E7" s="7"/>
      <c r="F7" s="15" t="s">
        <v>20</v>
      </c>
      <c r="G7" s="7"/>
      <c r="H7" s="7"/>
      <c r="I7" s="7"/>
      <c r="J7" s="15">
        <v>23.0</v>
      </c>
      <c r="K7" s="7"/>
      <c r="L7" s="7"/>
      <c r="M7" s="7"/>
      <c r="N7" s="30">
        <f t="shared" si="1"/>
        <v>43734</v>
      </c>
      <c r="O7" s="7"/>
    </row>
    <row r="8" ht="15.75" customHeight="1">
      <c r="A8" s="7"/>
      <c r="B8" s="15" t="s">
        <v>22</v>
      </c>
      <c r="C8" s="15" t="s">
        <v>19</v>
      </c>
      <c r="D8" s="15">
        <v>200.0</v>
      </c>
      <c r="E8" s="7"/>
      <c r="F8" s="15" t="s">
        <v>20</v>
      </c>
      <c r="G8" s="7"/>
      <c r="H8" s="7"/>
      <c r="I8" s="7"/>
      <c r="J8" s="15">
        <v>24.0</v>
      </c>
      <c r="K8" s="7"/>
      <c r="L8" s="7"/>
      <c r="M8" s="7"/>
      <c r="N8" s="30">
        <f t="shared" si="1"/>
        <v>43734</v>
      </c>
      <c r="O8" s="7"/>
    </row>
    <row r="9" ht="15.75" customHeight="1">
      <c r="A9" s="7"/>
      <c r="B9" s="15" t="s">
        <v>22</v>
      </c>
      <c r="C9" s="15" t="s">
        <v>21</v>
      </c>
      <c r="D9" s="15">
        <v>30.0</v>
      </c>
      <c r="E9" s="7"/>
      <c r="F9" s="15" t="s">
        <v>20</v>
      </c>
      <c r="G9" s="7"/>
      <c r="H9" s="7"/>
      <c r="I9" s="7"/>
      <c r="J9" s="15">
        <v>27.0</v>
      </c>
      <c r="K9" s="7"/>
      <c r="L9" s="7"/>
      <c r="M9" s="7"/>
      <c r="N9" s="30">
        <f t="shared" si="1"/>
        <v>43734</v>
      </c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23</v>
      </c>
      <c r="D3" s="9" t="s">
        <v>6</v>
      </c>
      <c r="E3" s="21" t="s">
        <v>24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 t="s">
        <v>20</v>
      </c>
      <c r="C6" s="7"/>
      <c r="D6" s="7"/>
      <c r="E6" s="7"/>
      <c r="F6" s="7"/>
      <c r="G6" s="15" t="s">
        <v>25</v>
      </c>
      <c r="H6" s="7"/>
      <c r="I6" s="7"/>
      <c r="J6" s="7"/>
      <c r="K6" s="7"/>
      <c r="L6" s="7"/>
      <c r="M6" s="7"/>
      <c r="N6" s="7"/>
      <c r="O6" s="7"/>
      <c r="BJ6" s="29">
        <v>100.0</v>
      </c>
      <c r="BO6" s="29" t="s">
        <v>19</v>
      </c>
      <c r="BT6" s="29" t="s">
        <v>18</v>
      </c>
    </row>
    <row r="7" ht="15.75" customHeight="1">
      <c r="A7" s="7"/>
      <c r="B7" s="15" t="s">
        <v>20</v>
      </c>
      <c r="C7" s="7"/>
      <c r="D7" s="7"/>
      <c r="E7" s="7"/>
      <c r="F7" s="7"/>
      <c r="G7" s="15" t="s">
        <v>25</v>
      </c>
      <c r="H7" s="7"/>
      <c r="I7" s="7"/>
      <c r="J7" s="7"/>
      <c r="K7" s="7"/>
      <c r="L7" s="7"/>
      <c r="M7" s="7"/>
      <c r="N7" s="7"/>
      <c r="O7" s="7"/>
      <c r="BJ7" s="29">
        <v>50.0</v>
      </c>
      <c r="BO7" s="29" t="s">
        <v>21</v>
      </c>
      <c r="BT7" s="29" t="s">
        <v>18</v>
      </c>
    </row>
    <row r="8" ht="15.75" customHeight="1">
      <c r="A8" s="7"/>
      <c r="B8" s="15" t="s">
        <v>20</v>
      </c>
      <c r="C8" s="7"/>
      <c r="D8" s="7"/>
      <c r="E8" s="7"/>
      <c r="F8" s="7"/>
      <c r="G8" s="15" t="s">
        <v>26</v>
      </c>
      <c r="H8" s="7"/>
      <c r="I8" s="7"/>
      <c r="J8" s="7"/>
      <c r="K8" s="7"/>
      <c r="L8" s="7"/>
      <c r="M8" s="7"/>
      <c r="N8" s="7"/>
      <c r="O8" s="7"/>
      <c r="BJ8" s="29">
        <v>200.0</v>
      </c>
      <c r="BO8" s="29" t="s">
        <v>19</v>
      </c>
      <c r="BT8" s="29" t="s">
        <v>22</v>
      </c>
    </row>
    <row r="9" ht="15.75" customHeight="1">
      <c r="A9" s="7"/>
      <c r="B9" s="15" t="s">
        <v>20</v>
      </c>
      <c r="C9" s="7"/>
      <c r="D9" s="7"/>
      <c r="E9" s="7"/>
      <c r="F9" s="7"/>
      <c r="G9" s="15" t="s">
        <v>26</v>
      </c>
      <c r="H9" s="7"/>
      <c r="I9" s="7"/>
      <c r="J9" s="7"/>
      <c r="K9" s="7"/>
      <c r="L9" s="7"/>
      <c r="M9" s="7"/>
      <c r="N9" s="7"/>
      <c r="O9" s="7"/>
      <c r="BJ9" s="29">
        <v>30.0</v>
      </c>
      <c r="BO9" s="29" t="s">
        <v>21</v>
      </c>
      <c r="BT9" s="29" t="s">
        <v>22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27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 t="s">
        <v>20</v>
      </c>
      <c r="C6" s="7"/>
      <c r="D6" s="7"/>
      <c r="E6" s="15" t="s">
        <v>25</v>
      </c>
      <c r="F6" s="7"/>
      <c r="G6" s="7"/>
      <c r="H6" s="7"/>
      <c r="I6" s="7"/>
      <c r="J6" s="7"/>
      <c r="K6" s="7"/>
      <c r="L6" s="7"/>
      <c r="M6" s="7"/>
      <c r="N6" s="7"/>
      <c r="O6" s="7"/>
      <c r="CG6" s="29">
        <v>100.0</v>
      </c>
      <c r="DH6" s="29" t="s">
        <v>18</v>
      </c>
    </row>
    <row r="7" ht="15.75" customHeight="1">
      <c r="A7" s="7"/>
      <c r="B7" s="15" t="s">
        <v>20</v>
      </c>
      <c r="C7" s="7"/>
      <c r="D7" s="7"/>
      <c r="E7" s="15" t="s">
        <v>25</v>
      </c>
      <c r="F7" s="7"/>
      <c r="G7" s="7"/>
      <c r="H7" s="7"/>
      <c r="I7" s="7"/>
      <c r="J7" s="7"/>
      <c r="K7" s="7"/>
      <c r="L7" s="7"/>
      <c r="M7" s="7"/>
      <c r="N7" s="7"/>
      <c r="O7" s="7"/>
      <c r="CG7" s="29">
        <v>50.0</v>
      </c>
      <c r="DH7" s="29" t="s">
        <v>18</v>
      </c>
    </row>
    <row r="8" ht="15.75" customHeight="1">
      <c r="A8" s="7"/>
      <c r="B8" s="15" t="s">
        <v>20</v>
      </c>
      <c r="C8" s="7"/>
      <c r="D8" s="7"/>
      <c r="E8" s="15" t="s">
        <v>26</v>
      </c>
      <c r="F8" s="7"/>
      <c r="G8" s="7"/>
      <c r="H8" s="7"/>
      <c r="I8" s="7"/>
      <c r="J8" s="7"/>
      <c r="K8" s="7"/>
      <c r="L8" s="7"/>
      <c r="M8" s="7"/>
      <c r="N8" s="7"/>
      <c r="O8" s="7"/>
      <c r="CG8" s="29">
        <v>200.0</v>
      </c>
      <c r="DH8" s="29" t="s">
        <v>22</v>
      </c>
    </row>
    <row r="9" ht="15.75" customHeight="1">
      <c r="A9" s="7"/>
      <c r="B9" s="15" t="s">
        <v>20</v>
      </c>
      <c r="C9" s="7"/>
      <c r="D9" s="7"/>
      <c r="E9" s="15" t="s">
        <v>26</v>
      </c>
      <c r="F9" s="7"/>
      <c r="G9" s="7"/>
      <c r="H9" s="7"/>
      <c r="I9" s="7"/>
      <c r="J9" s="7"/>
      <c r="K9" s="7"/>
      <c r="L9" s="7"/>
      <c r="M9" s="7"/>
      <c r="N9" s="7"/>
      <c r="O9" s="7"/>
      <c r="CG9" s="29">
        <v>30.0</v>
      </c>
      <c r="DH9" s="29" t="s">
        <v>22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28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IFERROR(__xludf.DUMMYFUNCTION("""COMPUTED_VALUE"""),"AUECID")</f>
        <v>AUECID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5">
        <v>50.0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5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5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23</v>
      </c>
      <c r="D3" s="9" t="s">
        <v>6</v>
      </c>
      <c r="E3" s="21" t="s">
        <v>24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 t="s">
        <v>20</v>
      </c>
      <c r="C6" s="7"/>
      <c r="D6" s="7"/>
      <c r="E6" s="7"/>
      <c r="F6" s="7"/>
      <c r="G6" s="29" t="s">
        <v>25</v>
      </c>
      <c r="H6" s="7"/>
      <c r="I6" s="7"/>
      <c r="J6" s="7"/>
      <c r="K6" s="7"/>
      <c r="L6" s="7"/>
      <c r="M6" s="7"/>
      <c r="N6" s="7"/>
      <c r="O6" s="7"/>
      <c r="BJ6" s="29">
        <v>100.0</v>
      </c>
      <c r="BO6" s="29" t="s">
        <v>19</v>
      </c>
      <c r="BT6" s="29" t="s">
        <v>18</v>
      </c>
    </row>
    <row r="7" ht="15.75" customHeight="1">
      <c r="A7" s="7"/>
      <c r="B7" s="15" t="s">
        <v>20</v>
      </c>
      <c r="C7" s="7"/>
      <c r="D7" s="7"/>
      <c r="E7" s="7"/>
      <c r="F7" s="7"/>
      <c r="G7" s="29" t="s">
        <v>25</v>
      </c>
      <c r="H7" s="7"/>
      <c r="I7" s="7"/>
      <c r="J7" s="7"/>
      <c r="K7" s="7"/>
      <c r="L7" s="7"/>
      <c r="M7" s="7"/>
      <c r="N7" s="7"/>
      <c r="O7" s="7"/>
      <c r="BJ7" s="29">
        <v>50.0</v>
      </c>
      <c r="BO7" s="29" t="s">
        <v>21</v>
      </c>
      <c r="BT7" s="29" t="s">
        <v>18</v>
      </c>
    </row>
    <row r="8" ht="15.75" customHeight="1">
      <c r="A8" s="7"/>
      <c r="B8" s="15" t="s">
        <v>20</v>
      </c>
      <c r="C8" s="7"/>
      <c r="D8" s="7"/>
      <c r="E8" s="7"/>
      <c r="F8" s="7"/>
      <c r="G8" s="29" t="s">
        <v>26</v>
      </c>
      <c r="H8" s="7"/>
      <c r="I8" s="7"/>
      <c r="J8" s="7"/>
      <c r="K8" s="7"/>
      <c r="L8" s="7"/>
      <c r="M8" s="7"/>
      <c r="N8" s="7"/>
      <c r="O8" s="7"/>
      <c r="BJ8" s="29">
        <v>200.0</v>
      </c>
      <c r="BO8" s="29" t="s">
        <v>19</v>
      </c>
      <c r="BT8" s="29" t="s">
        <v>22</v>
      </c>
    </row>
    <row r="9" ht="15.75" customHeight="1">
      <c r="A9" s="7"/>
      <c r="B9" s="15" t="s">
        <v>20</v>
      </c>
      <c r="C9" s="7"/>
      <c r="D9" s="7"/>
      <c r="E9" s="7"/>
      <c r="F9" s="7"/>
      <c r="G9" s="29" t="s">
        <v>26</v>
      </c>
      <c r="H9" s="7"/>
      <c r="I9" s="7"/>
      <c r="J9" s="7"/>
      <c r="K9" s="7"/>
      <c r="L9" s="7"/>
      <c r="M9" s="7"/>
      <c r="N9" s="7"/>
      <c r="O9" s="7"/>
      <c r="BJ9" s="29">
        <v>30.0</v>
      </c>
      <c r="BO9" s="29" t="s">
        <v>21</v>
      </c>
      <c r="BT9" s="29" t="s">
        <v>22</v>
      </c>
    </row>
    <row r="10" ht="15.75" customHeight="1">
      <c r="A10" s="7"/>
      <c r="B10" s="15" t="s">
        <v>20</v>
      </c>
      <c r="C10" s="7"/>
      <c r="D10" s="7"/>
      <c r="E10" s="7"/>
      <c r="F10" s="7"/>
      <c r="G10" s="29" t="s">
        <v>29</v>
      </c>
      <c r="H10" s="7"/>
      <c r="I10" s="7"/>
      <c r="J10" s="7"/>
      <c r="K10" s="7"/>
      <c r="L10" s="7"/>
      <c r="M10" s="7"/>
      <c r="N10" s="7"/>
      <c r="O10" s="7"/>
      <c r="BJ10" s="29">
        <v>1875000.0</v>
      </c>
      <c r="BO10" s="29" t="s">
        <v>30</v>
      </c>
      <c r="BT10" s="29" t="s">
        <v>31</v>
      </c>
    </row>
    <row r="11" ht="15.75" customHeight="1">
      <c r="A11" s="7"/>
      <c r="B11" s="15" t="s">
        <v>20</v>
      </c>
      <c r="C11" s="7"/>
      <c r="D11" s="7"/>
      <c r="E11" s="7"/>
      <c r="F11" s="7"/>
      <c r="G11" s="29" t="s">
        <v>29</v>
      </c>
      <c r="H11" s="7"/>
      <c r="I11" s="7"/>
      <c r="J11" s="7"/>
      <c r="K11" s="7"/>
      <c r="L11" s="7"/>
      <c r="M11" s="7"/>
      <c r="N11" s="7"/>
      <c r="O11" s="7"/>
      <c r="BJ11" s="29">
        <v>1.25E7</v>
      </c>
      <c r="BO11" s="29" t="s">
        <v>32</v>
      </c>
      <c r="BT11" s="29" t="s">
        <v>31</v>
      </c>
    </row>
    <row r="12" ht="15.75" customHeight="1">
      <c r="A12" s="7"/>
      <c r="B12" s="15" t="s">
        <v>20</v>
      </c>
      <c r="C12" s="7"/>
      <c r="D12" s="7"/>
      <c r="E12" s="7"/>
      <c r="F12" s="7"/>
      <c r="G12" s="29" t="s">
        <v>33</v>
      </c>
      <c r="H12" s="7"/>
      <c r="I12" s="7"/>
      <c r="J12" s="7"/>
      <c r="K12" s="7"/>
      <c r="L12" s="7"/>
      <c r="M12" s="7"/>
      <c r="N12" s="7"/>
      <c r="O12" s="7"/>
      <c r="BJ12" s="29">
        <v>5000.0</v>
      </c>
      <c r="BO12" s="29" t="s">
        <v>30</v>
      </c>
      <c r="BT12" s="29" t="s">
        <v>34</v>
      </c>
    </row>
    <row r="13" ht="15.75" customHeight="1">
      <c r="A13" s="7"/>
      <c r="B13" s="15" t="s">
        <v>20</v>
      </c>
      <c r="C13" s="7"/>
      <c r="D13" s="7"/>
      <c r="E13" s="7"/>
      <c r="F13" s="7"/>
      <c r="G13" s="29" t="s">
        <v>33</v>
      </c>
      <c r="H13" s="7"/>
      <c r="I13" s="7"/>
      <c r="J13" s="7"/>
      <c r="K13" s="7"/>
      <c r="L13" s="7"/>
      <c r="M13" s="7"/>
      <c r="N13" s="7"/>
      <c r="O13" s="7"/>
      <c r="BJ13" s="29">
        <v>10000.0</v>
      </c>
      <c r="BO13" s="29" t="s">
        <v>32</v>
      </c>
      <c r="BT13" s="29" t="s">
        <v>34</v>
      </c>
    </row>
    <row r="14" ht="15.75" customHeight="1">
      <c r="A14" s="7"/>
      <c r="B14" s="15" t="s">
        <v>20</v>
      </c>
      <c r="C14" s="7"/>
      <c r="D14" s="7"/>
      <c r="E14" s="7"/>
      <c r="F14" s="7"/>
      <c r="G14" s="29" t="s">
        <v>25</v>
      </c>
      <c r="H14" s="7"/>
      <c r="I14" s="7"/>
      <c r="J14" s="7"/>
      <c r="K14" s="7"/>
      <c r="L14" s="7"/>
      <c r="M14" s="7"/>
      <c r="N14" s="7"/>
      <c r="O14" s="7"/>
      <c r="BJ14" s="29">
        <v>100.0</v>
      </c>
      <c r="BO14" s="29" t="s">
        <v>21</v>
      </c>
      <c r="BT14" s="29" t="s">
        <v>18</v>
      </c>
    </row>
    <row r="15" ht="15.75" customHeight="1">
      <c r="A15" s="7"/>
      <c r="B15" s="15" t="s">
        <v>20</v>
      </c>
      <c r="C15" s="7"/>
      <c r="D15" s="7"/>
      <c r="E15" s="7"/>
      <c r="F15" s="7"/>
      <c r="G15" s="29" t="s">
        <v>25</v>
      </c>
      <c r="H15" s="7"/>
      <c r="I15" s="7"/>
      <c r="J15" s="7"/>
      <c r="K15" s="7"/>
      <c r="L15" s="7"/>
      <c r="M15" s="7"/>
      <c r="N15" s="7"/>
      <c r="O15" s="7"/>
      <c r="BJ15" s="29">
        <v>50.0</v>
      </c>
      <c r="BO15" s="29" t="s">
        <v>19</v>
      </c>
      <c r="BT15" s="29" t="s">
        <v>18</v>
      </c>
    </row>
    <row r="16" ht="15.75" customHeight="1">
      <c r="A16" s="7"/>
      <c r="B16" s="15" t="s">
        <v>20</v>
      </c>
      <c r="C16" s="7"/>
      <c r="D16" s="7"/>
      <c r="E16" s="7"/>
      <c r="F16" s="7"/>
      <c r="G16" s="29" t="s">
        <v>26</v>
      </c>
      <c r="H16" s="7"/>
      <c r="I16" s="7"/>
      <c r="J16" s="7"/>
      <c r="K16" s="7"/>
      <c r="L16" s="7"/>
      <c r="M16" s="7"/>
      <c r="N16" s="7"/>
      <c r="O16" s="7"/>
      <c r="BJ16" s="29">
        <v>200.0</v>
      </c>
      <c r="BO16" s="29" t="s">
        <v>21</v>
      </c>
      <c r="BT16" s="29" t="s">
        <v>22</v>
      </c>
    </row>
    <row r="17" ht="15.75" customHeight="1">
      <c r="A17" s="7"/>
      <c r="B17" s="15" t="s">
        <v>20</v>
      </c>
      <c r="C17" s="7"/>
      <c r="D17" s="7"/>
      <c r="E17" s="7"/>
      <c r="F17" s="7"/>
      <c r="G17" s="29" t="s">
        <v>26</v>
      </c>
      <c r="H17" s="7"/>
      <c r="I17" s="7"/>
      <c r="J17" s="7"/>
      <c r="K17" s="7"/>
      <c r="L17" s="7"/>
      <c r="M17" s="7"/>
      <c r="N17" s="7"/>
      <c r="O17" s="7"/>
      <c r="BJ17" s="29">
        <v>30.0</v>
      </c>
      <c r="BO17" s="29" t="s">
        <v>19</v>
      </c>
      <c r="BT17" s="29" t="s">
        <v>22</v>
      </c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IFERROR(__xludf.DUMMYFUNCTION("""COMPUTED_VALUE"""),"Method")</f>
        <v>Method</v>
      </c>
      <c r="C5" s="26" t="str">
        <f>IFERROR(__xludf.DUMMYFUNCTION("""COMPUTED_VALUE"""),"Global Algorithm")</f>
        <v>Global Algorithm</v>
      </c>
      <c r="D5" s="26" t="str">
        <f>IFERROR(__xludf.DUMMYFUNCTION("""COMPUTED_VALUE"""),"Secondary Sort Criteria")</f>
        <v>Secondary Sort Criteria</v>
      </c>
      <c r="E5" s="26" t="str">
        <f>IFERROR(__xludf.DUMMYFUNCTION("""COMPUTED_VALUE"""),"Override Global Algorithm")</f>
        <v>Override Global Algorithm</v>
      </c>
      <c r="F5" s="27" t="str">
        <f>IFERROR(__xludf.DUMMYFUNCTION("""COMPUTED_VALUE"""),"Can close Sell Short with Buy and Buy to Open")</f>
        <v>Can close Sell Short with Buy and Buy to Open</v>
      </c>
      <c r="G5" s="26" t="str">
        <f>IFERROR(__xludf.DUMMYFUNCTION("""COMPUTED_VALUE"""),"Can close Sell with Buy to Close")</f>
        <v>Can close Sell with Buy to Close</v>
      </c>
      <c r="H5" s="26" t="str">
        <f>IFERROR(__xludf.DUMMYFUNCTION("""COMPUTED_VALUE"""),"Fetch Data Automatically")</f>
        <v>Fetch Data Automatically</v>
      </c>
      <c r="I5" s="26" t="str">
        <f>IFERROR(__xludf.DUMMYFUNCTION("""COMPUTED_VALUE"""),"Auto Close Stategy")</f>
        <v>Auto Close Stategy</v>
      </c>
      <c r="J5" s="26" t="str">
        <f>IFERROR(__xludf.DUMMYFUNCTION("""COMPUTED_VALUE"""),"Exercise/Assign CheckSide Validation")</f>
        <v>Exercise/Assign CheckSide Validation</v>
      </c>
      <c r="K5" s="26" t="str">
        <f>IFERROR(__xludf.DUMMYFUNCTION("""COMPUTED_VALUE"""),"Long Term Tax Rate (%)")</f>
        <v>Long Term Tax Rate (%)</v>
      </c>
      <c r="L5" s="26" t="str">
        <f>IFERROR(__xludf.DUMMYFUNCTION("""COMPUTED_VALUE"""),"Short Term Tax Rate (%)")</f>
        <v>Short Term Tax Rate (%)</v>
      </c>
      <c r="M5" s="26" t="str">
        <f>IFERROR(__xludf.DUMMYFUNCTION("""COMPUTED_VALUE"""),"Quantity round off digits")</f>
        <v>Quantity round off digits</v>
      </c>
      <c r="N5" s="26" t="str">
        <f>IFERROR(__xludf.DUMMYFUNCTION("""COMPUTED_VALUE"""),"Price round off digits")</f>
        <v>Price round off digits</v>
      </c>
      <c r="O5" s="26" t="str">
        <f>IFERROR(__xludf.DUMMYFUNCTION("""COMPUTED_VALUE"""),"Closing Field")</f>
        <v>Closing Field</v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15" t="b">
        <v>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