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SetCompliancePermission1" sheetId="5" r:id="rId7"/>
    <sheet state="visible" name="LoginClient" sheetId="6" r:id="rId8"/>
    <sheet state="visible" name="CreateComplianceOrder" sheetId="7" r:id="rId9"/>
    <sheet state="visible" name="VerifyComplianceOrder" sheetId="8" r:id="rId10"/>
    <sheet state="visible" name="LoginClient1" sheetId="9" r:id="rId11"/>
    <sheet state="visible" name="ApproveorRejectpendingapproval" sheetId="10" r:id="rId12"/>
    <sheet state="visible" name="VerifyOrder" sheetId="11" r:id="rId13"/>
  </sheets>
  <definedNames/>
  <calcPr/>
</workbook>
</file>

<file path=xl/sharedStrings.xml><?xml version="1.0" encoding="utf-8"?>
<sst xmlns="http://schemas.openxmlformats.org/spreadsheetml/2006/main" count="110" uniqueCount="51">
  <si>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</si>
  <si>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</si>
  <si>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</si>
  <si>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</si>
  <si>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</si>
  <si>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</si>
  <si>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</si>
  <si>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</si>
  <si>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</si>
  <si>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</si>
  <si>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</si>
  <si>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</si>
  <si>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</si>
  <si>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</si>
  <si>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</si>
  <si>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</si>
  <si>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Account1</t>
  </si>
  <si>
    <t>REQUIRES APPROVAL</t>
  </si>
  <si>
    <t>Quantity2500</t>
  </si>
  <si>
    <t>Quantity_Check_Rule_1000_1001</t>
  </si>
  <si>
    <t>Quantity_Check_Rule_1000</t>
  </si>
  <si>
    <t>PranaClient</t>
  </si>
  <si>
    <t>LoginClient</t>
  </si>
  <si>
    <t>Support2</t>
  </si>
  <si>
    <t>Nirvana@1</t>
  </si>
  <si>
    <t>TradingTicket</t>
  </si>
  <si>
    <t>CreateComplianceOrder</t>
  </si>
  <si>
    <t>AAPL</t>
  </si>
  <si>
    <t>Buy</t>
  </si>
  <si>
    <t>Allocation1</t>
  </si>
  <si>
    <t>DoneAway</t>
  </si>
  <si>
    <t>VerifyComplianceOrder</t>
  </si>
  <si>
    <t>Requires Approval</t>
  </si>
  <si>
    <t>Symbol: AAPL , quantity: 100.00, Symbol: AAPL</t>
  </si>
  <si>
    <t>Compliance Officer - Please Approve</t>
  </si>
  <si>
    <t>Yes</t>
  </si>
  <si>
    <t>Support1</t>
  </si>
  <si>
    <t>Compliance</t>
  </si>
  <si>
    <t>ApproveorRejectpendingapproval</t>
  </si>
  <si>
    <t>Single Trade</t>
  </si>
  <si>
    <t>GCCAP1</t>
  </si>
  <si>
    <t>Buy 100 AAPL @10, Notional USD 1,000</t>
  </si>
  <si>
    <t>DefaultNotes</t>
  </si>
  <si>
    <t>jgulbrandsen</t>
  </si>
  <si>
    <t>MS</t>
  </si>
  <si>
    <t>Pending Approval</t>
  </si>
  <si>
    <t>Approve</t>
  </si>
  <si>
    <t>Blotter</t>
  </si>
  <si>
    <t>VerifyOrder</t>
  </si>
  <si>
    <t>Filled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</si>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</sst>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 h:mm:ss"/>
  </numFmts>
  <fonts count="21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Segoe UI&quot;"/>
    </font>
    <font>
      <sz val="9.0"/>
      <color rgb="FF000000"/>
      <name val="Arial"/>
    </font>
    <font>
      <sz val="9.0"/>
      <color rgb="FFFFFFFF"/>
      <name val="&quot;Segoe UI&quot;"/>
    </font>
    <font>
      <color rgb="FF000000"/>
      <name val="Arial"/>
    </font>
    <font>
      <b/>
      <sz val="9.0"/>
      <color rgb="FF000000"/>
      <name val="&quot;Segoe UI&quot;"/>
    </font>
    <font>
      <sz val="9.0"/>
      <color rgb="FFFF8000"/>
      <name val="&quot;Segoe UI&quot;"/>
    </font>
    <font>
      <sz val="11.0"/>
      <color rgb="FF000000"/>
      <name val="Calibri"/>
    </font>
    <font>
      <sz val="9.0"/>
      <color rgb="FFFF8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  <fill>
      <patternFill patternType="solid">
        <fgColor rgb="FFFFA500"/>
        <bgColor rgb="FFFFA500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thin">
        <color rgb="FF535353"/>
      </bottom>
    </border>
    <border>
      <bottom style="thin">
        <color rgb="FF000000"/>
      </bottom>
    </border>
    <border>
      <right style="thin">
        <color rgb="FF535353"/>
      </right>
    </border>
    <border>
      <right style="thin">
        <color rgb="FF535353"/>
      </right>
      <bottom style="thin">
        <color rgb="FF535353"/>
      </bottom>
    </border>
    <border>
      <right style="thin">
        <color rgb="FF000000"/>
      </right>
    </border>
    <border>
      <right style="thin">
        <color rgb="FF535353"/>
      </right>
      <top style="thin">
        <color rgb="FF535353"/>
      </top>
      <bottom style="thin">
        <color rgb="FF535353"/>
      </bottom>
    </border>
    <border>
      <top style="thin">
        <color rgb="FF535353"/>
      </top>
      <bottom style="thin">
        <color rgb="FF535353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7" fillId="0" fontId="3" numFmtId="0" xfId="0" applyAlignment="1" applyBorder="1" applyFont="1">
      <alignment vertical="bottom"/>
    </xf>
    <xf borderId="8" fillId="6" fontId="13" numFmtId="0" xfId="0" applyAlignment="1" applyBorder="1" applyFill="1" applyFont="1">
      <alignment vertical="top"/>
    </xf>
    <xf borderId="6" fillId="0" fontId="3" numFmtId="0" xfId="0" applyAlignment="1" applyBorder="1" applyFont="1">
      <alignment shrinkToFit="0" vertical="bottom" wrapText="0"/>
    </xf>
    <xf borderId="8" fillId="7" fontId="14" numFmtId="0" xfId="0" applyAlignment="1" applyBorder="1" applyFill="1" applyFont="1">
      <alignment vertical="top"/>
    </xf>
    <xf borderId="5" fillId="0" fontId="5" numFmtId="0" xfId="0" applyAlignment="1" applyBorder="1" applyFont="1">
      <alignment vertical="bottom"/>
    </xf>
    <xf borderId="0" fillId="7" fontId="14" numFmtId="0" xfId="0" applyAlignment="1" applyFont="1">
      <alignment vertical="top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9" fillId="7" fontId="13" numFmtId="0" xfId="0" applyAlignment="1" applyBorder="1" applyFont="1">
      <alignment vertical="top"/>
    </xf>
    <xf borderId="0" fillId="6" fontId="13" numFmtId="0" xfId="0" applyAlignment="1" applyFont="1">
      <alignment vertical="top"/>
    </xf>
    <xf borderId="9" fillId="6" fontId="13" numFmtId="0" xfId="0" applyAlignment="1" applyBorder="1" applyFont="1">
      <alignment vertical="top"/>
    </xf>
    <xf borderId="7" fillId="0" fontId="3" numFmtId="0" xfId="0" applyAlignment="1" applyBorder="1" applyFont="1">
      <alignment vertical="bottom"/>
    </xf>
    <xf borderId="8" fillId="7" fontId="14" numFmtId="0" xfId="0" applyAlignment="1" applyBorder="1" applyFont="1">
      <alignment vertical="top"/>
    </xf>
    <xf borderId="0" fillId="0" fontId="5" numFmtId="0" xfId="0" applyAlignment="1" applyFont="1">
      <alignment vertical="bottom"/>
    </xf>
    <xf borderId="10" fillId="8" fontId="15" numFmtId="0" xfId="0" applyAlignment="1" applyBorder="1" applyFill="1" applyFont="1">
      <alignment vertical="top"/>
    </xf>
    <xf borderId="11" fillId="6" fontId="14" numFmtId="0" xfId="0" applyAlignment="1" applyBorder="1" applyFont="1">
      <alignment shrinkToFit="0" vertical="top" wrapText="0"/>
    </xf>
    <xf borderId="10" fillId="6" fontId="3" numFmtId="0" xfId="0" applyAlignment="1" applyBorder="1" applyFont="1">
      <alignment vertical="top"/>
    </xf>
    <xf borderId="10" fillId="6" fontId="13" numFmtId="0" xfId="0" applyAlignment="1" applyBorder="1" applyFont="1">
      <alignment vertical="top"/>
    </xf>
    <xf borderId="10" fillId="6" fontId="3" numFmtId="0" xfId="0" applyAlignment="1" applyBorder="1" applyFont="1">
      <alignment readingOrder="0" vertical="top"/>
    </xf>
    <xf borderId="0" fillId="0" fontId="3" numFmtId="0" xfId="0" applyAlignment="1" applyFont="1">
      <alignment horizontal="center" vertical="bottom"/>
    </xf>
    <xf borderId="8" fillId="8" fontId="15" numFmtId="0" xfId="0" applyAlignment="1" applyBorder="1" applyFont="1">
      <alignment vertical="top"/>
    </xf>
    <xf borderId="8" fillId="6" fontId="13" numFmtId="0" xfId="0" applyAlignment="1" applyBorder="1" applyFont="1">
      <alignment horizontal="right" vertical="top"/>
    </xf>
    <xf borderId="8" fillId="6" fontId="14" numFmtId="0" xfId="0" applyAlignment="1" applyBorder="1" applyFont="1">
      <alignment horizontal="right" vertical="top"/>
    </xf>
    <xf borderId="8" fillId="6" fontId="3" numFmtId="0" xfId="0" applyAlignment="1" applyBorder="1" applyFont="1">
      <alignment vertical="top"/>
    </xf>
    <xf borderId="0" fillId="0" fontId="5" numFmtId="0" xfId="0" applyAlignment="1" applyFont="1">
      <alignment readingOrder="0" shrinkToFit="0" wrapText="0"/>
    </xf>
    <xf borderId="9" fillId="0" fontId="3" numFmtId="164" xfId="0" applyAlignment="1" applyBorder="1" applyFont="1" applyNumberFormat="1">
      <alignment vertical="bottom"/>
    </xf>
    <xf borderId="12" fillId="7" fontId="13" numFmtId="0" xfId="0" applyAlignment="1" applyBorder="1" applyFont="1">
      <alignment horizontal="right" vertical="top"/>
    </xf>
    <xf borderId="12" fillId="7" fontId="13" numFmtId="0" xfId="0" applyAlignment="1" applyBorder="1" applyFont="1">
      <alignment horizontal="right" vertical="top"/>
    </xf>
    <xf borderId="12" fillId="7" fontId="14" numFmtId="0" xfId="0" applyAlignment="1" applyBorder="1" applyFont="1">
      <alignment horizontal="right" vertical="top"/>
    </xf>
    <xf borderId="12" fillId="7" fontId="3" numFmtId="0" xfId="0" applyAlignment="1" applyBorder="1" applyFont="1">
      <alignment vertical="top"/>
    </xf>
    <xf borderId="0" fillId="0" fontId="16" numFmtId="0" xfId="0" applyAlignment="1" applyFont="1">
      <alignment vertical="bottom"/>
    </xf>
    <xf borderId="12" fillId="7" fontId="17" numFmtId="0" xfId="0" applyAlignment="1" applyBorder="1" applyFont="1">
      <alignment horizontal="right" vertical="top"/>
    </xf>
    <xf borderId="9" fillId="0" fontId="3" numFmtId="0" xfId="0" applyAlignment="1" applyBorder="1" applyFont="1">
      <alignment vertical="bottom"/>
    </xf>
    <xf borderId="12" fillId="6" fontId="18" numFmtId="0" xfId="0" applyAlignment="1" applyBorder="1" applyFont="1">
      <alignment horizontal="right" vertical="top"/>
    </xf>
    <xf borderId="0" fillId="0" fontId="19" numFmtId="0" xfId="0" applyAlignment="1" applyFont="1">
      <alignment vertical="bottom"/>
    </xf>
    <xf borderId="12" fillId="6" fontId="18" numFmtId="0" xfId="0" applyAlignment="1" applyBorder="1" applyFont="1">
      <alignment horizontal="right" vertical="top"/>
    </xf>
    <xf borderId="12" fillId="6" fontId="20" numFmtId="0" xfId="0" applyAlignment="1" applyBorder="1" applyFont="1">
      <alignment horizontal="right" vertical="top"/>
    </xf>
    <xf borderId="9" fillId="0" fontId="19" numFmtId="0" xfId="0" applyAlignment="1" applyBorder="1" applyFont="1">
      <alignment readingOrder="0" vertical="bottom"/>
    </xf>
    <xf borderId="12" fillId="6" fontId="3" numFmtId="0" xfId="0" applyAlignment="1" applyBorder="1" applyFont="1">
      <alignment vertical="top"/>
    </xf>
    <xf borderId="12" fillId="6" fontId="3" numFmtId="0" xfId="0" applyAlignment="1" applyBorder="1" applyFont="1">
      <alignment vertical="top"/>
    </xf>
    <xf borderId="9" fillId="0" fontId="3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IFERROR(__xludf.DUMMYFUNCTION("""COMPUTED_VALUE"""),"Rule Name")</f>
        <v>Rule Name</v>
      </c>
      <c r="C5" s="27" t="str">
        <f>IFERROR(__xludf.DUMMYFUNCTION("""COMPUTED_VALUE"""),"Alert Type Permission")</f>
        <v>Alert Type Permission</v>
      </c>
      <c r="D5" s="27" t="str">
        <f>IFERROR(__xludf.DUMMYFUNCTION("""COMPUTED_VALUE"""),"UserID")</f>
        <v>UserID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17.0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5"/>
      <c r="B7" s="36" t="s">
        <v>18</v>
      </c>
      <c r="C7" s="37" t="s">
        <v>17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8" t="s">
        <v>19</v>
      </c>
      <c r="C8" s="37" t="s">
        <v>17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5"/>
      <c r="B9" s="39" t="s">
        <v>20</v>
      </c>
      <c r="C9" s="37" t="s">
        <v>17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40"/>
      <c r="C10" s="41"/>
      <c r="D10" s="42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3"/>
      <c r="C11" s="41"/>
      <c r="D11" s="42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4"/>
      <c r="C12" s="41"/>
      <c r="D12" s="42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0"/>
      <c r="C13" s="41"/>
      <c r="D13" s="42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3"/>
      <c r="C14" s="41"/>
      <c r="D14" s="42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4"/>
      <c r="C15" s="41"/>
      <c r="D15" s="42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5"/>
      <c r="C16" s="41"/>
      <c r="D16" s="42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IFERROR(__xludf.DUMMYFUNCTION("""COMPUTED_VALUE"""),"Rule Name")</f>
        <v>Rule Name</v>
      </c>
      <c r="C5" s="27" t="str">
        <f>IFERROR(__xludf.DUMMYFUNCTION("""COMPUTED_VALUE"""),"Alert Type Permission")</f>
        <v>Alert Type Permission</v>
      </c>
      <c r="D5" s="27" t="str">
        <f>IFERROR(__xludf.DUMMYFUNCTION("""COMPUTED_VALUE"""),"UserID")</f>
        <v>UserID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47" t="s">
        <v>20</v>
      </c>
      <c r="C6" s="32" t="s">
        <v>17</v>
      </c>
      <c r="D6" s="33">
        <v>18.0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8" t="s">
        <v>23</v>
      </c>
      <c r="C6" s="41" t="s">
        <v>24</v>
      </c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27</v>
      </c>
      <c r="C6" s="34" t="s">
        <v>28</v>
      </c>
      <c r="D6" s="33">
        <v>100.0</v>
      </c>
      <c r="E6" s="34"/>
      <c r="F6" s="34" t="s">
        <v>29</v>
      </c>
      <c r="G6" s="34"/>
      <c r="H6" s="34"/>
      <c r="I6" s="34"/>
      <c r="J6" s="42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 t="s">
        <v>30</v>
      </c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49" t="s">
        <v>32</v>
      </c>
      <c r="C6" s="50" t="s">
        <v>20</v>
      </c>
      <c r="D6" s="51"/>
      <c r="E6" s="52" t="s">
        <v>27</v>
      </c>
      <c r="F6" s="53"/>
      <c r="G6" s="52">
        <v>100.0</v>
      </c>
      <c r="H6" s="52" t="s">
        <v>33</v>
      </c>
      <c r="I6" s="50" t="s">
        <v>34</v>
      </c>
      <c r="J6" s="34"/>
      <c r="K6" s="34" t="s">
        <v>35</v>
      </c>
      <c r="L6" s="34"/>
      <c r="M6" s="34" t="s">
        <v>30</v>
      </c>
      <c r="N6" s="54" t="b">
        <v>1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5"/>
      <c r="B7" s="55"/>
      <c r="C7" s="36"/>
      <c r="D7" s="36"/>
      <c r="E7" s="36"/>
      <c r="F7" s="56"/>
      <c r="G7" s="57"/>
      <c r="H7" s="58"/>
      <c r="I7" s="58"/>
      <c r="J7" s="34"/>
      <c r="K7" s="41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36</v>
      </c>
      <c r="C6" s="12" t="s">
        <v>24</v>
      </c>
      <c r="D6" s="12"/>
      <c r="E6" s="5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IFERROR(__xludf.DUMMYFUNCTION("""COMPUTED_VALUE"""),"Symbols")</f>
        <v>Symbols</v>
      </c>
      <c r="D5" s="27" t="str">
        <f>IFERROR(__xludf.DUMMYFUNCTION("""COMPUTED_VALUE"""),"Trade Origination")</f>
        <v>Trade Origination</v>
      </c>
      <c r="E5" s="27" t="str">
        <f>IFERROR(__xludf.DUMMYFUNCTION("""COMPUTED_VALUE"""),"Trader")</f>
        <v>Trader</v>
      </c>
      <c r="F5" s="28" t="str">
        <f>IFERROR(__xludf.DUMMYFUNCTION("""COMPUTED_VALUE"""),"Trade Details")</f>
        <v>Trade Details</v>
      </c>
      <c r="G5" s="27" t="str">
        <f>IFERROR(__xludf.DUMMYFUNCTION("""COMPUTED_VALUE"""),"Trade Notes")</f>
        <v>Trade Notes</v>
      </c>
      <c r="H5" s="27" t="str">
        <f>IFERROR(__xludf.DUMMYFUNCTION("""COMPUTED_VALUE"""),"Compliance Officer Notes")</f>
        <v>Compliance Officer Notes</v>
      </c>
      <c r="I5" s="27" t="str">
        <f>IFERROR(__xludf.DUMMYFUNCTION("""COMPUTED_VALUE"""),"User Name")</f>
        <v>User Name</v>
      </c>
      <c r="J5" s="27" t="str">
        <f>IFERROR(__xludf.DUMMYFUNCTION("""COMPUTED_VALUE"""),"Trade Price")</f>
        <v>Trade Price</v>
      </c>
      <c r="K5" s="27" t="str">
        <f>IFERROR(__xludf.DUMMYFUNCTION("""COMPUTED_VALUE"""),"Basket Name")</f>
        <v>Basket Name</v>
      </c>
      <c r="L5" s="27" t="str">
        <f>IFERROR(__xludf.DUMMYFUNCTION("""COMPUTED_VALUE"""),"Quantity")</f>
        <v>Quantity</v>
      </c>
      <c r="M5" s="27" t="str">
        <f>IFERROR(__xludf.DUMMYFUNCTION("""COMPUTED_VALUE"""),"Broker")</f>
        <v>Broker</v>
      </c>
      <c r="N5" s="27" t="str">
        <f>IFERROR(__xludf.DUMMYFUNCTION("""COMPUTED_VALUE"""),"Status")</f>
        <v>Status</v>
      </c>
      <c r="O5" s="27" t="str">
        <f>IFERROR(__xludf.DUMMYFUNCTION("""COMPUTED_VALUE"""),"Order Side")</f>
        <v>Order Side</v>
      </c>
      <c r="P5" s="27" t="str">
        <f>IFERROR(__xludf.DUMMYFUNCTION("""COMPUTED_VALUE"""),"ApproveorRejectAll")</f>
        <v>ApproveorRejectAll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60"/>
      <c r="C6" s="61" t="s">
        <v>27</v>
      </c>
      <c r="D6" s="62" t="s">
        <v>39</v>
      </c>
      <c r="E6" s="61" t="s">
        <v>40</v>
      </c>
      <c r="F6" s="63" t="s">
        <v>41</v>
      </c>
      <c r="G6" s="61" t="s">
        <v>42</v>
      </c>
      <c r="H6" s="64"/>
      <c r="I6" s="65" t="s">
        <v>43</v>
      </c>
      <c r="J6" s="61">
        <v>10.0</v>
      </c>
      <c r="K6" s="64"/>
      <c r="L6" s="61">
        <v>100.0</v>
      </c>
      <c r="M6" s="61" t="s">
        <v>44</v>
      </c>
      <c r="N6" s="66" t="s">
        <v>45</v>
      </c>
      <c r="O6" s="61" t="s">
        <v>28</v>
      </c>
      <c r="P6" s="34" t="s">
        <v>46</v>
      </c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ApproveorRejectpendingapproval!$4:$4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67"/>
      <c r="D6" s="68">
        <v>10.0</v>
      </c>
      <c r="E6" s="34"/>
      <c r="F6" s="34"/>
      <c r="G6" s="34"/>
      <c r="H6" s="34"/>
      <c r="I6" s="69" t="s">
        <v>43</v>
      </c>
      <c r="J6" s="34"/>
      <c r="K6" s="67"/>
      <c r="L6" s="70" t="s">
        <v>40</v>
      </c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67"/>
      <c r="AI6" s="71" t="s">
        <v>27</v>
      </c>
      <c r="AJ6" s="70" t="s">
        <v>28</v>
      </c>
      <c r="AK6" s="72" t="s">
        <v>49</v>
      </c>
      <c r="AL6" s="68">
        <v>100.0</v>
      </c>
      <c r="AM6" s="73"/>
      <c r="AN6" s="74"/>
      <c r="AO6" s="34"/>
      <c r="AP6" s="75"/>
      <c r="AQ6" s="70">
        <v>10.0</v>
      </c>
      <c r="AR6" s="70">
        <v>10.0</v>
      </c>
      <c r="AS6" s="70" t="s">
        <v>44</v>
      </c>
      <c r="AT6" s="70" t="s">
        <v>29</v>
      </c>
      <c r="AU6" s="70" t="s">
        <v>50</v>
      </c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