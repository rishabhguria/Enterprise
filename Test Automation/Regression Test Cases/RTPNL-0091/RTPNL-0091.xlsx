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CloseRTPNL" sheetId="8" r:id="rId10"/>
    <sheet state="visible" name="VerifyOrder" sheetId="9" r:id="rId11"/>
    <sheet state="visible" name="OpenRTPNL1" sheetId="10" r:id="rId12"/>
    <sheet state="visible" name="CreateGroupingWidget1" sheetId="11" r:id="rId13"/>
    <sheet state="visible" name="CreateGroupingWidget2" sheetId="12" r:id="rId14"/>
  </sheets>
  <definedNames/>
  <calcPr/>
</workbook>
</file>

<file path=xl/sharedStrings.xml><?xml version="1.0" encoding="utf-8"?>
<sst xmlns="http://schemas.openxmlformats.org/spreadsheetml/2006/main" count="112" uniqueCount="54">
  <si>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</si>
  <si>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</si>
  <si>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</si>
  <si>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</si>
  <si>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</si>
  <si>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</si>
  <si>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</si>
  <si>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</si>
  <si>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</si>
  <si>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</si>
  <si>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</si>
  <si>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</si>
  <si>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</si>
  <si>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</si>
  <si>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</si>
  <si>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</si>
  <si>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</si>
  <si>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</si>
  <si>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</si>
  <si>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</si>
  <si>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RTPNL</t>
  </si>
  <si>
    <t>OpenRTPNL</t>
  </si>
  <si>
    <t>Nirvana</t>
  </si>
  <si>
    <t>yash</t>
  </si>
  <si>
    <t>AddWidget</t>
  </si>
  <si>
    <t>DashboardName</t>
  </si>
  <si>
    <t>WidgetName</t>
  </si>
  <si>
    <t>ColumnsToAdd</t>
  </si>
  <si>
    <t>DashBoardType</t>
  </si>
  <si>
    <t>DashBoardLevel</t>
  </si>
  <si>
    <t>Verify WidgetName</t>
  </si>
  <si>
    <t>ABC123</t>
  </si>
  <si>
    <t>Grouping</t>
  </si>
  <si>
    <t>Symbol</t>
  </si>
  <si>
    <t>CreateGroupingWidget</t>
  </si>
  <si>
    <t>Trade Attribute 1,Trade Attribute 2</t>
  </si>
  <si>
    <t>Back</t>
  </si>
  <si>
    <t>CloseRTPNL</t>
  </si>
  <si>
    <t>Nirvana,yash</t>
  </si>
  <si>
    <t>Blotter</t>
  </si>
  <si>
    <t>VerifyOrder</t>
  </si>
  <si>
    <t>NASDAQ</t>
  </si>
  <si>
    <t>jpearce</t>
  </si>
  <si>
    <t>US</t>
  </si>
  <si>
    <t>M</t>
  </si>
  <si>
    <t>Equity</t>
  </si>
  <si>
    <t>Filled</t>
  </si>
  <si>
    <t>MS</t>
  </si>
  <si>
    <t>Market</t>
  </si>
  <si>
    <t>Day</t>
  </si>
  <si>
    <t>Symbol,Analyst</t>
  </si>
  <si>
    <t>Trade Attribute 1,Trade Attribute 2,Symbol Fund</t>
  </si>
  <si>
    <t>Symbol Fund</t>
  </si>
  <si>
    <t>Analyst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</si>
</sst>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>
      <c r="A929" t="str">
        <f>IFERROR(__xludf.DUMMYFUNCTION("""COMPUTED_VALUE"""),"TradingTicket")</f>
        <v>TradingTicket</v>
      </c>
      <c r="B929" t="str">
        <f>IFERROR(__xludf.DUMMYFUNCTION("""COMPUTED_VALUE"""),"QTTHamburg")</f>
        <v>QTTHamburg</v>
      </c>
      <c r="C929" t="str">
        <f>IFERROR(__xludf.DUMMYFUNCTION("""COMPUTED_VALUE"""),"1pdXDcLRWAl2b2L88lHCntj01OLBjVHaNAdGG8OHa4hA")</f>
        <v>1pdXDcLRWAl2b2L88lHCntj01OLBjVHaNAdGG8OHa4hA</v>
      </c>
    </row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999.0</v>
      </c>
      <c r="D6" s="33">
        <v>10.0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6" t="s">
        <v>23</v>
      </c>
      <c r="D6" s="30"/>
      <c r="E6" s="37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25</v>
      </c>
      <c r="C5" s="28" t="s">
        <v>26</v>
      </c>
      <c r="D5" s="28" t="s">
        <v>27</v>
      </c>
      <c r="E5" s="28" t="s">
        <v>28</v>
      </c>
      <c r="F5" s="28" t="s">
        <v>29</v>
      </c>
      <c r="G5" s="28" t="s">
        <v>30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23</v>
      </c>
      <c r="C6" s="34" t="s">
        <v>31</v>
      </c>
      <c r="D6" s="30"/>
      <c r="E6" s="34" t="s">
        <v>32</v>
      </c>
      <c r="F6" s="34" t="s">
        <v>33</v>
      </c>
      <c r="G6" s="34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4" t="s">
        <v>35</v>
      </c>
      <c r="F6" s="12" t="s">
        <v>33</v>
      </c>
      <c r="G6" s="35"/>
      <c r="H6" s="35"/>
      <c r="I6" s="38" t="s">
        <v>36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38</v>
      </c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3">
        <v>10.0</v>
      </c>
      <c r="E6" s="35"/>
      <c r="F6" s="35"/>
      <c r="G6" s="35"/>
      <c r="H6" s="34" t="s">
        <v>41</v>
      </c>
      <c r="I6" s="34" t="s">
        <v>42</v>
      </c>
      <c r="J6" s="35"/>
      <c r="K6" s="34" t="s">
        <v>43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 t="s">
        <v>44</v>
      </c>
      <c r="AG6" s="35"/>
      <c r="AH6" s="35" t="s">
        <v>45</v>
      </c>
      <c r="AI6" s="35" t="s">
        <v>16</v>
      </c>
      <c r="AJ6" s="35" t="s">
        <v>19</v>
      </c>
      <c r="AK6" s="35" t="s">
        <v>46</v>
      </c>
      <c r="AL6" s="39">
        <v>999.0</v>
      </c>
      <c r="AM6" s="39">
        <v>999.0</v>
      </c>
      <c r="AN6" s="39">
        <v>100.0</v>
      </c>
      <c r="AO6" s="35"/>
      <c r="AP6" s="35"/>
      <c r="AQ6" s="35"/>
      <c r="AR6" s="35"/>
      <c r="AS6" s="35" t="s">
        <v>47</v>
      </c>
      <c r="AT6" s="35" t="s">
        <v>18</v>
      </c>
      <c r="AU6" s="35" t="s">
        <v>48</v>
      </c>
      <c r="AV6" s="39">
        <v>9990.0</v>
      </c>
      <c r="AW6" s="39">
        <v>9990.0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 t="s">
        <v>49</v>
      </c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38</v>
      </c>
      <c r="C6" s="34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50</v>
      </c>
      <c r="F6" s="36" t="s">
        <v>51</v>
      </c>
      <c r="G6" s="8"/>
      <c r="H6" s="8"/>
      <c r="I6" s="12" t="s">
        <v>36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52</v>
      </c>
      <c r="F6" s="12" t="s">
        <v>53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