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TradeNewSubOrder" sheetId="5" r:id="rId7"/>
    <sheet state="visible" name="TradeNewSubOrder2" sheetId="6" r:id="rId8"/>
    <sheet state="visible" name="SelectTradeOnOrderGrid" sheetId="7" r:id="rId9"/>
    <sheet state="visible" name="CreateNewSubOrder2" sheetId="8" r:id="rId10"/>
    <sheet state="visible" name="CreateNewSubOrder" sheetId="9" r:id="rId11"/>
    <sheet state="visible" name="CancelAllSubs" sheetId="10" r:id="rId12"/>
    <sheet state="visible" name="VerifySubOrder" sheetId="11" r:id="rId13"/>
    <sheet state="visible" name="VerifyOrder" sheetId="12" r:id="rId14"/>
    <sheet state="visible" name="VerifyWorkingSubs" sheetId="13" r:id="rId15"/>
  </sheets>
  <definedNames/>
  <calcPr/>
</workbook>
</file>

<file path=xl/sharedStrings.xml><?xml version="1.0" encoding="utf-8"?>
<sst xmlns="http://schemas.openxmlformats.org/spreadsheetml/2006/main" count="128" uniqueCount="31">
  <si>
    <t>Modules Info</t>
  </si>
  <si>
    <t>Modules</t>
  </si>
  <si>
    <t>Settings</t>
  </si>
  <si>
    <t>Module Step Setting File</t>
  </si>
  <si>
    <t>15Il9KeswuJGgf6kL64q0xt7c_sevGOAe7T20r5WsNa0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</si>
  <si>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</si>
  <si>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</si>
  <si>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</si>
  <si>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</si>
  <si>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</si>
  <si>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</si>
  <si>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</si>
  <si>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</si>
  <si>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</si>
  <si>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</si>
  <si>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</si>
  <si>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ABB</t>
  </si>
  <si>
    <t>Buy</t>
  </si>
  <si>
    <t>Unallocated</t>
  </si>
  <si>
    <t>Market</t>
  </si>
  <si>
    <t>Blotter</t>
  </si>
  <si>
    <t>TradeNewSubOrder</t>
  </si>
  <si>
    <t>New</t>
  </si>
  <si>
    <t>PartiallyFilled</t>
  </si>
  <si>
    <t>SelectTradeOnOrderGrid</t>
  </si>
  <si>
    <t>Filled</t>
  </si>
  <si>
    <t>CreateNewSubOrder</t>
  </si>
  <si>
    <t>CancelAllSubs</t>
  </si>
  <si>
    <t>VerifySubOrder</t>
  </si>
  <si>
    <t>VerifyOrder</t>
  </si>
  <si>
    <t>VerifyWorkingSubs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</si>
</sst>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IFERROR(__xludf.DUMMYFUNCTION("""COMPUTED_VALUE"""),"1loxAoSB-5jR3IFJ4UUieEaGynvHC8saDDF25y8gu-FM")</f>
        <v>1loxAoSB-5jR3IFJ4UUieEaGynvHC8saDDF25y8gu-FM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IFERROR(__xludf.DUMMYFUNCTION("""COMPUTED_VALUE"""),"1oyfT0NXu05XUQfzB3__UfSsQJxHsjU5EfujHM7zFMlY")</f>
        <v>1oyfT0NXu05XUQfzB3__UfSsQJxHsjU5EfujHM7zFMlY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IFERROR(__xludf.DUMMYFUNCTION("""COMPUTED_VALUE"""),"1ptHqTt8wfxoCZvvS0BozaQuRsKg0DRBnN_lMfrOuCt4")</f>
        <v>1ptHqTt8wfxoCZvvS0BozaQuRsKg0DRBnN_lMfrOuCt4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IFERROR(__xludf.DUMMYFUNCTION("""COMPUTED_VALUE"""),"1_DD-M3ooW4-P7PXFGguTddV1HkDRh3fvGh7QLyagROE")</f>
        <v>1_DD-M3ooW4-P7PXFGguTddV1HkDRh3fvGh7QLyagROE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IFERROR(__xludf.DUMMYFUNCTION("""COMPUTED_VALUE"""),"1nKxupjB_Nu5Xmiq2y3y7zVWkf9U8ybAzhilyucCbfWM")</f>
        <v>1nKxupjB_Nu5Xmiq2y3y7zVWkf9U8ybAzhilyucCbfWM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IFERROR(__xludf.DUMMYFUNCTION("""COMPUTED_VALUE"""),"1MtfT4qFywQbZPb5icSzgAwGBRSAc-wIF98jFX9Y-4-o")</f>
        <v>1MtfT4qFywQbZPb5icSzgAwGBRSAc-wIF98jFX9Y-4-o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IFERROR(__xludf.DUMMYFUNCTION("""COMPUTED_VALUE"""),"1W62DF4BeF63sD5d9KK7SfSYQW4r_m2TLH6nBjvW3Sbg")</f>
        <v>1W62DF4BeF63sD5d9KK7SfSYQW4r_m2TLH6nBjvW3Sbg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IFERROR(__xludf.DUMMYFUNCTION("""COMPUTED_VALUE"""),"178rOki2KCouUF9Iz9lng6bwJnPFVHaZtwBC9CdiyuVc")</f>
        <v>178rOki2KCouUF9Iz9lng6bwJnPFVHaZtwBC9CdiyuVc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IFERROR(__xludf.DUMMYFUNCTION("""COMPUTED_VALUE"""),"1xzn2YyCPdZfMTo0ieuR11YKa_oxUPbzkPKQEmibGMDo")</f>
        <v>1xzn2YyCPdZfMTo0ieuR11YKa_oxUPbzkPKQEmibGMDo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IFERROR(__xludf.DUMMYFUNCTION("""COMPUTED_VALUE"""),"1Yxu4VMZGMl7EQBhNAo8lBqOGH6w7WWla7_FbMhPALQg")</f>
        <v>1Yxu4VMZGMl7EQBhNAo8lBqOGH6w7WWla7_FbMhPALQg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IFERROR(__xludf.DUMMYFUNCTION("""COMPUTED_VALUE"""),"1FA4SNuZD1iNtwriSOwwy4hmnh57supgsXcTNOxos2sI")</f>
        <v>1FA4SNuZD1iNtwriSOwwy4hmnh57supgsXcTNOxos2sI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IFERROR(__xludf.DUMMYFUNCTION("""COMPUTED_VALUE"""),"EnterFixedIncome")</f>
        <v>EnterFixedIncome</v>
      </c>
      <c r="C544" t="str">
        <f>IFERROR(__xludf.DUMMYFUNCTION("""COMPUTED_VALUE"""),"101Kvhc5ATCS0OM6d_6c9zJAFIJo-CDiQjm3oRDpRn5k")</f>
        <v>101Kvhc5ATCS0OM6d_6c9zJAFIJo-CDiQjm3oRDpRn5k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IFERROR(__xludf.DUMMYFUNCTION("""COMPUTED_VALUE"""),"EnterPrivateEquity")</f>
        <v>EnterPrivateEquity</v>
      </c>
      <c r="C545" t="str">
        <f>IFERROR(__xludf.DUMMYFUNCTION("""COMPUTED_VALUE"""),"1zCjPNqT6O1Bji3Xp5apvgnkJ0fL3xe7mGzeMQl6_P2U")</f>
        <v>1zCjPNqT6O1Bji3Xp5apvgnkJ0fL3xe7mGzeMQl6_P2U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IFERROR(__xludf.DUMMYFUNCTION("""COMPUTED_VALUE"""),"EnterFXForward")</f>
        <v>EnterFXForward</v>
      </c>
      <c r="C546" t="str">
        <f>IFERROR(__xludf.DUMMYFUNCTION("""COMPUTED_VALUE"""),"1fsI9VyTOx_f9h2Q8vnZyyagt8AXq4LV5OgjVofsbMzo")</f>
        <v>1fsI9VyTOx_f9h2Q8vnZyyagt8AXq4LV5OgjVofsbMzo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IFERROR(__xludf.DUMMYFUNCTION("""COMPUTED_VALUE"""),"EnterFuture")</f>
        <v>EnterFuture</v>
      </c>
      <c r="C547" t="str">
        <f>IFERROR(__xludf.DUMMYFUNCTION("""COMPUTED_VALUE"""),"1meZrTyv8YpJ9g7cSn63NhfDwibizAu7DtkV3LAH28ik")</f>
        <v>1meZrTyv8YpJ9g7cSn63NhfDwibizAu7DtkV3LAH28ik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IFERROR(__xludf.DUMMYFUNCTION("""COMPUTED_VALUE"""),"EnterFutureOptions")</f>
        <v>EnterFutureOptions</v>
      </c>
      <c r="C548" t="str">
        <f>IFERROR(__xludf.DUMMYFUNCTION("""COMPUTED_VALUE"""),"1kXNkxLMhrMh7s-p9_FlQRC59ml6mMO0xASI4CpwqnsQ")</f>
        <v>1kXNkxLMhrMh7s-p9_FlQRC59ml6mMO0xASI4CpwqnsQ</v>
      </c>
    </row>
    <row r="549" ht="15.75" customHeight="1">
      <c r="A549" t="str">
        <f>IFERROR(__xludf.DUMMYFUNCTION("""COMPUTED_VALUE"""),"SymbolLookup")</f>
        <v>SymbolLookup</v>
      </c>
      <c r="B549" t="str">
        <f>IFERROR(__xludf.DUMMYFUNCTION("""COMPUTED_VALUE"""),"UpdateSecurityInfoOnSM")</f>
        <v>UpdateSecurityInfoOnSM</v>
      </c>
      <c r="C549" t="str">
        <f>IFERROR(__xludf.DUMMYFUNCTION("""COMPUTED_VALUE"""),"14z69pnCfo_DnsBrAd1uY7YL0PPT5uLfl7VchS5jQ8a8")</f>
        <v>14z69pnCfo_DnsBrAd1uY7YL0PPT5uLfl7VchS5jQ8a8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IFERROR(__xludf.DUMMYFUNCTION("""COMPUTED_VALUE"""),"UpdateThirdPartyFileFormat")</f>
        <v>UpdateThirdPartyFileFormat</v>
      </c>
      <c r="C550" t="str">
        <f>IFERROR(__xludf.DUMMYFUNCTION("""COMPUTED_VALUE"""),"1jJUZ0g-6Y-_Dy6ZKv3032e8qPnPG5QjNu2nyrJNkYnU")</f>
        <v>1jJUZ0g-6Y-_Dy6ZKv3032e8qPnPG5QjNu2nyrJNkYnU</v>
      </c>
    </row>
    <row r="551" ht="15.75" customHeight="1">
      <c r="A551" t="str">
        <f>IFERROR(__xludf.DUMMYFUNCTION("""COMPUTED_VALUE"""),"Blotter")</f>
        <v>Blotter</v>
      </c>
      <c r="B551" t="str">
        <f>IFERROR(__xludf.DUMMYFUNCTION("""COMPUTED_VALUE"""),"AddTab")</f>
        <v>AddTab</v>
      </c>
      <c r="C551" t="str">
        <f>IFERROR(__xludf.DUMMYFUNCTION("""COMPUTED_VALUE"""),"1XqeDEA12mZ2_sGgDigv55KFQP1uT7OLjHrsbyTxz6ck")</f>
        <v>1XqeDEA12mZ2_sGgDigv55KFQP1uT7OLjHrsbyTxz6ck</v>
      </c>
    </row>
    <row r="552" ht="15.75" customHeight="1">
      <c r="A552" t="str">
        <f>IFERROR(__xludf.DUMMYFUNCTION("""COMPUTED_VALUE"""),"Blotter")</f>
        <v>Blotter</v>
      </c>
      <c r="B552" t="str">
        <f>IFERROR(__xludf.DUMMYFUNCTION("""COMPUTED_VALUE"""),"RemoveTab")</f>
        <v>RemoveTab</v>
      </c>
      <c r="C552" t="str">
        <f>IFERROR(__xludf.DUMMYFUNCTION("""COMPUTED_VALUE"""),"1GK-cFfSLhl30UUg6KVuQM4xiYr7ZVs9T8-HbIaWAGSI")</f>
        <v>1GK-cFfSLhl30UUg6KVuQM4xiYr7ZVs9T8-HbIaWAGSI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IFERROR(__xludf.DUMMYFUNCTION("""COMPUTED_VALUE"""),"SelectCustomTab")</f>
        <v>SelectCustomTab</v>
      </c>
      <c r="C553" t="str">
        <f>IFERROR(__xludf.DUMMYFUNCTION("""COMPUTED_VALUE"""),"1kRtj_Fc0CYUsYDlKPBoU0CLid2Psb8dmosj3ZRAjroE")</f>
        <v>1kRtj_Fc0CYUsYDlKPBoU0CLid2Psb8dmosj3ZRAjroE</v>
      </c>
    </row>
    <row r="554" ht="15.75" customHeight="1">
      <c r="A554" t="str">
        <f>IFERROR(__xludf.DUMMYFUNCTION("""COMPUTED_VALUE"""),"Blotter")</f>
        <v>Blotter</v>
      </c>
      <c r="B554" t="str">
        <f>IFERROR(__xludf.DUMMYFUNCTION("""COMPUTED_VALUE"""),"VerifyOrderCustomTab")</f>
        <v>VerifyOrderCustomTab</v>
      </c>
      <c r="C554" t="str">
        <f>IFERROR(__xludf.DUMMYFUNCTION("""COMPUTED_VALUE"""),"1gOy9G8eKkWGKSuA9Fia5GxcUDS_ETGm1_VGBu5wSMC4")</f>
        <v>1gOy9G8eKkWGKSuA9Fia5GxcUDS_ETGm1_VGBu5wSMC4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IFERROR(__xludf.DUMMYFUNCTION("""COMPUTED_VALUE"""),"VerifySubOrderCustomTab")</f>
        <v>VerifySubOrderCustomTab</v>
      </c>
      <c r="C555" t="str">
        <f>IFERROR(__xludf.DUMMYFUNCTION("""COMPUTED_VALUE"""),"1ytbg-lonAtPMe12Y6drQXMuXtdZVd3el_SNLn_tZlM4")</f>
        <v>1ytbg-lonAtPMe12Y6drQXMuXtdZVd3el_SNLn_tZlM4</v>
      </c>
    </row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IFERROR(__xludf.DUMMYFUNCTION("""COMPUTED_VALUE"""),"Rate(%)")</f>
        <v>Rate(%)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1000.0</v>
      </c>
      <c r="E6" s="11">
        <v>0.0</v>
      </c>
      <c r="F6" s="11" t="s">
        <v>18</v>
      </c>
      <c r="G6" s="8"/>
      <c r="H6" s="8"/>
      <c r="I6" s="11" t="s">
        <v>19</v>
      </c>
      <c r="J6" s="11">
        <v>50.0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22</v>
      </c>
      <c r="AL6" s="9">
        <v>1000.0</v>
      </c>
      <c r="AQ6" s="9">
        <v>0.0</v>
      </c>
      <c r="AR6" s="9">
        <v>0.0</v>
      </c>
      <c r="AU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23</v>
      </c>
      <c r="AL6" s="9">
        <v>1000.0</v>
      </c>
      <c r="AM6" s="9">
        <v>600.0</v>
      </c>
      <c r="AN6" s="9">
        <v>60.0</v>
      </c>
      <c r="AP6" s="9">
        <v>400.0</v>
      </c>
      <c r="AQ6" s="9">
        <v>50.0</v>
      </c>
      <c r="AR6" s="9">
        <v>50.0</v>
      </c>
      <c r="AU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9" t="s">
        <v>16</v>
      </c>
      <c r="F6" s="9" t="s">
        <v>17</v>
      </c>
      <c r="G6" s="9" t="s">
        <v>25</v>
      </c>
      <c r="H6" s="9">
        <v>1000.0</v>
      </c>
      <c r="I6" s="11">
        <v>1000.0</v>
      </c>
      <c r="J6" s="11">
        <v>100.0</v>
      </c>
      <c r="K6" s="8"/>
      <c r="L6" s="8"/>
      <c r="M6" s="8"/>
      <c r="N6" s="11">
        <v>50.0</v>
      </c>
      <c r="O6" s="8"/>
      <c r="P6" s="9">
        <v>50.0</v>
      </c>
    </row>
    <row r="7" ht="15.75" customHeight="1">
      <c r="A7" s="8"/>
      <c r="B7" s="8"/>
      <c r="C7" s="8"/>
      <c r="D7" s="9"/>
      <c r="F7" s="9"/>
      <c r="H7" s="9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IFERROR(__xludf.DUMMYFUNCTION("""COMPUTED_VALUE"""),"Rate(%)")</f>
        <v>Rate(%)</v>
      </c>
      <c r="AQ5" s="29" t="str">
        <f>IFERROR(__xludf.DUMMYFUNCTION("""COMPUTED_VALUE"""),"AllowTrade")</f>
        <v>AllowTrade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400.0</v>
      </c>
      <c r="E6" s="11">
        <v>400.0</v>
      </c>
      <c r="F6" s="11" t="s">
        <v>18</v>
      </c>
      <c r="G6" s="8"/>
      <c r="H6" s="8"/>
      <c r="I6" s="11" t="s">
        <v>19</v>
      </c>
      <c r="J6" s="11">
        <v>50.0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IFERROR(__xludf.DUMMYFUNCTION("""COMPUTED_VALUE"""),"Rate(%)")</f>
        <v>Rate(%)</v>
      </c>
      <c r="AQ5" s="29" t="str">
        <f>IFERROR(__xludf.DUMMYFUNCTION("""COMPUTED_VALUE"""),"AllowTrade")</f>
        <v>AllowTrade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600.0</v>
      </c>
      <c r="E6" s="11">
        <v>600.0</v>
      </c>
      <c r="F6" s="11" t="s">
        <v>18</v>
      </c>
      <c r="G6" s="8"/>
      <c r="H6" s="8"/>
      <c r="I6" s="11" t="s">
        <v>19</v>
      </c>
      <c r="J6" s="11">
        <v>50.0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25</v>
      </c>
      <c r="AL6" s="9">
        <v>1000.0</v>
      </c>
      <c r="AM6" s="9">
        <v>1000.0</v>
      </c>
      <c r="AN6" s="9">
        <v>100.0</v>
      </c>
      <c r="AQ6" s="9">
        <v>50.0</v>
      </c>
      <c r="AR6" s="9">
        <v>50.0</v>
      </c>
      <c r="AU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/>
      <c r="AJ7" s="9"/>
      <c r="AK7" s="9"/>
      <c r="AL7" s="9"/>
      <c r="AM7" s="9"/>
      <c r="AQ7" s="9"/>
      <c r="AR7" s="9"/>
      <c r="AU7" s="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CancelAllSubs!$4:$4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25</v>
      </c>
      <c r="AL6" s="9">
        <v>600.0</v>
      </c>
      <c r="AM6" s="9">
        <v>600.0</v>
      </c>
      <c r="AO6" s="9">
        <v>50.0</v>
      </c>
      <c r="AP6" s="9">
        <v>50.0</v>
      </c>
      <c r="AS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16</v>
      </c>
      <c r="AJ7" s="9" t="s">
        <v>17</v>
      </c>
      <c r="AK7" s="9" t="s">
        <v>25</v>
      </c>
      <c r="AL7" s="9">
        <v>400.0</v>
      </c>
      <c r="AM7" s="9">
        <v>400.0</v>
      </c>
      <c r="AO7" s="9">
        <v>50.0</v>
      </c>
      <c r="AP7" s="9">
        <v>50.0</v>
      </c>
      <c r="AS7" s="9" t="s">
        <v>19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25</v>
      </c>
      <c r="AL6" s="9">
        <v>1000.0</v>
      </c>
      <c r="AM6" s="9">
        <v>1000.0</v>
      </c>
      <c r="AN6" s="9">
        <v>100.0</v>
      </c>
      <c r="AQ6" s="9">
        <v>50.0</v>
      </c>
      <c r="AR6" s="9">
        <v>50.0</v>
      </c>
      <c r="AU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600.0</v>
      </c>
      <c r="E6" s="11">
        <v>600.0</v>
      </c>
      <c r="F6" s="8"/>
      <c r="G6" s="11" t="s">
        <v>25</v>
      </c>
      <c r="H6" s="8"/>
      <c r="I6" s="11">
        <v>50.0</v>
      </c>
      <c r="J6" s="11">
        <v>50.0</v>
      </c>
      <c r="K6" s="8"/>
      <c r="L6" s="8"/>
      <c r="M6" s="11" t="s">
        <v>19</v>
      </c>
      <c r="N6" s="8"/>
      <c r="O6" s="8"/>
    </row>
    <row r="7" ht="15.75" customHeight="1">
      <c r="A7" s="8"/>
      <c r="B7" s="11" t="s">
        <v>16</v>
      </c>
      <c r="C7" s="11" t="s">
        <v>17</v>
      </c>
      <c r="D7" s="11">
        <v>400.0</v>
      </c>
      <c r="E7" s="11">
        <v>400.0</v>
      </c>
      <c r="F7" s="8"/>
      <c r="G7" s="11" t="s">
        <v>25</v>
      </c>
      <c r="H7" s="8"/>
      <c r="I7" s="11">
        <v>50.0</v>
      </c>
      <c r="J7" s="11">
        <v>50.0</v>
      </c>
      <c r="K7" s="8"/>
      <c r="L7" s="8"/>
      <c r="M7" s="11" t="s">
        <v>19</v>
      </c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VerifyWorkingSubs!$4:$4</formula1>
    </dataValidation>
  </dataValidations>
  <drawing r:id="rId1"/>
</worksheet>
</file>