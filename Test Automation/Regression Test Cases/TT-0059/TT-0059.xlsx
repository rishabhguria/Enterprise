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SetUIPreferencesTT" sheetId="6" r:id="rId8"/>
    <sheet state="visible" name="SetBrokerWisePreferencesTT" sheetId="7" r:id="rId9"/>
    <sheet state="visible" name="GetDailyCash" sheetId="8" r:id="rId10"/>
    <sheet state="visible" name="UpdateDailyCash" sheetId="9" r:id="rId11"/>
    <sheet state="visible" name="CreateStageOrder" sheetId="10" r:id="rId12"/>
    <sheet state="visible" name="TradeNewSubOrder" sheetId="11" r:id="rId13"/>
    <sheet state="visible" name="CreateNewSubOrder" sheetId="12" r:id="rId14"/>
    <sheet state="visible" name="PricingInput" sheetId="13" r:id="rId15"/>
    <sheet state="visible" name="CalculatePTT" sheetId="14" r:id="rId16"/>
    <sheet state="visible" name="VerifyPTT" sheetId="15" r:id="rId17"/>
    <sheet state="visible" name="TradePTT" sheetId="16" r:id="rId18"/>
    <sheet state="visible" name="CreateDoneAwayOrder" sheetId="17" r:id="rId19"/>
    <sheet state="visible" name="VerifyOrder" sheetId="18" r:id="rId20"/>
    <sheet state="visible" name="SelectTradeOnOrderGrid" sheetId="19" r:id="rId21"/>
    <sheet state="visible" name="VerifySubOrder" sheetId="20" r:id="rId22"/>
    <sheet state="visible" name="EditStageOrder" sheetId="21" r:id="rId23"/>
    <sheet state="visible" name="CreateReplaceOrder" sheetId="22" r:id="rId24"/>
    <sheet state="visible" name="SelectTradeOnOrderGrid1" sheetId="23" r:id="rId25"/>
    <sheet state="visible" name="ReplaceSubOrder" sheetId="24" r:id="rId26"/>
    <sheet state="visible" name="CreateReplaceOrder1" sheetId="25" r:id="rId27"/>
    <sheet state="visible" name="VerifyOrder1" sheetId="26" r:id="rId28"/>
    <sheet state="visible" name="SelectTradeOnOrderGrid2" sheetId="27" r:id="rId29"/>
    <sheet state="visible" name="VerifySubOrder1" sheetId="28" r:id="rId30"/>
    <sheet state="visible" name="VerifyWorkingSubs" sheetId="29" r:id="rId31"/>
    <sheet state="visible" name="GetDataAllocation" sheetId="30" r:id="rId32"/>
    <sheet state="visible" name="CheckAllocatedGroups" sheetId="31" r:id="rId33"/>
    <sheet state="visible" name="SetUIPreferencesTT1" sheetId="32" r:id="rId34"/>
  </sheets>
  <definedNames/>
  <calcPr/>
</workbook>
</file>

<file path=xl/sharedStrings.xml><?xml version="1.0" encoding="utf-8"?>
<sst xmlns="http://schemas.openxmlformats.org/spreadsheetml/2006/main" count="392" uniqueCount="65">
  <si>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</si>
  <si>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</si>
  <si>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</si>
  <si>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</si>
  <si>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</si>
  <si>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</si>
  <si>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</si>
  <si>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</si>
  <si>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</si>
  <si>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</si>
  <si>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</si>
  <si>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</si>
  <si>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</si>
  <si>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</si>
  <si>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</si>
  <si>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</si>
  <si>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</si>
  <si>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</si>
  <si>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</si>
  <si>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SetUIPreferencesTT</t>
  </si>
  <si>
    <t>GS</t>
  </si>
  <si>
    <t>Quantity</t>
  </si>
  <si>
    <t>SetBrokerWisePreferencesTT</t>
  </si>
  <si>
    <t>Algo</t>
  </si>
  <si>
    <t>DailyValuation</t>
  </si>
  <si>
    <t>GetDailyCash</t>
  </si>
  <si>
    <t>UpdateDailyCash</t>
  </si>
  <si>
    <t>Allocation1</t>
  </si>
  <si>
    <t>USD</t>
  </si>
  <si>
    <t>CreateStageOrder</t>
  </si>
  <si>
    <t>BALT</t>
  </si>
  <si>
    <t>Buy</t>
  </si>
  <si>
    <t>Blotter</t>
  </si>
  <si>
    <t>TradeNewSubOrder</t>
  </si>
  <si>
    <t>New</t>
  </si>
  <si>
    <t>Market</t>
  </si>
  <si>
    <t>CreateNewSubOrder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</si>
  <si>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</si>
  <si>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</si>
  <si>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</si>
  <si>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</si>
  <si>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</si>
  <si>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</si>
  <si>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</si>
  <si>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</si>
  <si>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</si>
  <si>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CreateDoneAwayOrder</t>
  </si>
  <si>
    <t>VerifyOrder</t>
  </si>
  <si>
    <t>M</t>
  </si>
  <si>
    <t>Equity</t>
  </si>
  <si>
    <t>Filled</t>
  </si>
  <si>
    <t>SelectTradeOnOrderGrid</t>
  </si>
  <si>
    <t>VerifySubOrder</t>
  </si>
  <si>
    <t>EditStageOrder</t>
  </si>
  <si>
    <t>CreateReplaceOrder</t>
  </si>
  <si>
    <t>Replaced</t>
  </si>
  <si>
    <t>ReplaceSubOrder</t>
  </si>
  <si>
    <t>Alloation1</t>
  </si>
  <si>
    <t>VerifyWorkingSubs</t>
  </si>
  <si>
    <t>GetDataAllocation</t>
  </si>
  <si>
    <t>Current</t>
  </si>
  <si>
    <t>CheckAllocatedGroups</t>
  </si>
  <si>
    <t>None</t>
  </si>
  <si>
    <t>Strategy Unallocated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</si>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</sst>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IFERROR(__xludf.DUMMYFUNCTION("""COMPUTED_VALUE"""),"SelectFills")</f>
        <v>SelectFills</v>
      </c>
      <c r="C525" t="str">
        <f>IFERROR(__xludf.DUMMYFUNCTION("""COMPUTED_VALUE"""),"1Z7QxmNsys5SzZV3G-2XqSn0OdEXfUG5t0ZPmwtyFCL8")</f>
        <v>1Z7QxmNsys5SzZV3G-2XqSn0OdEXfUG5t0ZPmwtyFCL8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IFERROR(__xludf.DUMMYFUNCTION("""COMPUTED_VALUE"""),"Order Type")</f>
        <v>Order Type</v>
      </c>
      <c r="D5" s="27" t="str">
        <f>IFERROR(__xludf.DUMMYFUNCTION("""COMPUTED_VALUE"""),"TIF")</f>
        <v>TIF</v>
      </c>
      <c r="E5" s="27" t="str">
        <f>IFERROR(__xludf.DUMMYFUNCTION("""COMPUTED_VALUE"""),"Handling Instruction")</f>
        <v>Handling Instruction</v>
      </c>
      <c r="F5" s="28" t="str">
        <f>IFERROR(__xludf.DUMMYFUNCTION("""COMPUTED_VALUE"""),"Execution Instruction")</f>
        <v>Execution Instruction</v>
      </c>
      <c r="G5" s="27" t="str">
        <f>IFERROR(__xludf.DUMMYFUNCTION("""COMPUTED_VALUE"""),"Strategy")</f>
        <v>Strategy</v>
      </c>
      <c r="H5" s="27" t="str">
        <f>IFERROR(__xludf.DUMMYFUNCTION("""COMPUTED_VALUE"""),"Account")</f>
        <v>Account</v>
      </c>
      <c r="I5" s="27" t="str">
        <f>IFERROR(__xludf.DUMMYFUNCTION("""COMPUTED_VALUE"""),"Settlement Currency")</f>
        <v>Settlement Currency</v>
      </c>
      <c r="J5" s="27" t="str">
        <f>IFERROR(__xludf.DUMMYFUNCTION("""COMPUTED_VALUE"""),"Trader")</f>
        <v>Trader</v>
      </c>
      <c r="K5" s="27" t="str">
        <f>IFERROR(__xludf.DUMMYFUNCTION("""COMPUTED_VALUE"""),"Default Quantity")</f>
        <v>Default Quantity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/>
      <c r="D6" s="32"/>
      <c r="E6" s="33"/>
      <c r="F6" s="33"/>
      <c r="G6" s="33"/>
      <c r="H6" s="33"/>
      <c r="I6" s="33"/>
      <c r="J6" s="33"/>
      <c r="K6" s="33" t="s">
        <v>21</v>
      </c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IFERROR(__xludf.DUMMYFUNCTION("""COMPUTED_VALUE"""),"Algo Type")</f>
        <v>Algo Type</v>
      </c>
      <c r="E5" s="27" t="str">
        <f>IFERROR(__xludf.DUMMYFUNCTION("""COMPUTED_VALUE"""),"Commission Basis")</f>
        <v>Commission Basis</v>
      </c>
      <c r="F5" s="28" t="str">
        <f>IFERROR(__xludf.DUMMYFUNCTION("""COMPUTED_VALUE"""),"Soft Commission Basis")</f>
        <v>Soft Commission Basis</v>
      </c>
      <c r="G5" s="27" t="str">
        <f>IFERROR(__xludf.DUMMYFUNCTION("""COMPUTED_VALUE"""),"Execution Instruction")</f>
        <v>Execution Instruction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20</v>
      </c>
      <c r="C6" s="36" t="s">
        <v>23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f t="shared" ref="B6:C6" si="1">TODAY()-1</f>
        <v>44431</v>
      </c>
      <c r="C6" s="38">
        <f t="shared" si="1"/>
        <v>44431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27</v>
      </c>
      <c r="C6" s="36" t="s">
        <v>28</v>
      </c>
      <c r="D6" s="40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30</v>
      </c>
      <c r="C6" s="36" t="s">
        <v>31</v>
      </c>
      <c r="D6" s="40">
        <v>1000.0</v>
      </c>
      <c r="E6" s="33"/>
      <c r="F6" s="36" t="s">
        <v>27</v>
      </c>
      <c r="G6" s="33"/>
      <c r="H6" s="33"/>
      <c r="I6" s="33"/>
      <c r="J6" s="41">
        <v>10.0</v>
      </c>
      <c r="K6" s="33"/>
      <c r="L6" s="33"/>
      <c r="M6" s="33"/>
      <c r="N6" s="38">
        <f>Today()</f>
        <v>44432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11" t="s">
        <v>18</v>
      </c>
      <c r="AB6" s="34"/>
      <c r="AC6" s="34"/>
      <c r="AD6" s="42">
        <v>1.0</v>
      </c>
      <c r="AE6" s="34"/>
      <c r="AF6" s="34"/>
      <c r="AG6" s="34"/>
      <c r="AH6" s="34"/>
      <c r="AI6" s="34" t="s">
        <v>30</v>
      </c>
      <c r="AJ6" s="34" t="s">
        <v>31</v>
      </c>
      <c r="AK6" s="34" t="s">
        <v>34</v>
      </c>
      <c r="AL6" s="42">
        <v>1000.0</v>
      </c>
      <c r="AM6" s="34"/>
      <c r="AN6" s="34"/>
      <c r="AO6" s="34"/>
      <c r="AP6" s="34"/>
      <c r="AQ6" s="42">
        <v>0.0</v>
      </c>
      <c r="AR6" s="42">
        <v>0.0</v>
      </c>
      <c r="AS6" s="34" t="s">
        <v>20</v>
      </c>
      <c r="AT6" s="34" t="s">
        <v>27</v>
      </c>
      <c r="AU6" s="34" t="s">
        <v>35</v>
      </c>
      <c r="AV6" s="42">
        <v>0.0</v>
      </c>
      <c r="AW6" s="42">
        <v>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1000.0</v>
      </c>
      <c r="E6" s="33"/>
      <c r="F6" s="33"/>
      <c r="G6" s="33"/>
      <c r="H6" s="33"/>
      <c r="I6" s="33"/>
      <c r="J6" s="41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41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 t="s">
        <v>40</v>
      </c>
      <c r="D6" s="32" t="s">
        <v>41</v>
      </c>
      <c r="E6" s="41">
        <v>5.0</v>
      </c>
      <c r="F6" s="41">
        <v>10.0</v>
      </c>
      <c r="G6" s="36" t="s">
        <v>42</v>
      </c>
      <c r="H6" s="36" t="s">
        <v>43</v>
      </c>
      <c r="I6" s="36" t="s">
        <v>27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27</v>
      </c>
      <c r="C6" s="33"/>
      <c r="D6" s="40">
        <v>1000.0</v>
      </c>
      <c r="E6" s="41">
        <v>10000.0</v>
      </c>
      <c r="F6" s="33"/>
      <c r="G6" s="33"/>
      <c r="H6" s="41">
        <v>15.0</v>
      </c>
      <c r="I6" s="41">
        <v>500.0</v>
      </c>
      <c r="J6" s="43">
        <v>1500.0</v>
      </c>
      <c r="K6" s="43">
        <v>15000.0</v>
      </c>
      <c r="L6" s="33"/>
      <c r="M6" s="41">
        <v>1.0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 t="s">
        <v>40</v>
      </c>
      <c r="D6" s="32" t="s">
        <v>41</v>
      </c>
      <c r="E6" s="41">
        <v>5.0</v>
      </c>
      <c r="F6" s="41">
        <v>10.0</v>
      </c>
      <c r="G6" s="36" t="s">
        <v>42</v>
      </c>
      <c r="H6" s="36" t="s">
        <v>43</v>
      </c>
      <c r="I6" s="36" t="s">
        <v>27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/>
      <c r="D6" s="40">
        <v>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10.0</v>
      </c>
      <c r="E6" s="33"/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 t="s">
        <v>28</v>
      </c>
      <c r="V6" s="34"/>
      <c r="W6" s="34"/>
      <c r="X6" s="34"/>
      <c r="Y6" s="34"/>
      <c r="Z6" s="34"/>
      <c r="AA6" s="44" t="s">
        <v>18</v>
      </c>
      <c r="AB6" s="34"/>
      <c r="AC6" s="34"/>
      <c r="AD6" s="42">
        <v>1.0</v>
      </c>
      <c r="AE6" s="34"/>
      <c r="AF6" s="34" t="s">
        <v>48</v>
      </c>
      <c r="AG6" s="42">
        <v>10.0</v>
      </c>
      <c r="AH6" s="34" t="s">
        <v>49</v>
      </c>
      <c r="AI6" s="34" t="s">
        <v>30</v>
      </c>
      <c r="AJ6" s="34" t="s">
        <v>31</v>
      </c>
      <c r="AK6" s="34" t="s">
        <v>50</v>
      </c>
      <c r="AL6" s="42">
        <v>1000.0</v>
      </c>
      <c r="AM6" s="42">
        <v>1000.0</v>
      </c>
      <c r="AN6" s="34"/>
      <c r="AO6" s="34"/>
      <c r="AP6" s="34"/>
      <c r="AQ6" s="42">
        <v>10.0</v>
      </c>
      <c r="AR6" s="42">
        <v>10.0</v>
      </c>
      <c r="AS6" s="34" t="s">
        <v>20</v>
      </c>
      <c r="AT6" s="34" t="s">
        <v>27</v>
      </c>
      <c r="AU6" s="34" t="s">
        <v>35</v>
      </c>
      <c r="AV6" s="42">
        <v>10000.0</v>
      </c>
      <c r="AW6" s="42">
        <v>10000.0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>
        <v>10.0</v>
      </c>
      <c r="E7" s="34"/>
      <c r="F7" s="34"/>
      <c r="G7" s="34"/>
      <c r="H7" s="34" t="s">
        <v>23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28</v>
      </c>
      <c r="V7" s="34"/>
      <c r="W7" s="34"/>
      <c r="X7" s="34"/>
      <c r="Y7" s="34"/>
      <c r="Z7" s="34"/>
      <c r="AA7" s="44" t="s">
        <v>18</v>
      </c>
      <c r="AB7" s="34"/>
      <c r="AC7" s="34"/>
      <c r="AD7" s="42">
        <v>1.0</v>
      </c>
      <c r="AE7" s="34"/>
      <c r="AF7" s="34" t="s">
        <v>48</v>
      </c>
      <c r="AG7" s="42">
        <v>10.0</v>
      </c>
      <c r="AH7" s="34" t="s">
        <v>49</v>
      </c>
      <c r="AI7" s="34" t="s">
        <v>30</v>
      </c>
      <c r="AJ7" s="34" t="s">
        <v>31</v>
      </c>
      <c r="AK7" s="34" t="s">
        <v>50</v>
      </c>
      <c r="AL7" s="42">
        <v>500.0</v>
      </c>
      <c r="AM7" s="42">
        <v>500.0</v>
      </c>
      <c r="AN7" s="34"/>
      <c r="AO7" s="34"/>
      <c r="AP7" s="34"/>
      <c r="AQ7" s="42">
        <v>10.0</v>
      </c>
      <c r="AR7" s="42">
        <v>10.0</v>
      </c>
      <c r="AS7" s="34" t="s">
        <v>20</v>
      </c>
      <c r="AT7" s="34" t="s">
        <v>27</v>
      </c>
      <c r="AU7" s="34" t="s">
        <v>35</v>
      </c>
      <c r="AV7" s="42">
        <v>5000.0</v>
      </c>
      <c r="AW7" s="42">
        <v>5000.0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 t="s">
        <v>30</v>
      </c>
      <c r="E6" s="33"/>
      <c r="F6" s="33" t="s">
        <v>31</v>
      </c>
      <c r="G6" s="33" t="s">
        <v>50</v>
      </c>
      <c r="H6" s="41">
        <v>1000.0</v>
      </c>
      <c r="I6" s="41">
        <v>1000.0</v>
      </c>
      <c r="J6" s="33"/>
      <c r="K6" s="33"/>
      <c r="L6" s="33"/>
      <c r="M6" s="33"/>
      <c r="N6" s="41">
        <v>10.0</v>
      </c>
      <c r="O6" s="33"/>
      <c r="P6" s="43">
        <v>10.0</v>
      </c>
      <c r="Q6" s="33" t="s">
        <v>20</v>
      </c>
      <c r="R6" s="33" t="s">
        <v>27</v>
      </c>
      <c r="S6" s="33"/>
      <c r="T6" s="34" t="s">
        <v>35</v>
      </c>
      <c r="U6" s="34"/>
      <c r="V6" s="34"/>
      <c r="W6" s="34"/>
      <c r="X6" s="34"/>
      <c r="Y6" s="34"/>
      <c r="Z6" s="34"/>
      <c r="AA6" s="34"/>
      <c r="AB6" s="34"/>
      <c r="AC6" s="34"/>
      <c r="AD6" s="44" t="s">
        <v>18</v>
      </c>
      <c r="AE6" s="34"/>
      <c r="AF6" s="34"/>
      <c r="AG6" s="34"/>
      <c r="AH6" s="34"/>
      <c r="AI6" s="34"/>
      <c r="AJ6" s="34" t="s">
        <v>23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10.0</v>
      </c>
      <c r="E6" s="33"/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44" t="s">
        <v>18</v>
      </c>
      <c r="AB6" s="34"/>
      <c r="AC6" s="34"/>
      <c r="AD6" s="42">
        <v>1.0</v>
      </c>
      <c r="AE6" s="34"/>
      <c r="AF6" s="34" t="s">
        <v>48</v>
      </c>
      <c r="AG6" s="34"/>
      <c r="AH6" s="34" t="s">
        <v>49</v>
      </c>
      <c r="AI6" s="34" t="s">
        <v>30</v>
      </c>
      <c r="AJ6" s="34" t="s">
        <v>31</v>
      </c>
      <c r="AK6" s="34" t="s">
        <v>50</v>
      </c>
      <c r="AL6" s="42">
        <v>1000.0</v>
      </c>
      <c r="AM6" s="42">
        <v>1000.0</v>
      </c>
      <c r="AN6" s="34"/>
      <c r="AO6" s="42">
        <v>10.0</v>
      </c>
      <c r="AP6" s="42">
        <v>10.0</v>
      </c>
      <c r="AQ6" s="34" t="s">
        <v>20</v>
      </c>
      <c r="AR6" s="34" t="s">
        <v>27</v>
      </c>
      <c r="AS6" s="34" t="s">
        <v>35</v>
      </c>
      <c r="AT6" s="42">
        <v>10000.0</v>
      </c>
      <c r="AU6" s="42">
        <v>10000.0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10.0</v>
      </c>
      <c r="E6" s="33"/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 t="s">
        <v>28</v>
      </c>
      <c r="V6" s="34"/>
      <c r="W6" s="34"/>
      <c r="X6" s="34"/>
      <c r="Y6" s="34"/>
      <c r="Z6" s="34"/>
      <c r="AA6" s="44" t="s">
        <v>18</v>
      </c>
      <c r="AB6" s="34"/>
      <c r="AC6" s="34"/>
      <c r="AD6" s="42">
        <v>1.0</v>
      </c>
      <c r="AE6" s="34"/>
      <c r="AF6" s="34"/>
      <c r="AG6" s="34"/>
      <c r="AH6" s="34"/>
      <c r="AI6" s="34" t="s">
        <v>30</v>
      </c>
      <c r="AJ6" s="34" t="s">
        <v>31</v>
      </c>
      <c r="AK6" s="34" t="s">
        <v>50</v>
      </c>
      <c r="AL6" s="42">
        <v>1000.0</v>
      </c>
      <c r="AM6" s="42">
        <v>1000.0</v>
      </c>
      <c r="AN6" s="34"/>
      <c r="AO6" s="34"/>
      <c r="AP6" s="34"/>
      <c r="AQ6" s="34"/>
      <c r="AR6" s="34"/>
      <c r="AS6" s="34" t="s">
        <v>20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2000.0</v>
      </c>
      <c r="E6" s="33"/>
      <c r="F6" s="33"/>
      <c r="G6" s="33"/>
      <c r="H6" s="33"/>
      <c r="I6" s="33"/>
      <c r="J6" s="41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 t="s">
        <v>30</v>
      </c>
      <c r="E6" s="33"/>
      <c r="F6" s="33" t="s">
        <v>31</v>
      </c>
      <c r="G6" s="33" t="s">
        <v>55</v>
      </c>
      <c r="H6" s="41">
        <v>2000.0</v>
      </c>
      <c r="I6" s="41">
        <v>1000.0</v>
      </c>
      <c r="J6" s="33"/>
      <c r="K6" s="33"/>
      <c r="L6" s="41">
        <v>1000.0</v>
      </c>
      <c r="M6" s="33"/>
      <c r="N6" s="33"/>
      <c r="O6" s="33"/>
      <c r="P6" s="33"/>
      <c r="Q6" s="33" t="s">
        <v>20</v>
      </c>
      <c r="R6" s="33" t="s">
        <v>27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44" t="s">
        <v>18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10.0</v>
      </c>
      <c r="E6" s="33"/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 t="s">
        <v>28</v>
      </c>
      <c r="W6" s="34"/>
      <c r="X6" s="34"/>
      <c r="Y6" s="34"/>
      <c r="Z6" s="34"/>
      <c r="AA6" s="34"/>
      <c r="AB6" s="44" t="s">
        <v>18</v>
      </c>
      <c r="AC6" s="34"/>
      <c r="AD6" s="34"/>
      <c r="AE6" s="42">
        <v>1.0</v>
      </c>
      <c r="AF6" s="34"/>
      <c r="AG6" s="34"/>
      <c r="AH6" s="34"/>
      <c r="AI6" s="34"/>
      <c r="AJ6" s="34" t="s">
        <v>30</v>
      </c>
      <c r="AK6" s="34" t="s">
        <v>31</v>
      </c>
      <c r="AL6" s="34" t="s">
        <v>50</v>
      </c>
      <c r="AM6" s="42">
        <v>1000.0</v>
      </c>
      <c r="AN6" s="42">
        <v>1000.0</v>
      </c>
      <c r="AO6" s="34"/>
      <c r="AP6" s="34"/>
      <c r="AQ6" s="34"/>
      <c r="AR6" s="34"/>
      <c r="AS6" s="34"/>
      <c r="AT6" s="34" t="s">
        <v>20</v>
      </c>
      <c r="AU6" s="34" t="s">
        <v>57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2000.0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10.0</v>
      </c>
      <c r="E6" s="33"/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 t="s">
        <v>28</v>
      </c>
      <c r="V6" s="34"/>
      <c r="W6" s="34"/>
      <c r="X6" s="34"/>
      <c r="Y6" s="34"/>
      <c r="Z6" s="34"/>
      <c r="AA6" s="44" t="s">
        <v>18</v>
      </c>
      <c r="AB6" s="34"/>
      <c r="AC6" s="34"/>
      <c r="AD6" s="42">
        <v>1.0</v>
      </c>
      <c r="AE6" s="34"/>
      <c r="AF6" s="34" t="s">
        <v>48</v>
      </c>
      <c r="AG6" s="42">
        <v>10.0</v>
      </c>
      <c r="AH6" s="34" t="s">
        <v>49</v>
      </c>
      <c r="AI6" s="34" t="s">
        <v>30</v>
      </c>
      <c r="AJ6" s="34" t="s">
        <v>31</v>
      </c>
      <c r="AK6" s="34" t="s">
        <v>55</v>
      </c>
      <c r="AL6" s="42">
        <v>2000.0</v>
      </c>
      <c r="AM6" s="42">
        <v>1000.0</v>
      </c>
      <c r="AN6" s="34"/>
      <c r="AO6" s="34"/>
      <c r="AP6" s="34"/>
      <c r="AQ6" s="34"/>
      <c r="AR6" s="34"/>
      <c r="AS6" s="34" t="s">
        <v>20</v>
      </c>
      <c r="AT6" s="34" t="s">
        <v>27</v>
      </c>
      <c r="AU6" s="34" t="s">
        <v>35</v>
      </c>
      <c r="AV6" s="42">
        <v>10000.0</v>
      </c>
      <c r="AW6" s="42">
        <v>10000.0</v>
      </c>
      <c r="AX6" s="34"/>
      <c r="AY6" s="42">
        <v>2000.0</v>
      </c>
      <c r="AZ6" s="42">
        <v>1000.0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>
        <v>10.0</v>
      </c>
      <c r="E7" s="34"/>
      <c r="F7" s="34"/>
      <c r="G7" s="34"/>
      <c r="H7" s="34" t="s">
        <v>23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28</v>
      </c>
      <c r="V7" s="34"/>
      <c r="W7" s="34"/>
      <c r="X7" s="34"/>
      <c r="Y7" s="34"/>
      <c r="Z7" s="34"/>
      <c r="AA7" s="44" t="s">
        <v>18</v>
      </c>
      <c r="AB7" s="34"/>
      <c r="AC7" s="34"/>
      <c r="AD7" s="42">
        <v>1.0</v>
      </c>
      <c r="AE7" s="34"/>
      <c r="AF7" s="34" t="s">
        <v>48</v>
      </c>
      <c r="AG7" s="42">
        <v>10.0</v>
      </c>
      <c r="AH7" s="34" t="s">
        <v>49</v>
      </c>
      <c r="AI7" s="34" t="s">
        <v>30</v>
      </c>
      <c r="AJ7" s="34" t="s">
        <v>31</v>
      </c>
      <c r="AK7" s="34" t="s">
        <v>50</v>
      </c>
      <c r="AL7" s="42">
        <v>500.0</v>
      </c>
      <c r="AM7" s="42">
        <v>500.0</v>
      </c>
      <c r="AN7" s="34"/>
      <c r="AO7" s="34"/>
      <c r="AP7" s="34"/>
      <c r="AQ7" s="42">
        <v>10.0</v>
      </c>
      <c r="AR7" s="42">
        <v>10.0</v>
      </c>
      <c r="AS7" s="34" t="s">
        <v>20</v>
      </c>
      <c r="AT7" s="34" t="s">
        <v>27</v>
      </c>
      <c r="AU7" s="34" t="s">
        <v>35</v>
      </c>
      <c r="AV7" s="42">
        <v>5000.0</v>
      </c>
      <c r="AW7" s="42">
        <v>5000.0</v>
      </c>
      <c r="AX7" s="34"/>
      <c r="AY7" s="42">
        <v>500.0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 t="s">
        <v>30</v>
      </c>
      <c r="E6" s="33"/>
      <c r="F6" s="33" t="s">
        <v>31</v>
      </c>
      <c r="G6" s="33" t="s">
        <v>55</v>
      </c>
      <c r="H6" s="41">
        <v>2000.0</v>
      </c>
      <c r="I6" s="41">
        <v>1000.0</v>
      </c>
      <c r="J6" s="33"/>
      <c r="K6" s="33"/>
      <c r="L6" s="41">
        <v>1000.0</v>
      </c>
      <c r="M6" s="33"/>
      <c r="N6" s="33"/>
      <c r="O6" s="33"/>
      <c r="P6" s="33"/>
      <c r="Q6" s="33" t="s">
        <v>20</v>
      </c>
      <c r="R6" s="33" t="s">
        <v>27</v>
      </c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44" t="s">
        <v>18</v>
      </c>
      <c r="AE6" s="34"/>
      <c r="AF6" s="34"/>
      <c r="AG6" s="34"/>
      <c r="AH6" s="34"/>
      <c r="AI6" s="34"/>
      <c r="AJ6" s="34" t="s">
        <v>23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0">
        <v>10.0</v>
      </c>
      <c r="E6" s="33"/>
      <c r="F6" s="33"/>
      <c r="G6" s="41">
        <v>1000.0</v>
      </c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44" t="s">
        <v>18</v>
      </c>
      <c r="AB6" s="34"/>
      <c r="AC6" s="34"/>
      <c r="AD6" s="42">
        <v>1.0</v>
      </c>
      <c r="AE6" s="34"/>
      <c r="AF6" s="34" t="s">
        <v>48</v>
      </c>
      <c r="AG6" s="34"/>
      <c r="AH6" s="34" t="s">
        <v>49</v>
      </c>
      <c r="AI6" s="34" t="s">
        <v>30</v>
      </c>
      <c r="AJ6" s="34" t="s">
        <v>31</v>
      </c>
      <c r="AK6" s="34" t="s">
        <v>55</v>
      </c>
      <c r="AL6" s="42">
        <v>2000.0</v>
      </c>
      <c r="AM6" s="42">
        <v>1000.0</v>
      </c>
      <c r="AN6" s="34"/>
      <c r="AO6" s="34"/>
      <c r="AP6" s="34"/>
      <c r="AQ6" s="34" t="s">
        <v>20</v>
      </c>
      <c r="AR6" s="34" t="s">
        <v>27</v>
      </c>
      <c r="AS6" s="34" t="s">
        <v>35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 t="s">
        <v>31</v>
      </c>
      <c r="D6" s="40">
        <v>2000.0</v>
      </c>
      <c r="E6" s="41">
        <v>1000.0</v>
      </c>
      <c r="F6" s="41">
        <v>1000.0</v>
      </c>
      <c r="G6" s="33" t="s">
        <v>55</v>
      </c>
      <c r="H6" s="33"/>
      <c r="I6" s="33"/>
      <c r="J6" s="41">
        <v>10.0</v>
      </c>
      <c r="K6" s="33" t="s">
        <v>20</v>
      </c>
      <c r="L6" s="33" t="s">
        <v>27</v>
      </c>
      <c r="M6" s="33" t="s">
        <v>35</v>
      </c>
      <c r="N6" s="33"/>
      <c r="O6" s="41">
        <v>10.0</v>
      </c>
      <c r="P6" s="33"/>
      <c r="Q6" s="33"/>
      <c r="R6" s="33"/>
      <c r="S6" s="33"/>
      <c r="T6" s="34"/>
      <c r="U6" s="34"/>
      <c r="V6" s="34"/>
      <c r="W6" s="34" t="s">
        <v>49</v>
      </c>
      <c r="X6" s="34" t="s">
        <v>48</v>
      </c>
      <c r="Y6" s="42">
        <v>1.0</v>
      </c>
      <c r="Z6" s="34"/>
      <c r="AA6" s="34"/>
      <c r="AB6" s="34"/>
      <c r="AC6" s="42">
        <v>10000.0</v>
      </c>
      <c r="AD6" s="42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 t="s">
        <v>23</v>
      </c>
      <c r="AW6" s="42">
        <v>1000.0</v>
      </c>
      <c r="AX6" s="34"/>
      <c r="AY6" s="34"/>
      <c r="AZ6" s="34"/>
      <c r="BA6" s="44" t="s">
        <v>18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30</v>
      </c>
      <c r="C7" s="34" t="s">
        <v>31</v>
      </c>
      <c r="D7" s="45">
        <v>500.0</v>
      </c>
      <c r="E7" s="45">
        <v>500.0</v>
      </c>
      <c r="F7" s="34"/>
      <c r="G7" s="34" t="s">
        <v>50</v>
      </c>
      <c r="H7" s="34"/>
      <c r="I7" s="34"/>
      <c r="J7" s="45">
        <v>10.0</v>
      </c>
      <c r="K7" s="34" t="s">
        <v>20</v>
      </c>
      <c r="L7" s="34" t="s">
        <v>27</v>
      </c>
      <c r="M7" s="34" t="s">
        <v>35</v>
      </c>
      <c r="N7" s="34"/>
      <c r="O7" s="45">
        <v>10.0</v>
      </c>
      <c r="P7" s="34"/>
      <c r="Q7" s="34"/>
      <c r="R7" s="34"/>
      <c r="S7" s="34"/>
      <c r="T7" s="34"/>
      <c r="U7" s="34"/>
      <c r="V7" s="34"/>
      <c r="W7" s="34" t="s">
        <v>49</v>
      </c>
      <c r="X7" s="34" t="s">
        <v>48</v>
      </c>
      <c r="Y7" s="42">
        <v>1.0</v>
      </c>
      <c r="Z7" s="34"/>
      <c r="AA7" s="34"/>
      <c r="AB7" s="34"/>
      <c r="AC7" s="42">
        <v>5000.0</v>
      </c>
      <c r="AD7" s="42">
        <v>5000.0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 t="s">
        <v>23</v>
      </c>
      <c r="AW7" s="34"/>
      <c r="AX7" s="34"/>
      <c r="AY7" s="34"/>
      <c r="AZ7" s="34"/>
      <c r="BA7" s="44" t="s">
        <v>18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60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6" t="s">
        <v>27</v>
      </c>
      <c r="C6" s="33"/>
      <c r="D6" s="32"/>
      <c r="E6" s="47">
        <v>500.0</v>
      </c>
      <c r="F6" s="33"/>
      <c r="G6" s="48" t="s">
        <v>49</v>
      </c>
      <c r="H6" s="33"/>
      <c r="I6" s="33"/>
      <c r="J6" s="33"/>
      <c r="K6" s="47">
        <v>10.0</v>
      </c>
      <c r="L6" s="47">
        <v>10.0</v>
      </c>
      <c r="M6" s="33"/>
      <c r="N6" s="33"/>
      <c r="O6" s="33" t="s">
        <v>20</v>
      </c>
      <c r="P6" s="33"/>
      <c r="Q6" s="33"/>
      <c r="R6" s="33"/>
      <c r="S6" s="33"/>
      <c r="T6" s="34"/>
      <c r="U6" s="34"/>
      <c r="V6" s="34"/>
      <c r="W6" s="34"/>
      <c r="X6" s="34"/>
      <c r="Y6" s="34"/>
      <c r="Z6" s="34" t="s">
        <v>28</v>
      </c>
      <c r="AA6" s="34"/>
      <c r="AB6" s="34"/>
      <c r="AC6" s="34"/>
      <c r="AD6" s="34"/>
      <c r="AE6" s="49">
        <v>500.0</v>
      </c>
      <c r="AF6" s="34"/>
      <c r="AG6" s="34"/>
      <c r="AH6" s="34" t="s">
        <v>48</v>
      </c>
      <c r="AI6" s="42">
        <v>1.0</v>
      </c>
      <c r="AJ6" s="50" t="s">
        <v>62</v>
      </c>
      <c r="AK6" s="34"/>
      <c r="AL6" s="34"/>
      <c r="AM6" s="34"/>
      <c r="AN6" s="34"/>
      <c r="AO6" s="34"/>
      <c r="AP6" s="34"/>
      <c r="AQ6" s="34"/>
      <c r="AR6" s="34"/>
      <c r="AS6" s="34"/>
      <c r="AT6" s="51"/>
      <c r="AU6" s="51"/>
      <c r="AV6" s="34"/>
      <c r="AW6" s="34"/>
      <c r="AX6" s="34"/>
      <c r="AY6" s="50" t="s">
        <v>35</v>
      </c>
      <c r="AZ6" s="34"/>
      <c r="BA6" s="34"/>
      <c r="BB6" s="34"/>
      <c r="BC6" s="34"/>
      <c r="BD6" s="34"/>
      <c r="BE6" s="51">
        <v>5000.0</v>
      </c>
      <c r="BF6" s="51">
        <v>5000.0</v>
      </c>
      <c r="BG6" s="34"/>
      <c r="BH6" s="34"/>
      <c r="BI6" s="34"/>
      <c r="BJ6" s="49">
        <v>500.0</v>
      </c>
      <c r="BK6" s="34"/>
      <c r="BL6" s="34"/>
      <c r="BM6" s="34" t="s">
        <v>28</v>
      </c>
      <c r="BN6" s="34"/>
      <c r="BO6" s="34" t="s">
        <v>31</v>
      </c>
      <c r="BP6" s="34"/>
      <c r="BQ6" s="34"/>
      <c r="BR6" s="49">
        <v>0.875</v>
      </c>
      <c r="BS6" s="50" t="s">
        <v>63</v>
      </c>
      <c r="BT6" s="34" t="s">
        <v>30</v>
      </c>
      <c r="BU6" s="34"/>
      <c r="BV6" s="34"/>
      <c r="BW6" s="49">
        <v>46.875</v>
      </c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44" t="s">
        <v>23</v>
      </c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0" t="s">
        <v>27</v>
      </c>
      <c r="C7" s="34"/>
      <c r="D7" s="34"/>
      <c r="E7" s="51">
        <v>1000.0</v>
      </c>
      <c r="F7" s="34"/>
      <c r="G7" s="50" t="s">
        <v>49</v>
      </c>
      <c r="H7" s="34"/>
      <c r="I7" s="34"/>
      <c r="J7" s="34"/>
      <c r="K7" s="49">
        <v>10.0</v>
      </c>
      <c r="L7" s="49">
        <v>10.0</v>
      </c>
      <c r="M7" s="34"/>
      <c r="N7" s="34"/>
      <c r="O7" s="34" t="s">
        <v>20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34"/>
      <c r="AC7" s="34"/>
      <c r="AD7" s="34"/>
      <c r="AE7" s="51">
        <v>1000.0</v>
      </c>
      <c r="AF7" s="34"/>
      <c r="AG7" s="34"/>
      <c r="AH7" s="34" t="s">
        <v>48</v>
      </c>
      <c r="AI7" s="42">
        <v>1.0</v>
      </c>
      <c r="AJ7" s="50" t="s">
        <v>62</v>
      </c>
      <c r="AK7" s="34"/>
      <c r="AL7" s="34"/>
      <c r="AM7" s="34"/>
      <c r="AN7" s="34"/>
      <c r="AO7" s="34"/>
      <c r="AP7" s="34"/>
      <c r="AQ7" s="34"/>
      <c r="AR7" s="34"/>
      <c r="AS7" s="34"/>
      <c r="AT7" s="51">
        <v>10092.75</v>
      </c>
      <c r="AU7" s="51">
        <v>10092.75</v>
      </c>
      <c r="AV7" s="34"/>
      <c r="AW7" s="34"/>
      <c r="AX7" s="34"/>
      <c r="AY7" s="50" t="s">
        <v>35</v>
      </c>
      <c r="AZ7" s="34"/>
      <c r="BA7" s="34"/>
      <c r="BB7" s="34"/>
      <c r="BC7" s="34"/>
      <c r="BD7" s="34"/>
      <c r="BE7" s="51">
        <v>10000.0</v>
      </c>
      <c r="BF7" s="51">
        <v>10000.0</v>
      </c>
      <c r="BG7" s="34"/>
      <c r="BH7" s="34"/>
      <c r="BI7" s="34"/>
      <c r="BJ7" s="51">
        <v>2000.0</v>
      </c>
      <c r="BK7" s="34"/>
      <c r="BL7" s="34"/>
      <c r="BM7" s="34" t="s">
        <v>28</v>
      </c>
      <c r="BN7" s="34"/>
      <c r="BO7" s="34" t="s">
        <v>31</v>
      </c>
      <c r="BP7" s="34"/>
      <c r="BQ7" s="34"/>
      <c r="BR7" s="49">
        <v>1.75</v>
      </c>
      <c r="BS7" s="50" t="s">
        <v>63</v>
      </c>
      <c r="BT7" s="34" t="s">
        <v>30</v>
      </c>
      <c r="BU7" s="34"/>
      <c r="BV7" s="34"/>
      <c r="BW7" s="49">
        <v>92.75</v>
      </c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44" t="s">
        <v>23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IFERROR(__xludf.DUMMYFUNCTION("""COMPUTED_VALUE"""),"Order Type")</f>
        <v>Order Type</v>
      </c>
      <c r="D5" s="27" t="str">
        <f>IFERROR(__xludf.DUMMYFUNCTION("""COMPUTED_VALUE"""),"TIF")</f>
        <v>TIF</v>
      </c>
      <c r="E5" s="27" t="str">
        <f>IFERROR(__xludf.DUMMYFUNCTION("""COMPUTED_VALUE"""),"Handling Instruction")</f>
        <v>Handling Instruction</v>
      </c>
      <c r="F5" s="28" t="str">
        <f>IFERROR(__xludf.DUMMYFUNCTION("""COMPUTED_VALUE"""),"Execution Instruction")</f>
        <v>Execution Instruction</v>
      </c>
      <c r="G5" s="27" t="str">
        <f>IFERROR(__xludf.DUMMYFUNCTION("""COMPUTED_VALUE"""),"Strategy")</f>
        <v>Strategy</v>
      </c>
      <c r="H5" s="27" t="str">
        <f>IFERROR(__xludf.DUMMYFUNCTION("""COMPUTED_VALUE"""),"Account")</f>
        <v>Account</v>
      </c>
      <c r="I5" s="27" t="str">
        <f>IFERROR(__xludf.DUMMYFUNCTION("""COMPUTED_VALUE"""),"Settlement Currency")</f>
        <v>Settlement Currency</v>
      </c>
      <c r="J5" s="27" t="str">
        <f>IFERROR(__xludf.DUMMYFUNCTION("""COMPUTED_VALUE"""),"Trader")</f>
        <v>Trader</v>
      </c>
      <c r="K5" s="27" t="str">
        <f>IFERROR(__xludf.DUMMYFUNCTION("""COMPUTED_VALUE"""),"Default Quantity")</f>
        <v>Default Quantity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