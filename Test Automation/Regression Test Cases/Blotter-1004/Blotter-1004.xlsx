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uecVenueExchange" sheetId="4" r:id="rId6"/>
    <sheet state="visible" name="SetAuecExecutingBroker" sheetId="5" r:id="rId7"/>
    <sheet state="visible" name="SetGeneralPreference" sheetId="6" r:id="rId8"/>
    <sheet state="visible" name="AddCalculatedPreferences" sheetId="7" r:id="rId9"/>
    <sheet state="visible" name="SetAccountValueCalculatedPref" sheetId="8" r:id="rId10"/>
    <sheet state="visible" name="SetDefaultRuleCalculatedPref" sheetId="9" r:id="rId11"/>
    <sheet state="visible" name="EnableOrVerifyHotButton" sheetId="10" r:id="rId12"/>
    <sheet state="visible" name="CreateHotButtonOnBlotter" sheetId="11" r:id="rId13"/>
    <sheet state="visible" name="FillHBdetailsOnBlotter" sheetId="12" r:id="rId14"/>
    <sheet state="visible" name="CreateHotButtonOnBlotter1" sheetId="13" r:id="rId15"/>
    <sheet state="visible" name="FillHBdetailsOnBlotter1" sheetId="14" r:id="rId16"/>
    <sheet state="visible" name="CreateHotButtonOnBlotter2" sheetId="15" r:id="rId17"/>
    <sheet state="visible" name="FillHBdetailsOnBlotter2" sheetId="16" r:id="rId18"/>
    <sheet state="visible" name="EnableOrVerifyHotButton1" sheetId="17" r:id="rId19"/>
    <sheet state="visible" name="CustomOrderTT" sheetId="18" r:id="rId20"/>
    <sheet state="visible" name="SelectTrade" sheetId="19" r:id="rId21"/>
    <sheet state="visible" name="AcknowledgeTrade" sheetId="20" r:id="rId22"/>
    <sheet state="visible" name="ExecuteTrade" sheetId="21" r:id="rId23"/>
    <sheet state="visible" name="EnableOrVerifyHotButton2" sheetId="22" r:id="rId24"/>
    <sheet state="visible" name="CustomOrderTT1" sheetId="23" r:id="rId25"/>
    <sheet state="visible" name="EnableOrVerifyHotButton3" sheetId="24" r:id="rId26"/>
    <sheet state="visible" name="CustomOrderTT2" sheetId="25" r:id="rId27"/>
    <sheet state="visible" name="VerifyOrder" sheetId="26" r:id="rId28"/>
  </sheets>
  <definedNames/>
  <calcPr/>
</workbook>
</file>

<file path=xl/sharedStrings.xml><?xml version="1.0" encoding="utf-8"?>
<sst xmlns="http://schemas.openxmlformats.org/spreadsheetml/2006/main" count="267" uniqueCount="69">
  <si>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</si>
  <si>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</si>
  <si>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</si>
  <si>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</si>
  <si>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</si>
  <si>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</si>
  <si>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</si>
  <si>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</si>
  <si>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</si>
  <si>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</si>
  <si>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</si>
  <si>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</si>
  <si>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</si>
  <si>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AuecVenueExchange</t>
  </si>
  <si>
    <t>Data Format</t>
  </si>
  <si>
    <t>Input Format</t>
  </si>
  <si>
    <t>SetAuecExecutingBroker</t>
  </si>
  <si>
    <t>Allocation1</t>
  </si>
  <si>
    <t>MS</t>
  </si>
  <si>
    <t>Allocation3</t>
  </si>
  <si>
    <t>GS</t>
  </si>
  <si>
    <t>TradingTicket</t>
  </si>
  <si>
    <t>SetGeneralPreference</t>
  </si>
  <si>
    <t>Allocation</t>
  </si>
  <si>
    <t>AddCalculatedPreferences</t>
  </si>
  <si>
    <t>TestP</t>
  </si>
  <si>
    <t>SetAccountValueCalculatedPref</t>
  </si>
  <si>
    <t>SetDefaultRuleCalculatedPref</t>
  </si>
  <si>
    <t>Trade Quantity</t>
  </si>
  <si>
    <t>Current Preference</t>
  </si>
  <si>
    <t>Blotter</t>
  </si>
  <si>
    <t>EnableOrVerifyHotButton</t>
  </si>
  <si>
    <t>CreateHotButtonOnBlotter</t>
  </si>
  <si>
    <t>Hbtn</t>
  </si>
  <si>
    <t>Create New Order</t>
  </si>
  <si>
    <t>Confirm on TT</t>
  </si>
  <si>
    <t>Next</t>
  </si>
  <si>
    <t>FillHBdetailsOnBlotter</t>
  </si>
  <si>
    <t>AAPL</t>
  </si>
  <si>
    <t>Day</t>
  </si>
  <si>
    <t>Market</t>
  </si>
  <si>
    <t>Buy</t>
  </si>
  <si>
    <t>Send</t>
  </si>
  <si>
    <t>Hbtn1</t>
  </si>
  <si>
    <t>IBM</t>
  </si>
  <si>
    <t>Stage</t>
  </si>
  <si>
    <t>Hbtn2</t>
  </si>
  <si>
    <t>MSFT</t>
  </si>
  <si>
    <t>Manual</t>
  </si>
  <si>
    <t>Favorite</t>
  </si>
  <si>
    <t>CustomOrderTT</t>
  </si>
  <si>
    <t>Simulator</t>
  </si>
  <si>
    <t>SelectTrade</t>
  </si>
  <si>
    <t>AcknowledgeTrade</t>
  </si>
  <si>
    <t>ExecuteTrade</t>
  </si>
  <si>
    <t>CreateOrder</t>
  </si>
  <si>
    <t>DoneAway</t>
  </si>
  <si>
    <t>VerifyOrder</t>
  </si>
  <si>
    <t>N.A.</t>
  </si>
  <si>
    <t>IBM US EQUITY</t>
  </si>
  <si>
    <t>Drops</t>
  </si>
  <si>
    <t>jpearce</t>
  </si>
  <si>
    <t>NewMF</t>
  </si>
  <si>
    <t>M</t>
  </si>
  <si>
    <t>Equity</t>
  </si>
  <si>
    <t>New</t>
  </si>
  <si>
    <t>Multiple</t>
  </si>
  <si>
    <t>MSFT US EQUITY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</si>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</sst>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FFFFFF"/>
      <name val="Calibri"/>
    </font>
    <font>
      <sz val="11.0"/>
      <color rgb="FF35C759"/>
      <name val="Calibri"/>
    </font>
    <font>
      <sz val="11.0"/>
      <color rgb="FFAEE9BD"/>
      <name val="Calibri"/>
    </font>
    <font>
      <sz val="11.0"/>
      <color rgb="FF9DC8ED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24262A"/>
        <bgColor rgb="FF24262A"/>
      </patternFill>
    </fill>
    <fill>
      <patternFill patternType="solid">
        <fgColor rgb="FF1E1F23"/>
        <bgColor rgb="FF1E1F23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5" fillId="6" fontId="14" numFmtId="0" xfId="0" applyAlignment="1" applyBorder="1" applyFill="1" applyFont="1">
      <alignment vertical="bottom"/>
    </xf>
    <xf borderId="5" fillId="6" fontId="3" numFmtId="0" xfId="0" applyAlignment="1" applyBorder="1" applyFont="1">
      <alignment vertical="bottom"/>
    </xf>
    <xf borderId="5" fillId="6" fontId="14" numFmtId="0" xfId="0" applyAlignment="1" applyBorder="1" applyFont="1">
      <alignment vertical="bottom"/>
    </xf>
    <xf borderId="5" fillId="6" fontId="15" numFmtId="0" xfId="0" applyAlignment="1" applyBorder="1" applyFont="1">
      <alignment vertical="bottom"/>
    </xf>
    <xf borderId="5" fillId="6" fontId="16" numFmtId="0" xfId="0" applyAlignment="1" applyBorder="1" applyFont="1">
      <alignment vertical="bottom"/>
    </xf>
    <xf borderId="5" fillId="6" fontId="14" numFmtId="0" xfId="0" applyAlignment="1" applyBorder="1" applyFont="1">
      <alignment horizontal="right" readingOrder="0" vertical="bottom"/>
    </xf>
    <xf borderId="5" fillId="6" fontId="14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5" fillId="7" fontId="14" numFmtId="0" xfId="0" applyAlignment="1" applyBorder="1" applyFill="1" applyFont="1">
      <alignment vertical="bottom"/>
    </xf>
    <xf borderId="5" fillId="7" fontId="14" numFmtId="0" xfId="0" applyAlignment="1" applyBorder="1" applyFont="1">
      <alignment horizontal="right" vertical="bottom"/>
    </xf>
    <xf borderId="5" fillId="7" fontId="14" numFmtId="0" xfId="0" applyAlignment="1" applyBorder="1" applyFont="1">
      <alignment vertical="bottom"/>
    </xf>
    <xf borderId="5" fillId="7" fontId="15" numFmtId="0" xfId="0" applyAlignment="1" applyBorder="1" applyFont="1">
      <alignment vertical="bottom"/>
    </xf>
    <xf borderId="5" fillId="7" fontId="17" numFmtId="0" xfId="0" applyAlignment="1" applyBorder="1" applyFont="1">
      <alignment vertical="bottom"/>
    </xf>
    <xf borderId="5" fillId="7" fontId="14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IFERROR(__xludf.DUMMYFUNCTION("""COMPUTED_VALUE"""),"FromTableVenueID")</f>
        <v>FromTableVenueID</v>
      </c>
      <c r="C5" s="28" t="str">
        <f>IFERROR(__xludf.DUMMYFUNCTION("""COMPUTED_VALUE"""),"ToTableVenueID")</f>
        <v>ToTableVenueID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103.0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AuecVenueExchange!$4:$4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IFERROR(__xludf.DUMMYFUNCTION("""COMPUTED_VALUE"""),"Broker")</f>
        <v>Broker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20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SetAuecExecutingBroker!$4:$4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17</v>
      </c>
      <c r="D6" s="1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3"/>
      <c r="B7" s="13" t="s">
        <v>25</v>
      </c>
      <c r="C7" s="13" t="s">
        <v>19</v>
      </c>
      <c r="D7" s="13">
        <v>50.0</v>
      </c>
      <c r="E7" s="31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28</v>
      </c>
      <c r="C6" s="33"/>
      <c r="D6" s="32" t="s">
        <v>29</v>
      </c>
      <c r="E6" s="33"/>
      <c r="F6" s="33"/>
      <c r="G6" s="34" t="b">
        <v>0</v>
      </c>
      <c r="H6" s="35" t="s">
        <v>25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EnableOrVerifyHotButton!$4:$4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36" t="s">
        <v>34</v>
      </c>
      <c r="D6" s="32" t="s">
        <v>35</v>
      </c>
      <c r="E6" s="33"/>
      <c r="F6" s="36" t="s">
        <v>36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CreateHotButtonOnBlotter!$4:$4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 t="str">
        <f>IFERROR(__xludf.DUMMYFUNCTION("""COMPUTED_VALUE"""),"Cent/BPS")</f>
        <v>Cent/BPS</v>
      </c>
      <c r="Q5" s="28" t="str">
        <f>IFERROR(__xludf.DUMMYFUNCTION("""COMPUTED_VALUE"""),"Ask/Bid/Last/Mid")</f>
        <v>Ask/Bid/Last/Mid</v>
      </c>
      <c r="R5" s="28" t="str">
        <f>IFERROR(__xludf.DUMMYFUNCTION("""COMPUTED_VALUE"""),"Limit Price")</f>
        <v>Limit Price</v>
      </c>
      <c r="S5" s="28" t="str">
        <f>IFERROR(__xludf.DUMMYFUNCTION("""COMPUTED_VALUE"""),"Expiration Date")</f>
        <v>Expiration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2" t="s">
        <v>38</v>
      </c>
      <c r="C6" s="38">
        <v>100.0</v>
      </c>
      <c r="D6" s="35" t="s">
        <v>25</v>
      </c>
      <c r="E6" s="35" t="s">
        <v>18</v>
      </c>
      <c r="F6" s="33"/>
      <c r="G6" s="36" t="s">
        <v>39</v>
      </c>
      <c r="H6" s="35" t="s">
        <v>40</v>
      </c>
      <c r="I6" s="36" t="s">
        <v>41</v>
      </c>
      <c r="J6" s="35" t="s">
        <v>42</v>
      </c>
      <c r="K6" s="39" t="b">
        <v>1</v>
      </c>
      <c r="L6" s="36" t="s">
        <v>36</v>
      </c>
      <c r="M6" s="33"/>
      <c r="N6" s="33"/>
      <c r="O6" s="33"/>
      <c r="P6" s="33"/>
      <c r="Q6" s="33"/>
      <c r="R6" s="40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43</v>
      </c>
      <c r="C6" s="36" t="s">
        <v>34</v>
      </c>
      <c r="D6" s="32" t="s">
        <v>35</v>
      </c>
      <c r="E6" s="33"/>
      <c r="F6" s="36" t="s">
        <v>36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CreateHotButtonOnBlotter1!$4:$4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 t="str">
        <f>IFERROR(__xludf.DUMMYFUNCTION("""COMPUTED_VALUE"""),"Cent/BPS")</f>
        <v>Cent/BPS</v>
      </c>
      <c r="Q5" s="28" t="str">
        <f>IFERROR(__xludf.DUMMYFUNCTION("""COMPUTED_VALUE"""),"Ask/Bid/Last/Mid")</f>
        <v>Ask/Bid/Last/Mid</v>
      </c>
      <c r="R5" s="28" t="str">
        <f>IFERROR(__xludf.DUMMYFUNCTION("""COMPUTED_VALUE"""),"Limit Price")</f>
        <v>Limit Price</v>
      </c>
      <c r="S5" s="28" t="str">
        <f>IFERROR(__xludf.DUMMYFUNCTION("""COMPUTED_VALUE"""),"Expiration Date")</f>
        <v>Expiration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5" t="s">
        <v>44</v>
      </c>
      <c r="C6" s="38">
        <v>100.0</v>
      </c>
      <c r="D6" s="35" t="s">
        <v>25</v>
      </c>
      <c r="E6" s="35"/>
      <c r="F6" s="33"/>
      <c r="G6" s="36" t="s">
        <v>39</v>
      </c>
      <c r="H6" s="35" t="s">
        <v>40</v>
      </c>
      <c r="I6" s="36" t="s">
        <v>41</v>
      </c>
      <c r="J6" s="35" t="s">
        <v>45</v>
      </c>
      <c r="K6" s="39" t="b">
        <v>1</v>
      </c>
      <c r="L6" s="36" t="s">
        <v>36</v>
      </c>
      <c r="M6" s="33"/>
      <c r="N6" s="33"/>
      <c r="O6" s="33"/>
      <c r="P6" s="33"/>
      <c r="Q6" s="33"/>
      <c r="R6" s="40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46</v>
      </c>
      <c r="C6" s="36" t="s">
        <v>34</v>
      </c>
      <c r="D6" s="32" t="s">
        <v>35</v>
      </c>
      <c r="E6" s="33"/>
      <c r="F6" s="36" t="s">
        <v>36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CreateHotButtonOnBlotter2!$4:$4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 t="str">
        <f>IFERROR(__xludf.DUMMYFUNCTION("""COMPUTED_VALUE"""),"Cent/BPS")</f>
        <v>Cent/BPS</v>
      </c>
      <c r="Q5" s="28" t="str">
        <f>IFERROR(__xludf.DUMMYFUNCTION("""COMPUTED_VALUE"""),"Ask/Bid/Last/Mid")</f>
        <v>Ask/Bid/Last/Mid</v>
      </c>
      <c r="R5" s="28" t="str">
        <f>IFERROR(__xludf.DUMMYFUNCTION("""COMPUTED_VALUE"""),"Limit Price")</f>
        <v>Limit Price</v>
      </c>
      <c r="S5" s="28" t="str">
        <f>IFERROR(__xludf.DUMMYFUNCTION("""COMPUTED_VALUE"""),"Expiration Date")</f>
        <v>Expiration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5" t="s">
        <v>47</v>
      </c>
      <c r="C6" s="38">
        <v>100.0</v>
      </c>
      <c r="D6" s="35" t="s">
        <v>25</v>
      </c>
      <c r="E6" s="35"/>
      <c r="F6" s="33"/>
      <c r="G6" s="36" t="s">
        <v>39</v>
      </c>
      <c r="H6" s="35" t="s">
        <v>40</v>
      </c>
      <c r="I6" s="36" t="s">
        <v>41</v>
      </c>
      <c r="J6" s="35" t="s">
        <v>48</v>
      </c>
      <c r="K6" s="39" t="b">
        <v>1</v>
      </c>
      <c r="L6" s="36" t="s">
        <v>36</v>
      </c>
      <c r="M6" s="33"/>
      <c r="N6" s="33"/>
      <c r="O6" s="33"/>
      <c r="P6" s="33"/>
      <c r="Q6" s="33"/>
      <c r="R6" s="40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33</v>
      </c>
      <c r="E6" s="31"/>
      <c r="F6" s="13" t="s">
        <v>49</v>
      </c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8"/>
      <c r="D6" s="13">
        <v>2.0</v>
      </c>
      <c r="E6" s="13" t="s">
        <v>42</v>
      </c>
      <c r="F6" s="8"/>
      <c r="G6" s="8"/>
      <c r="H6" s="8"/>
      <c r="I6" s="8"/>
      <c r="J6" s="13" t="s">
        <v>41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43</v>
      </c>
      <c r="E6" s="31"/>
      <c r="F6" s="13" t="s">
        <v>49</v>
      </c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2.0</v>
      </c>
      <c r="E6" s="13" t="s">
        <v>55</v>
      </c>
      <c r="F6" s="8"/>
      <c r="G6" s="8"/>
      <c r="H6" s="8"/>
      <c r="I6" s="8"/>
      <c r="J6" s="13" t="s">
        <v>41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46</v>
      </c>
      <c r="E6" s="31"/>
      <c r="F6" s="13" t="s">
        <v>49</v>
      </c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47</v>
      </c>
      <c r="C6" s="8"/>
      <c r="D6" s="13">
        <v>2.0</v>
      </c>
      <c r="E6" s="13" t="s">
        <v>56</v>
      </c>
      <c r="F6" s="8"/>
      <c r="G6" s="8"/>
      <c r="H6" s="8"/>
      <c r="I6" s="8"/>
      <c r="J6" s="13" t="s">
        <v>41</v>
      </c>
      <c r="K6" s="8"/>
      <c r="L6" s="8"/>
      <c r="M6" s="8"/>
      <c r="N6" s="8"/>
      <c r="O6" s="8"/>
      <c r="AA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3"/>
      <c r="B6" s="41"/>
      <c r="C6" s="42" t="s">
        <v>58</v>
      </c>
      <c r="D6" s="43"/>
      <c r="E6" s="42" t="s">
        <v>59</v>
      </c>
      <c r="F6" s="33"/>
      <c r="G6" s="33"/>
      <c r="H6" s="42" t="s">
        <v>60</v>
      </c>
      <c r="I6" s="42" t="s">
        <v>61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41"/>
      <c r="X6" s="33"/>
      <c r="Y6" s="33"/>
      <c r="Z6" s="33"/>
      <c r="AA6" s="33" t="s">
        <v>62</v>
      </c>
      <c r="AB6" s="33"/>
      <c r="AC6" s="33"/>
      <c r="AD6" s="40">
        <v>1.0</v>
      </c>
      <c r="AE6" s="33"/>
      <c r="AF6" s="33" t="s">
        <v>63</v>
      </c>
      <c r="AG6" s="33"/>
      <c r="AH6" s="42" t="s">
        <v>64</v>
      </c>
      <c r="AI6" s="44" t="s">
        <v>44</v>
      </c>
      <c r="AJ6" s="45" t="s">
        <v>41</v>
      </c>
      <c r="AK6" s="46" t="s">
        <v>65</v>
      </c>
      <c r="AL6" s="47">
        <v>100.0</v>
      </c>
      <c r="AM6" s="43"/>
      <c r="AN6" s="33"/>
      <c r="AO6" s="33"/>
      <c r="AP6" s="33"/>
      <c r="AQ6" s="43"/>
      <c r="AR6" s="43"/>
      <c r="AS6" s="48" t="s">
        <v>66</v>
      </c>
      <c r="AT6" s="48" t="s">
        <v>66</v>
      </c>
      <c r="AU6" s="49" t="s">
        <v>40</v>
      </c>
      <c r="AV6" s="33"/>
      <c r="AW6" s="33"/>
      <c r="AX6" s="42"/>
      <c r="AY6" s="33"/>
      <c r="AZ6" s="33"/>
      <c r="BA6" s="42" t="s">
        <v>61</v>
      </c>
      <c r="BB6" s="33"/>
      <c r="BC6" s="33"/>
      <c r="BD6" s="33"/>
      <c r="BE6" s="33"/>
      <c r="BF6" s="33"/>
      <c r="BG6" s="42" t="s">
        <v>21</v>
      </c>
      <c r="BH6" s="42" t="s">
        <v>39</v>
      </c>
      <c r="BI6" s="33"/>
      <c r="BJ6" s="33"/>
      <c r="BK6" s="33"/>
      <c r="BL6" s="33"/>
      <c r="BM6" s="33"/>
      <c r="BN6" s="41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3"/>
      <c r="B7" s="41"/>
      <c r="C7" s="50" t="s">
        <v>58</v>
      </c>
      <c r="D7" s="51">
        <v>2.0</v>
      </c>
      <c r="E7" s="50" t="s">
        <v>67</v>
      </c>
      <c r="F7" s="33"/>
      <c r="G7" s="33"/>
      <c r="H7" s="50" t="s">
        <v>60</v>
      </c>
      <c r="I7" s="50" t="s">
        <v>61</v>
      </c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41"/>
      <c r="X7" s="33"/>
      <c r="Y7" s="33"/>
      <c r="Z7" s="33"/>
      <c r="AA7" s="49" t="s">
        <v>62</v>
      </c>
      <c r="AB7" s="33"/>
      <c r="AC7" s="33"/>
      <c r="AD7" s="40">
        <v>1.0</v>
      </c>
      <c r="AE7" s="33"/>
      <c r="AF7" s="33" t="s">
        <v>63</v>
      </c>
      <c r="AG7" s="33"/>
      <c r="AH7" s="50" t="s">
        <v>64</v>
      </c>
      <c r="AI7" s="52" t="s">
        <v>47</v>
      </c>
      <c r="AJ7" s="53" t="s">
        <v>41</v>
      </c>
      <c r="AK7" s="54" t="s">
        <v>68</v>
      </c>
      <c r="AL7" s="55">
        <v>100.0</v>
      </c>
      <c r="AM7" s="55">
        <v>100.0</v>
      </c>
      <c r="AN7" s="33"/>
      <c r="AO7" s="33"/>
      <c r="AP7" s="33"/>
      <c r="AQ7" s="51">
        <v>2.0</v>
      </c>
      <c r="AR7" s="51">
        <v>2.0</v>
      </c>
      <c r="AS7" s="48" t="s">
        <v>66</v>
      </c>
      <c r="AT7" s="48" t="s">
        <v>66</v>
      </c>
      <c r="AU7" s="49" t="s">
        <v>40</v>
      </c>
      <c r="AV7" s="56">
        <v>200.0</v>
      </c>
      <c r="AW7" s="56">
        <v>200.0</v>
      </c>
      <c r="AX7" s="50"/>
      <c r="AY7" s="33"/>
      <c r="AZ7" s="33"/>
      <c r="BA7" s="50" t="s">
        <v>61</v>
      </c>
      <c r="BB7" s="33"/>
      <c r="BC7" s="33"/>
      <c r="BD7" s="33"/>
      <c r="BE7" s="33"/>
      <c r="BF7" s="33"/>
      <c r="BG7" s="50" t="s">
        <v>21</v>
      </c>
      <c r="BH7" s="50" t="s">
        <v>39</v>
      </c>
      <c r="BI7" s="33"/>
      <c r="BJ7" s="33"/>
      <c r="BK7" s="33"/>
      <c r="BL7" s="33"/>
      <c r="BM7" s="33"/>
      <c r="BN7" s="41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