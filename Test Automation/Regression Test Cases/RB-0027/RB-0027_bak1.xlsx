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<sst xmlns="http://schemas.openxmlformats.org/spreadsheetml/2006/main" count="100" uniqueCount="38">
  <si>
    <t>Master Data Info</t>
  </si>
  <si>
    <t>Settings</t>
  </si>
  <si>
    <t>Modules Info</t>
  </si>
  <si>
    <t>Module Step Setting File</t>
  </si>
  <si>
    <t>1BICZ_GcMhh_S937ZinFvSYqvvKYtOYB2Bc4woEPpgPg</t>
  </si>
  <si>
    <t>Master Data Settings File</t>
  </si>
  <si>
    <t>1hEhI9rg16D4Xvfk19pDaFUFF78jjfIG29BBaNg8kT0A</t>
  </si>
  <si>
    <t>Module</t>
  </si>
  <si>
    <t>Modules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</si>
  <si>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</si>
  <si>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</si>
  <si>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</si>
  <si>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</si>
  <si>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</si>
  <si>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</si>
  <si>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</si>
  <si>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</si>
  <si>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</si>
  <si>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</si>
  <si>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</si>
  <si>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</si>
  <si>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</si>
  <si>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</si>
  <si>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</si>
  <si>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</si>
  <si>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</si>
  <si>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</si>
  <si>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</si>
  <si>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</si>
  <si>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</si>
  <si>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</si>
  <si>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</si>
  <si>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Check</t>
  </si>
  <si>
    <t>RunRebalance</t>
  </si>
  <si>
    <t>Round Up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</si>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</sst>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6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7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5" fillId="0" fontId="4" numFmtId="0" xfId="0" applyAlignment="1" applyBorder="1" applyFont="1">
      <alignment horizontal="right" vertical="bottom"/>
    </xf>
    <xf borderId="5" fillId="0" fontId="7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0" fillId="0" fontId="4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0" t="s">
        <v>2</v>
      </c>
      <c r="B1" s="3"/>
      <c r="C1" s="3"/>
      <c r="D1" s="3"/>
      <c r="E1" s="3"/>
      <c r="F1" s="4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6" t="s">
        <v>8</v>
      </c>
      <c r="B3" s="12"/>
      <c r="C3" s="15"/>
      <c r="D3" s="15"/>
      <c r="E3" s="15"/>
      <c r="F3" s="15"/>
    </row>
    <row r="4" ht="15.75" customHeight="1">
      <c r="A4" s="5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IFERROR(__xludf.DUMMYFUNCTION("""COMPUTED_VALUE"""),"1g8wLprruaWRC_5pQcovqkv8ZCiMt5fspCOACibdkz7g")</f>
        <v>1g8wLprruaWRC_5pQcovqkv8ZCiMt5fspCOACibdkz7g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IFERROR(__xludf.DUMMYFUNCTION("""COMPUTED_VALUE"""),"1aecq-HMDoDkIInONjPC11z5TBFHyJhv4ro66e2ZOphg")</f>
        <v>1aecq-HMDoDkIInONjPC11z5TBFHyJhv4ro66e2ZOphg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IFERROR(__xludf.DUMMYFUNCTION("""COMPUTED_VALUE"""),"1eDZq-_vllq4jwvwpk9qGnwQUhlb-sFvyFKPBriT2dA0")</f>
        <v>1eDZq-_vllq4jwvwpk9qGnwQUhlb-sFvyFKPBriT2dA0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IFERROR(__xludf.DUMMYFUNCTION("""COMPUTED_VALUE"""),"1FBTO3wCB7odq-jpQMbYHgSrAL5-rFO2_kp9Kr2iXqXE")</f>
        <v>1FBTO3wCB7odq-jpQMbYHgSrAL5-rFO2_kp9Kr2iXqXE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IFERROR(__xludf.DUMMYFUNCTION("""COMPUTED_VALUE"""),"1G0ZkXDrIDX_loGmAyLs_Shy8hExtTELtFXERbX-HdPo")</f>
        <v>1G0ZkXDrIDX_loGmAyLs_Shy8hExtTELtFXERbX-HdPo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IFERROR(__xludf.DUMMYFUNCTION("""COMPUTED_VALUE"""),"1YgVZ1jEVgjUF1Dp8FAj_W_zLEZCyqvNMlWJIg0Tmkq4")</f>
        <v>1YgVZ1jEVgjUF1Dp8FAj_W_zLEZCyqvNMlWJIg0Tmkq4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IFERROR(__xludf.DUMMYFUNCTION("""COMPUTED_VALUE"""),"1MyB61T39MDAUyQqCUJLATzUT2f5UlE8nFq4ltWy_DJ4")</f>
        <v>1MyB61T39MDAUyQqCUJLATzUT2f5UlE8nFq4ltWy_DJ4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IFERROR(__xludf.DUMMYFUNCTION("""COMPUTED_VALUE"""),"16qheLbvgC92hKxalWDlpWfHBMyDDVqHERUCc7bQiO2A")</f>
        <v>16qheLbvgC92hKxalWDlpWfHBMyDDVqHERUCc7bQiO2A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IFERROR(__xludf.DUMMYFUNCTION("""COMPUTED_VALUE"""),"1zLd3ju-mV8f6PZiQUYLU-cAgAUwLwyoIAKuu0WgG2zI")</f>
        <v>1zLd3ju-mV8f6PZiQUYLU-cAgAUwLwyoIAKuu0WgG2zI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IFERROR(__xludf.DUMMYFUNCTION("""COMPUTED_VALUE"""),"1sjDsI5FIL_l_G6osMJQ7e8auBgYd3R3JDaKWKV_8Og0")</f>
        <v>1sjDsI5FIL_l_G6osMJQ7e8auBgYd3R3JDaKWKV_8Og0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IFERROR(__xludf.DUMMYFUNCTION("""COMPUTED_VALUE"""),"1xn1P_Z-3N4d2BC1SUPly2HiVZazly5ZQcS18BfaTyho")</f>
        <v>1xn1P_Z-3N4d2BC1SUPly2HiVZazly5ZQcS18BfaTyho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IFERROR(__xludf.DUMMYFUNCTION("""COMPUTED_VALUE"""),"1vlvYPsiFAWjsnFrbkGn_fAvkwF00V3e7htalalU6QN4")</f>
        <v>1vlvYPsiFAWjsnFrbkGn_fAvkwF00V3e7htalalU6QN4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IFERROR(__xludf.DUMMYFUNCTION("""COMPUTED_VALUE"""),"1o2rCg2FuoAOT5Pl8i4iFP_TwpPm0UB1dd49GbpkytfM")</f>
        <v>1o2rCg2FuoAOT5Pl8i4iFP_TwpPm0UB1dd49GbpkytfM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IFERROR(__xludf.DUMMYFUNCTION("""COMPUTED_VALUE"""),"1_v2niCJ9VGNvgEBpvz030BFqEISSUhYRHyWcAJAn_Eg")</f>
        <v>1_v2niCJ9VGNvgEBpvz030BFqEISSUhYRHyWcAJAn_Eg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IFERROR(__xludf.DUMMYFUNCTION("""COMPUTED_VALUE"""),"1hsRs1-LY0akTrMe91ArnbLtk6GUy_bKxVwMYCaiMs-8")</f>
        <v>1hsRs1-LY0akTrMe91ArnbLtk6GUy_bKxVwMYCaiMs-8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IFERROR(__xludf.DUMMYFUNCTION("""COMPUTED_VALUE"""),"14rwUHTx4auE_hf60WN-tNOx3atNg7QGvErWNwVQIRqE")</f>
        <v>14rwUHTx4auE_hf60WN-tNOx3atNg7QGvErWNwVQIRqE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IFERROR(__xludf.DUMMYFUNCTION("""COMPUTED_VALUE"""),"1amshi8Ns36lsDpccBK0y_9bL_pQ2rHdGNYypcgzceUg")</f>
        <v>1amshi8Ns36lsDpccBK0y_9bL_pQ2rHdGNYypcgzceUg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IFERROR(__xludf.DUMMYFUNCTION("""COMPUTED_VALUE"""),"1YKttwHsdIskNDoo0Sl7HF2DWikROW-KA05qfT3GLIyI")</f>
        <v>1YKttwHsdIskNDoo0Sl7HF2DWikROW-KA05qfT3GLIyI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IFERROR(__xludf.DUMMYFUNCTION("""COMPUTED_VALUE"""),"1YJ2rTp-OqQTGjubvs_cBC6fl0l94pyHI2eaLJzbddS4")</f>
        <v>1YJ2rTp-OqQTGjubvs_cBC6fl0l94pyHI2eaLJzbddS4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IFERROR(__xludf.DUMMYFUNCTION("""COMPUTED_VALUE"""),"1mLyEfNTVFd65cnE6GfgCRD6TdpKg1BgqNIDjHCFzyO4")</f>
        <v>1mLyEfNTVFd65cnE6GfgCRD6TdpKg1BgqNIDjHCFzyO4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IFERROR(__xludf.DUMMYFUNCTION("""COMPUTED_VALUE"""),"1M8d9TyOhMnA65NSIYvS6dR68SH5RL6oKahd6uz7yp6c")</f>
        <v>1M8d9TyOhMnA65NSIYvS6dR68SH5RL6oKahd6uz7yp6c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IFERROR(__xludf.DUMMYFUNCTION("""COMPUTED_VALUE"""),"1Q5uOVYo1NMRks6hQRJuV8XWMPb6VFEAbSzpgP1dot1I")</f>
        <v>1Q5uOVYo1NMRks6hQRJuV8XWMPb6VFEAbSzpgP1dot1I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IFERROR(__xludf.DUMMYFUNCTION("""COMPUTED_VALUE"""),"1iqfUyYqyebXIeNBGljH7-T8whBcywTlkBBU3dBZV06s")</f>
        <v>1iqfUyYqyebXIeNBGljH7-T8whBcywTlkBBU3dBZV06s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IFERROR(__xludf.DUMMYFUNCTION("""COMPUTED_VALUE"""),"1u0XMlZJy_Slp7uXMwirinW7StOOdTcWD-D8V07sO0VA")</f>
        <v>1u0XMlZJy_Slp7uXMwirinW7StOOdTcWD-D8V07sO0VA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IFERROR(__xludf.DUMMYFUNCTION("""COMPUTED_VALUE"""),"1mh3Z5PifhJ3yzX8TPeoc3H3nteNiA0V2tWFse0rVChE")</f>
        <v>1mh3Z5PifhJ3yzX8TPeoc3H3nteNiA0V2tWFse0rVChE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IFERROR(__xludf.DUMMYFUNCTION("""COMPUTED_VALUE"""),"1vmZ6v1OyZ8SSi8bqqjK3ap3KtM_yPA_SEcIQgYiRInY")</f>
        <v>1vmZ6v1OyZ8SSi8bqqjK3ap3KtM_yPA_SEcIQgYiRInY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IFERROR(__xludf.DUMMYFUNCTION("""COMPUTED_VALUE"""),"1OiI1Pi_JAFOFi8ByMaD3_qqEXSv6yQMo_u6aGTozbl8")</f>
        <v>1OiI1Pi_JAFOFi8ByMaD3_qqEXSv6yQMo_u6aGTozbl8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IFERROR(__xludf.DUMMYFUNCTION("""COMPUTED_VALUE"""),"1ubfvE9sHq5KpJ9NazeH96CrVMJqAuol5Ya9GPjxWrgI")</f>
        <v>1ubfvE9sHq5KpJ9NazeH96CrVMJqAuol5Ya9GPjxWrgI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IFERROR(__xludf.DUMMYFUNCTION("""COMPUTED_VALUE"""),"Rebalancer")</f>
        <v>Rebalancer</v>
      </c>
      <c r="B409" t="str">
        <f>IFERROR(__xludf.DUMMYFUNCTION("""COMPUTED_VALUE"""),"ClearCalculations")</f>
        <v>ClearCalculations</v>
      </c>
      <c r="C409" t="str">
        <f>IFERROR(__xludf.DUMMYFUNCTION("""COMPUTED_VALUE"""),"1pQy7yDMWL8pTAYmkyQd-37O6NjL8-HJsxUSDe_0vr3Y")</f>
        <v>1pQy7yDMWL8pTAYmkyQd-37O6NjL8-HJsxUSDe_0vr3Y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IFERROR(__xludf.DUMMYFUNCTION("""COMPUTED_VALUE"""),"Rebalancer")</f>
        <v>Rebalancer</v>
      </c>
      <c r="B410" t="str">
        <f>IFERROR(__xludf.DUMMYFUNCTION("""COMPUTED_VALUE"""),"ModifyRebalance")</f>
        <v>ModifyRebalance</v>
      </c>
      <c r="C410" t="str">
        <f>IFERROR(__xludf.DUMMYFUNCTION("""COMPUTED_VALUE"""),"1PL-GKbx6oOTs--yRdzkUeclt9Wvb6f5jt4XN1oEGIZk")</f>
        <v>1PL-GKbx6oOTs--yRdzkUeclt9Wvb6f5jt4XN1oEGIZk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6" t="s">
        <v>3</v>
      </c>
      <c r="B3" s="7" t="s">
        <v>4</v>
      </c>
      <c r="C3" s="5"/>
    </row>
    <row r="4" ht="15.75" customHeight="1">
      <c r="A4" s="8" t="s">
        <v>5</v>
      </c>
      <c r="B4" s="7" t="s">
        <v>6</v>
      </c>
      <c r="C4" s="5"/>
    </row>
    <row r="5" ht="15.75" customHeight="1">
      <c r="A5" s="9"/>
      <c r="B5" s="5"/>
      <c r="C5" s="5"/>
    </row>
    <row r="6" ht="15.75" customHeight="1">
      <c r="A6" s="9"/>
      <c r="B6" s="5"/>
      <c r="C6" s="5"/>
    </row>
    <row r="7" ht="15.75" customHeight="1">
      <c r="A7" s="9"/>
      <c r="B7" s="5"/>
      <c r="C7" s="5"/>
    </row>
    <row r="8" ht="15.75" customHeight="1">
      <c r="A8" s="9"/>
      <c r="B8" s="5"/>
      <c r="C8" s="5"/>
    </row>
    <row r="9" ht="15.75" customHeight="1">
      <c r="A9" s="9"/>
      <c r="B9" s="5"/>
      <c r="C9" s="5"/>
    </row>
    <row r="10" ht="15.75" customHeight="1">
      <c r="A10" s="9"/>
      <c r="B10" s="5"/>
      <c r="C10" s="5"/>
    </row>
    <row r="11" ht="15.75" customHeight="1">
      <c r="A11" s="9"/>
      <c r="B11" s="5"/>
      <c r="C11" s="5"/>
    </row>
    <row r="12" ht="15.75" customHeight="1">
      <c r="A12" s="9"/>
      <c r="B12" s="5"/>
      <c r="C12" s="5"/>
    </row>
    <row r="13" ht="15.75" customHeight="1">
      <c r="A13" s="9"/>
      <c r="B13" s="5"/>
      <c r="C13" s="5"/>
    </row>
    <row r="14" ht="15.75" customHeight="1">
      <c r="A14" s="9"/>
      <c r="B14" s="5"/>
      <c r="C14" s="5"/>
    </row>
    <row r="15" ht="15.75" customHeight="1">
      <c r="A15" s="9"/>
      <c r="B15" s="5"/>
      <c r="C15" s="5"/>
    </row>
    <row r="16" ht="15.75" customHeight="1">
      <c r="A16" s="9"/>
      <c r="B16" s="5"/>
      <c r="C16" s="5"/>
    </row>
    <row r="17" ht="15.75" customHeight="1">
      <c r="A17" s="9"/>
      <c r="B17" s="5"/>
      <c r="C17" s="5"/>
    </row>
    <row r="18" ht="15.75" customHeight="1">
      <c r="A18" s="9"/>
      <c r="B18" s="5"/>
      <c r="C18" s="5"/>
    </row>
    <row r="19" ht="15.75" customHeight="1">
      <c r="A19" s="9"/>
      <c r="B19" s="5"/>
      <c r="C19" s="5"/>
    </row>
    <row r="20" ht="15.75" customHeight="1">
      <c r="A20" s="9"/>
      <c r="B20" s="5"/>
      <c r="C20" s="5"/>
    </row>
    <row r="21" ht="15.75" customHeight="1">
      <c r="A21" s="9"/>
      <c r="B21" s="5"/>
      <c r="C21" s="5"/>
    </row>
    <row r="22" ht="15.75" customHeight="1">
      <c r="A22" s="9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4"/>
    </row>
    <row r="2">
      <c r="A2" s="11"/>
      <c r="B2" s="11"/>
      <c r="C2" s="11"/>
      <c r="D2" s="11"/>
      <c r="E2" s="11"/>
      <c r="F2" s="11"/>
    </row>
    <row r="3">
      <c r="A3" s="8" t="s">
        <v>7</v>
      </c>
      <c r="B3" s="13" t="s">
        <v>9</v>
      </c>
      <c r="C3" s="13" t="s">
        <v>10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9</v>
      </c>
      <c r="E3" s="21" t="s">
        <v>13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"/>
      <c r="B6" s="29">
        <f t="shared" ref="B6:C6" si="1">today()-1</f>
        <v>43653</v>
      </c>
      <c r="C6" s="29">
        <f t="shared" si="1"/>
        <v>43653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9</v>
      </c>
      <c r="E3" s="21" t="s">
        <v>16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17</v>
      </c>
      <c r="C6" s="32" t="s">
        <v>18</v>
      </c>
      <c r="D6" s="33">
        <v>12000.0</v>
      </c>
      <c r="E6" s="34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35"/>
      <c r="B7" s="36" t="s">
        <v>19</v>
      </c>
      <c r="C7" s="36" t="s">
        <v>18</v>
      </c>
      <c r="D7" s="37">
        <v>15000.0</v>
      </c>
      <c r="E7" s="3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1b5S4Xpp4fgZ1ez6cK92QFnVBylqz8jhwxdAyEvwDqUI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20</v>
      </c>
      <c r="D3" s="6" t="s">
        <v>9</v>
      </c>
      <c r="E3" s="21" t="s">
        <v>21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22</v>
      </c>
      <c r="C6" s="32" t="s">
        <v>23</v>
      </c>
      <c r="D6" s="33">
        <v>100.0</v>
      </c>
      <c r="E6" s="39">
        <v>100.0</v>
      </c>
      <c r="F6" s="32" t="s">
        <v>17</v>
      </c>
      <c r="G6" s="34"/>
      <c r="H6" s="34"/>
      <c r="I6" s="34"/>
      <c r="J6" s="39">
        <v>50.0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24</v>
      </c>
      <c r="C7" s="36" t="s">
        <v>23</v>
      </c>
      <c r="D7" s="37">
        <v>100.0</v>
      </c>
      <c r="E7" s="37">
        <v>100.0</v>
      </c>
      <c r="F7" s="36" t="s">
        <v>17</v>
      </c>
      <c r="G7" s="35"/>
      <c r="H7" s="35"/>
      <c r="I7" s="35"/>
      <c r="J7" s="37">
        <v>60.0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25</v>
      </c>
      <c r="C8" s="36" t="s">
        <v>23</v>
      </c>
      <c r="D8" s="37">
        <v>50.0</v>
      </c>
      <c r="E8" s="37">
        <v>50.0</v>
      </c>
      <c r="F8" s="36" t="s">
        <v>17</v>
      </c>
      <c r="G8" s="35"/>
      <c r="H8" s="35"/>
      <c r="I8" s="35"/>
      <c r="J8" s="37">
        <v>30.0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26</v>
      </c>
      <c r="D3" s="6" t="s">
        <v>9</v>
      </c>
      <c r="E3" s="21" t="s">
        <v>26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22</v>
      </c>
      <c r="C6" s="39">
        <v>50.0</v>
      </c>
      <c r="D6" s="4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24</v>
      </c>
      <c r="C7" s="37">
        <v>60.0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25</v>
      </c>
      <c r="C8" s="37">
        <v>30.0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27</v>
      </c>
      <c r="D3" s="6" t="s">
        <v>9</v>
      </c>
      <c r="E3" s="21" t="s">
        <v>28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41" t="s">
        <v>17</v>
      </c>
      <c r="C6" s="42" t="s">
        <v>29</v>
      </c>
      <c r="D6" s="4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27</v>
      </c>
      <c r="D3" s="6" t="s">
        <v>9</v>
      </c>
      <c r="E3" s="21" t="s">
        <v>30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IFERROR(__xludf.DUMMYFUNCTION("""COMPUTED_VALUE"""),"Set/Inc/Dec")</f>
        <v>Set/Inc/Dec</v>
      </c>
      <c r="D5" s="26" t="str">
        <f>IFERROR(__xludf.DUMMYFUNCTION("""COMPUTED_VALUE"""),"Target%")</f>
        <v>Target%</v>
      </c>
      <c r="E5" s="26" t="str">
        <f>IFERROR(__xludf.DUMMYFUNCTION("""COMPUTED_VALUE"""),"Account/Group")</f>
        <v>Account/Group</v>
      </c>
      <c r="F5" s="27" t="str">
        <f>IFERROR(__xludf.DUMMYFUNCTION("""COMPUTED_VALUE"""),"ReinvestCash")</f>
        <v>ReinvestCash</v>
      </c>
      <c r="G5" s="26" t="str">
        <f>IFERROR(__xludf.DUMMYFUNCTION("""COMPUTED_VALUE"""),"SellToRaiseCash")</f>
        <v>SellToRaiseCash</v>
      </c>
      <c r="H5" s="26" t="str">
        <f>IFERROR(__xludf.DUMMYFUNCTION("""COMPUTED_VALUE"""),"AllowNegCash")</f>
        <v>AllowNegCash</v>
      </c>
      <c r="I5" s="26" t="str">
        <f>IFERROR(__xludf.DUMMYFUNCTION("""COMPUTED_VALUE"""),"NoShortning")</f>
        <v>NoShortning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25</v>
      </c>
      <c r="C6" s="43" t="s">
        <v>31</v>
      </c>
      <c r="D6" s="44">
        <v>3.0</v>
      </c>
      <c r="E6" s="45" t="s">
        <v>17</v>
      </c>
      <c r="F6" s="46" t="s">
        <v>32</v>
      </c>
      <c r="G6" s="34"/>
      <c r="H6" s="32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27</v>
      </c>
      <c r="D3" s="6" t="s">
        <v>9</v>
      </c>
      <c r="E3" s="21" t="s">
        <v>33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34</v>
      </c>
      <c r="C6" s="5"/>
      <c r="D6" s="7"/>
      <c r="E6" s="47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27</v>
      </c>
      <c r="D3" s="6" t="s">
        <v>9</v>
      </c>
      <c r="E3" s="21" t="s">
        <v>35</v>
      </c>
      <c r="F3" s="6" t="s">
        <v>14</v>
      </c>
      <c r="G3" s="9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34"/>
      <c r="C6" s="48" t="s">
        <v>17</v>
      </c>
      <c r="D6" s="48" t="s">
        <v>22</v>
      </c>
      <c r="E6" s="34"/>
      <c r="F6" s="34"/>
      <c r="G6" s="34"/>
      <c r="H6" s="49">
        <v>50.0</v>
      </c>
      <c r="I6" s="34"/>
      <c r="J6" s="34"/>
      <c r="K6" s="50">
        <v>100.0</v>
      </c>
      <c r="L6" s="34"/>
      <c r="M6" s="34"/>
      <c r="N6" s="34"/>
      <c r="O6" s="49">
        <v>104.0</v>
      </c>
      <c r="P6" s="34"/>
      <c r="Q6" s="34"/>
      <c r="R6" s="49">
        <v>4.0</v>
      </c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51" t="s">
        <v>17</v>
      </c>
      <c r="D7" s="51" t="s">
        <v>25</v>
      </c>
      <c r="E7" s="35"/>
      <c r="F7" s="35"/>
      <c r="G7" s="35"/>
      <c r="H7" s="52">
        <v>30.0</v>
      </c>
      <c r="I7" s="35"/>
      <c r="J7" s="35"/>
      <c r="K7" s="53">
        <v>50.0</v>
      </c>
      <c r="L7" s="35"/>
      <c r="M7" s="35"/>
      <c r="N7" s="35"/>
      <c r="O7" s="52">
        <v>38.0</v>
      </c>
      <c r="P7" s="35"/>
      <c r="Q7" s="35"/>
      <c r="R7" s="52">
        <v>-12.0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51" t="s">
        <v>17</v>
      </c>
      <c r="D8" s="51" t="s">
        <v>24</v>
      </c>
      <c r="E8" s="35"/>
      <c r="F8" s="35"/>
      <c r="G8" s="35"/>
      <c r="H8" s="52">
        <v>60.0</v>
      </c>
      <c r="I8" s="35"/>
      <c r="J8" s="35"/>
      <c r="K8" s="53">
        <v>100.0</v>
      </c>
      <c r="L8" s="35"/>
      <c r="M8" s="35"/>
      <c r="N8" s="35"/>
      <c r="O8" s="52">
        <v>104.0</v>
      </c>
      <c r="P8" s="35"/>
      <c r="Q8" s="35"/>
      <c r="R8" s="52">
        <v>4.0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1" t="s">
        <v>17</v>
      </c>
      <c r="D9" s="51" t="s">
        <v>36</v>
      </c>
      <c r="E9" s="35"/>
      <c r="F9" s="35"/>
      <c r="G9" s="35"/>
      <c r="H9" s="53">
        <v>1.0</v>
      </c>
      <c r="I9" s="35"/>
      <c r="J9" s="35"/>
      <c r="K9" s="53">
        <v>0.0</v>
      </c>
      <c r="L9" s="35"/>
      <c r="M9" s="35"/>
      <c r="N9" s="35"/>
      <c r="O9" s="53">
        <v>0.0</v>
      </c>
      <c r="P9" s="35"/>
      <c r="Q9" s="35"/>
      <c r="R9" s="53">
        <v>0.0</v>
      </c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51" t="s">
        <v>17</v>
      </c>
      <c r="D10" s="51" t="s">
        <v>37</v>
      </c>
      <c r="E10" s="35"/>
      <c r="F10" s="35"/>
      <c r="G10" s="35"/>
      <c r="H10" s="53">
        <v>1.0</v>
      </c>
      <c r="I10" s="35"/>
      <c r="J10" s="35"/>
      <c r="K10" s="53">
        <v>500.0</v>
      </c>
      <c r="L10" s="35"/>
      <c r="M10" s="35"/>
      <c r="N10" s="35"/>
      <c r="O10" s="52">
        <v>580.0</v>
      </c>
      <c r="P10" s="35"/>
      <c r="Q10" s="35"/>
      <c r="R10" s="52">
        <v>80.0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