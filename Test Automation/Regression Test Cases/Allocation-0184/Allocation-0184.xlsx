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taAllocation" sheetId="5" r:id="rId7"/>
    <sheet state="visible" name="CheckAllocatedGroups" sheetId="6" r:id="rId8"/>
    <sheet state="visible" name="GetDataClosing" sheetId="7" r:id="rId9"/>
    <sheet state="visible" name="SelectTradeUnexpiredUnsettled" sheetId="8" r:id="rId10"/>
    <sheet state="visible" name="ExerciseAssignment" sheetId="9" r:id="rId11"/>
    <sheet state="visible" name="VerifyExpiredSettledGrid" sheetId="10" r:id="rId12"/>
    <sheet state="visible" name="CheckAllocatedGroups1" sheetId="11" r:id="rId13"/>
    <sheet state="visible" name="UnWindTradeSettlement" sheetId="12" r:id="rId14"/>
  </sheets>
  <definedNames/>
  <calcPr/>
</workbook>
</file>

<file path=xl/sharedStrings.xml><?xml version="1.0" encoding="utf-8"?>
<sst xmlns="http://schemas.openxmlformats.org/spreadsheetml/2006/main" count="203" uniqueCount="48">
  <si>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</si>
  <si>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</si>
  <si>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</si>
  <si>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</si>
  <si>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</si>
  <si>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</si>
  <si>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</si>
  <si>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</si>
  <si>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</si>
  <si>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</si>
  <si>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</si>
  <si>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</si>
  <si>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</si>
  <si>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</si>
  <si>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</si>
  <si>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</si>
  <si>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O:ABM 25D20.00</t>
  </si>
  <si>
    <t>Buy</t>
  </si>
  <si>
    <t>Allocation1</t>
  </si>
  <si>
    <t>O:INT 25K68.00-EEO</t>
  </si>
  <si>
    <t>Allocation</t>
  </si>
  <si>
    <t>GetDataAllocation</t>
  </si>
  <si>
    <t>Current</t>
  </si>
  <si>
    <t>CheckAllocatedGroups</t>
  </si>
  <si>
    <t>Open</t>
  </si>
  <si>
    <t>M</t>
  </si>
  <si>
    <t>Market</t>
  </si>
  <si>
    <t>ABM   250418C00020000</t>
  </si>
  <si>
    <t>C</t>
  </si>
  <si>
    <t>Closing</t>
  </si>
  <si>
    <t>GetDataClosing</t>
  </si>
  <si>
    <t>SelectTradeUnexpiredUnsettled</t>
  </si>
  <si>
    <t>EquityOption</t>
  </si>
  <si>
    <t>ExerciseAssignment</t>
  </si>
  <si>
    <t>VerifyExpiredSettledGrid</t>
  </si>
  <si>
    <t>NONE</t>
  </si>
  <si>
    <t>Exercise</t>
  </si>
  <si>
    <t>Short</t>
  </si>
  <si>
    <t>USD</t>
  </si>
  <si>
    <t>OPTS</t>
  </si>
  <si>
    <t>Long</t>
  </si>
  <si>
    <t>US</t>
  </si>
  <si>
    <t>Closed</t>
  </si>
  <si>
    <t>Sell</t>
  </si>
  <si>
    <t>EUR</t>
  </si>
  <si>
    <t>INT-FRA</t>
  </si>
  <si>
    <t>ABM</t>
  </si>
  <si>
    <t>UnWindTradeSettlement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</si>
</sst>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Docs-Calibri"/>
    </font>
    <font>
      <color rgb="FF000000"/>
      <name val="Arial"/>
    </font>
    <font>
      <sz val="11.0"/>
      <color rgb="FF000000"/>
      <name val="Docs-Calibri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2" xfId="0" applyAlignment="1" applyFont="1" applyNumberFormat="1">
      <alignment readingOrder="0" shrinkToFit="0" wrapText="0"/>
    </xf>
    <xf borderId="0" fillId="0" fontId="2" numFmtId="2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5" fontId="10" numFmtId="2" xfId="0" applyFont="1" applyNumberFormat="1"/>
    <xf borderId="0" fillId="6" fontId="13" numFmtId="0" xfId="0" applyAlignment="1" applyFill="1" applyFont="1">
      <alignment horizontal="left" readingOrder="0"/>
    </xf>
    <xf borderId="0" fillId="6" fontId="14" numFmtId="2" xfId="0" applyAlignment="1" applyFont="1" applyNumberFormat="1">
      <alignment horizontal="right" readingOrder="0"/>
    </xf>
    <xf borderId="0" fillId="6" fontId="13" numFmtId="2" xfId="0" applyAlignment="1" applyFont="1" applyNumberFormat="1">
      <alignment horizontal="right" readingOrder="0"/>
    </xf>
    <xf borderId="0" fillId="6" fontId="14" numFmtId="0" xfId="0" applyAlignment="1" applyFont="1">
      <alignment horizontal="left" readingOrder="0"/>
    </xf>
    <xf borderId="0" fillId="6" fontId="15" numFmtId="0" xfId="0" applyAlignment="1" applyFont="1">
      <alignment horizontal="left" readingOrder="0"/>
    </xf>
    <xf borderId="0" fillId="6" fontId="15" numFmtId="2" xfId="0" applyAlignment="1" applyFont="1" applyNumberFormat="1">
      <alignment horizontal="right" readingOrder="0"/>
    </xf>
    <xf borderId="0" fillId="6" fontId="16" numFmtId="2" xfId="0" applyAlignment="1" applyFont="1" applyNumberFormat="1">
      <alignment horizontal="right" readingOrder="0"/>
    </xf>
    <xf borderId="0" fillId="6" fontId="13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IFERROR(__xludf.DUMMYFUNCTION("""COMPUTED_VALUE"""),"1w1BRJVZsjn1B0PDYrYEKzXGEw-NFKSMIyNqeBCt4yec")</f>
        <v>1w1BRJVZsjn1B0PDYrYEKzXGEw-NFKSMIyNqeBCt4yec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IFERROR(__xludf.DUMMYFUNCTION("""COMPUTED_VALUE"""),"1m8_kQ_0tVJoTiBpYOtlKW23NWSHVfniRS6qC-gXm10s")</f>
        <v>1m8_kQ_0tVJoTiBpYOtlKW23NWSHVfniRS6qC-gXm10s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IFERROR(__xludf.DUMMYFUNCTION("""COMPUTED_VALUE"""),"17N8VCOwI2fnS5Lh1_oE2TZ5tHs8EeP3ATBk93WwvRHk")</f>
        <v>17N8VCOwI2fnS5Lh1_oE2TZ5tHs8EeP3ATBk93WwvRHk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IFERROR(__xludf.DUMMYFUNCTION("""COMPUTED_VALUE"""),"1F88uJdltwqga7oeOfytDjDGsBP4kpEF_aSFBEzDCUqY")</f>
        <v>1F88uJdltwqga7oeOfytDjDGsBP4kpEF_aSFBEzDCUqY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IFERROR(__xludf.DUMMYFUNCTION("""COMPUTED_VALUE"""),"1yIy9yo2gUgRLah_KTWBr8Q8ouxWuW7qEoYCxd-IyZqU")</f>
        <v>1yIy9yo2gUgRLah_KTWBr8Q8ouxWuW7qEoYCxd-IyZqU</v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IFERROR(__xludf.DUMMYFUNCTION("""COMPUTED_VALUE"""),"1vtwSXTZXLwVYR5bhmfKT7b9o6JVmS_9MOZn7CcypLvw")</f>
        <v>1vtwSXTZXLwVYR5bhmfKT7b9o6JVmS_9MOZn7CcypLvw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IFERROR(__xludf.DUMMYFUNCTION("""COMPUTED_VALUE"""),"1tY8_vmgwAtlU3wdGRDk8WSaRLCv6640XZ0pVR7jx06k")</f>
        <v>1tY8_vmgwAtlU3wdGRDk8WSaRLCv6640XZ0pVR7jx06k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IFERROR(__xludf.DUMMYFUNCTION("""COMPUTED_VALUE"""),"1dXSCZtp_PbY2-xO4HyuQFjP9rqovyxBIHohhAalWHdk")</f>
        <v>1dXSCZtp_PbY2-xO4HyuQFjP9rqovyxBIHohhAalWHdk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IFERROR(__xludf.DUMMYFUNCTION("""COMPUTED_VALUE"""),"1MPDRlprMFMS8DkR-4ntdGvBOQ6Gp4Cbkz1mGJyRiPBU")</f>
        <v>1MPDRlprMFMS8DkR-4ntdGvBOQ6Gp4Cbkz1mGJyRiPBU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IFERROR(__xludf.DUMMYFUNCTION("""COMPUTED_VALUE"""),"EditUnallocatedGridWPF")</f>
        <v>EditUnallocatedGridWPF</v>
      </c>
      <c r="C431" t="str">
        <f>IFERROR(__xludf.DUMMYFUNCTION("""COMPUTED_VALUE"""),"1FoqMjsh7kSUAPZgAsBdK0Dgz6XaVskoGr37G773xRsI")</f>
        <v>1FoqMjsh7kSUAPZgAsBdK0Dgz6XaVskoGr37G773xRsI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IFERROR(__xludf.DUMMYFUNCTION("""COMPUTED_VALUE"""),"EditAllocatedGridWPF")</f>
        <v>EditAllocatedGridWPF</v>
      </c>
      <c r="C432" t="str">
        <f>IFERROR(__xludf.DUMMYFUNCTION("""COMPUTED_VALUE"""),"1JDZt3yDzGJYLwgfnrM-1JpkYjLh4xdqn3im1wNwUiWg")</f>
        <v>1JDZt3yDzGJYLwgfnrM-1JpkYjLh4xdqn3im1wNwUiWg</v>
      </c>
    </row>
    <row r="433" ht="15.75" customHeight="1">
      <c r="A433" t="str">
        <f>IFERROR(__xludf.DUMMYFUNCTION("""COMPUTED_VALUE"""),"Admin")</f>
        <v>Admin</v>
      </c>
      <c r="B433" t="str">
        <f>IFERROR(__xludf.DUMMYFUNCTION("""COMPUTED_VALUE"""),"SetRollover")</f>
        <v>SetRollover</v>
      </c>
      <c r="C433" t="str">
        <f>IFERROR(__xludf.DUMMYFUNCTION("""COMPUTED_VALUE"""),"1mcj3boGZkRmnkbGNVOiMK0RBd1tDfxGwoUagq09FwTM")</f>
        <v>1mcj3boGZkRmnkbGNVOiMK0RBd1tDfxGwoUagq09FwTM</v>
      </c>
    </row>
    <row r="434" ht="15.75" customHeight="1">
      <c r="A434" t="str">
        <f>IFERROR(__xludf.DUMMYFUNCTION("""COMPUTED_VALUE"""),"Blotter")</f>
        <v>Blotter</v>
      </c>
      <c r="B434" t="str">
        <f>IFERROR(__xludf.DUMMYFUNCTION("""COMPUTED_VALUE"""),"VerifyRollover")</f>
        <v>VerifyRollover</v>
      </c>
      <c r="C434" t="str">
        <f>IFERROR(__xludf.DUMMYFUNCTION("""COMPUTED_VALUE"""),"1ZZ2-R1OHOoSZ9jUfqlZ7UX-MNoTL_RipoEPOEeDhUiU")</f>
        <v>1ZZ2-R1OHOoSZ9jUfqlZ7UX-MNoTL_RipoEPOEeDhUiU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IFERROR(__xludf.DUMMYFUNCTION("""COMPUTED_VALUE"""),"EditAllocatedGridTaxlot")</f>
        <v>EditAllocatedGridTaxlot</v>
      </c>
      <c r="C435" t="str">
        <f>IFERROR(__xludf.DUMMYFUNCTION("""COMPUTED_VALUE"""),"1tuNkOgVUAgmGZdePkvb6Kq4fOIVUbM2Oo-j35VwEMxU")</f>
        <v>1tuNkOgVUAgmGZdePkvb6Kq4fOIVUbM2Oo-j35VwEMxU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IFERROR(__xludf.DUMMYFUNCTION("""COMPUTED_VALUE"""),"ExpandCollapseAllocatedGrid")</f>
        <v>ExpandCollapseAllocatedGrid</v>
      </c>
      <c r="C436" t="str">
        <f>IFERROR(__xludf.DUMMYFUNCTION("""COMPUTED_VALUE"""),"1rFegPn3vtFd9CjW_Q7sLLAAJfMR24R2aIjZeDzV88kI")</f>
        <v>1rFegPn3vtFd9CjW_Q7sLLAAJfMR24R2aIjZeDzV88kI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IFERROR(__xludf.DUMMYFUNCTION("""COMPUTED_VALUE"""),"ExpandCollapseUnallocatedGrid")</f>
        <v>ExpandCollapseUnallocatedGrid</v>
      </c>
      <c r="C437" t="str">
        <f>IFERROR(__xludf.DUMMYFUNCTION("""COMPUTED_VALUE"""),"1AUbU9P9evi80SGX-0B0OEU4EIeSy8XoX0Jxc2neUG7Y")</f>
        <v>1AUbU9P9evi80SGX-0B0OEU4EIeSy8XoX0Jxc2neUG7Y</v>
      </c>
    </row>
    <row r="438" ht="15.75" customHeight="1">
      <c r="A438" t="str">
        <f>IFERROR(__xludf.DUMMYFUNCTION("""COMPUTED_VALUE"""),"Blotter")</f>
        <v>Blotter</v>
      </c>
      <c r="B438" t="str">
        <f>IFERROR(__xludf.DUMMYFUNCTION("""COMPUTED_VALUE"""),"VerifySubOrderAfterRollover")</f>
        <v>VerifySubOrderAfterRollover</v>
      </c>
      <c r="C438" t="str">
        <f>IFERROR(__xludf.DUMMYFUNCTION("""COMPUTED_VALUE"""),"1BmRHukyQ4miHL0fDoU1ytWmIfZkbbUhts6aUXOoJt1M")</f>
        <v>1BmRHukyQ4miHL0fDoU1ytWmIfZkbbUhts6aUXOoJt1M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IFERROR(__xludf.DUMMYFUNCTION("""COMPUTED_VALUE"""),"SelectTransactionImportType")</f>
        <v>SelectTransactionImportType</v>
      </c>
      <c r="C439" t="str">
        <f>IFERROR(__xludf.DUMMYFUNCTION("""COMPUTED_VALUE"""),"1ultylVChPDBFQEPMhDgNhsGAOiEjOy4yrylpQgIIDRs")</f>
        <v>1ultylVChPDBFQEPMhDgNhsGAOiEjOy4yrylpQgIIDRs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IFERROR(__xludf.DUMMYFUNCTION("""COMPUTED_VALUE"""),"SelectAllOnImport")</f>
        <v>SelectAllOnImport</v>
      </c>
      <c r="C440" t="str">
        <f>IFERROR(__xludf.DUMMYFUNCTION("""COMPUTED_VALUE"""),"1kfuraVHmWK4GQJ5l-V_xi5ZOvrVVE_6df75wO3Tczkw")</f>
        <v>1kfuraVHmWK4GQJ5l-V_xi5ZOvrVVE_6df75wO3Tczkw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IFERROR(__xludf.DUMMYFUNCTION("""COMPUTED_VALUE"""),"SelectMarkPriceImportType")</f>
        <v>SelectMarkPriceImportType</v>
      </c>
      <c r="C441" t="str">
        <f>IFERROR(__xludf.DUMMYFUNCTION("""COMPUTED_VALUE"""),"16WxFw58KivOf3P1utNNMuCYVONlWBgTIRn0wVd6Sq10")</f>
        <v>16WxFw58KivOf3P1utNNMuCYVONlWBgTIRn0wVd6Sq10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IFERROR(__xludf.DUMMYFUNCTION("""COMPUTED_VALUE"""),"SelectForexImportType")</f>
        <v>SelectForexImportType</v>
      </c>
      <c r="C442" t="str">
        <f>IFERROR(__xludf.DUMMYFUNCTION("""COMPUTED_VALUE"""),"1niCpVuSl0IoWtjAcvElNI0GeVHeA4cKvepxzq7Z4t0Y")</f>
        <v>1niCpVuSl0IoWtjAcvElNI0GeVHeA4cKvepxzq7Z4t0Y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IFERROR(__xludf.DUMMYFUNCTION("""COMPUTED_VALUE"""),"SelectDoubleEntryCashImportType")</f>
        <v>SelectDoubleEntryCashImportType</v>
      </c>
      <c r="C443" t="str">
        <f>IFERROR(__xludf.DUMMYFUNCTION("""COMPUTED_VALUE"""),"1c3AV5tCWYyTG5GupbNYTh4Y6mBGeI5Q18WF7jbA_FoE")</f>
        <v>1c3AV5tCWYyTG5GupbNYTh4Y6mBGeI5Q18WF7jbA_FoE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IFERROR(__xludf.DUMMYFUNCTION("""COMPUTED_VALUE"""),"SelectActivitiesImportType")</f>
        <v>SelectActivitiesImportType</v>
      </c>
      <c r="C444" t="str">
        <f>IFERROR(__xludf.DUMMYFUNCTION("""COMPUTED_VALUE"""),"1X6nskWL8-xWWF-gN9qfxhhV3aBuAeoxKsrdra5tJcpQ")</f>
        <v>1X6nskWL8-xWWF-gN9qfxhhV3aBuAeoxKsrdra5tJcpQ</v>
      </c>
    </row>
    <row r="445" ht="15.75" customHeight="1">
      <c r="A445" t="str">
        <f>IFERROR(__xludf.DUMMYFUNCTION("""COMPUTED_VALUE"""),"TradingTicket")</f>
        <v>TradingTicket</v>
      </c>
      <c r="B445" t="str">
        <f>IFERROR(__xludf.DUMMYFUNCTION("""COMPUTED_VALUE"""),"SetTTCompliancePreference")</f>
        <v>SetTTCompliancePreference</v>
      </c>
      <c r="C445" t="str">
        <f>IFERROR(__xludf.DUMMYFUNCTION("""COMPUTED_VALUE"""),"1OPa8vYQi1QXXNENlCNdP6ay_L5vU7WyWP5dErE2KHEA")</f>
        <v>1OPa8vYQi1QXXNENlCNdP6ay_L5vU7WyWP5dErE2KHEA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IFERROR(__xludf.DUMMYFUNCTION("""COMPUTED_VALUE"""),"LockandUnlockGridData")</f>
        <v>LockandUnlockGridData</v>
      </c>
      <c r="C446" t="str">
        <f>IFERROR(__xludf.DUMMYFUNCTION("""COMPUTED_VALUE"""),"1Km85kIYSTzG-NQHFDL8ZVRQQ0TKLUDOYsw-kdDX29xE")</f>
        <v>1Km85kIYSTzG-NQHFDL8ZVRQQ0TKLUDOYsw-kdDX29xE</v>
      </c>
    </row>
    <row r="447" ht="15.75" customHeight="1">
      <c r="A447" t="str">
        <f>IFERROR(__xludf.DUMMYFUNCTION("""COMPUTED_VALUE"""),"Allocation")</f>
        <v>Allocation</v>
      </c>
      <c r="B447" t="str">
        <f>IFERROR(__xludf.DUMMYFUNCTION("""COMPUTED_VALUE"""),"SetTradeAttributePreferences")</f>
        <v>SetTradeAttributePreferences</v>
      </c>
      <c r="C447" t="str">
        <f>IFERROR(__xludf.DUMMYFUNCTION("""COMPUTED_VALUE"""),"1jyPRPc_0lTWCpP9oldB5fgtg2dy3jSnXLkS_qYf40-I")</f>
        <v>1jyPRPc_0lTWCpP9oldB5fgtg2dy3jSnXLkS_qYf40-I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IFERROR(__xludf.DUMMYFUNCTION("""COMPUTED_VALUE"""),"VerifyAccountBalances")</f>
        <v>VerifyAccountBalances</v>
      </c>
      <c r="C448" t="str">
        <f>IFERROR(__xludf.DUMMYFUNCTION("""COMPUTED_VALUE"""),"1ym14EKcw7B3au8SvVteq2gmFR3cDcsMvQQEIm0TQjf4")</f>
        <v>1ym14EKcw7B3au8SvVteq2gmFR3cDcsMvQQEIm0TQjf4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IFERROR(__xludf.DUMMYFUNCTION("""COMPUTED_VALUE"""),"RefreshGridData")</f>
        <v>RefreshGridData</v>
      </c>
      <c r="C449" t="str">
        <f>IFERROR(__xludf.DUMMYFUNCTION("""COMPUTED_VALUE"""),"1iFsjUbnYA0Jwd89eYQjg5OrnW3lr2WGVb5quimwHrRw")</f>
        <v>1iFsjUbnYA0Jwd89eYQjg5OrnW3lr2WGVb5quimwHrRw</v>
      </c>
    </row>
    <row r="450" ht="15.75" customHeight="1">
      <c r="A450" t="str">
        <f>IFERROR(__xludf.DUMMYFUNCTION("""COMPUTED_VALUE"""),"GeneralLedger")</f>
        <v>GeneralLedger</v>
      </c>
      <c r="B450" t="str">
        <f>IFERROR(__xludf.DUMMYFUNCTION("""COMPUTED_VALUE"""),"AddMultipleOpeningBalTranItem")</f>
        <v>AddMultipleOpeningBalTranItem</v>
      </c>
      <c r="C450" t="str">
        <f>IFERROR(__xludf.DUMMYFUNCTION("""COMPUTED_VALUE"""),"14VkN8stineosylh8hvnYNK-GMxNG0uFZBKPjv00GOVc")</f>
        <v>14VkN8stineosylh8hvnYNK-GMxNG0uFZBKPjv00GOVc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IFERROR(__xludf.DUMMYFUNCTION("""COMPUTED_VALUE"""),"ApplyFilterOnImport")</f>
        <v>ApplyFilterOnImport</v>
      </c>
      <c r="C451" t="str">
        <f>IFERROR(__xludf.DUMMYFUNCTION("""COMPUTED_VALUE"""),"1NbH6CrAG4P2-tfFJ5m9jUCbnHY9N7cAluffYy9kFrtg")</f>
        <v>1NbH6CrAG4P2-tfFJ5m9jUCbnHY9N7cAluffYy9kFrtg</v>
      </c>
    </row>
    <row r="452" ht="15.75" customHeight="1">
      <c r="A452" t="str">
        <f>IFERROR(__xludf.DUMMYFUNCTION("""COMPUTED_VALUE"""),"Rebalancer")</f>
        <v>Rebalancer</v>
      </c>
      <c r="B452" t="str">
        <f>IFERROR(__xludf.DUMMYFUNCTION("""COMPUTED_VALUE"""),"SendtoStaging")</f>
        <v>SendtoStaging</v>
      </c>
      <c r="C452" t="str">
        <f>IFERROR(__xludf.DUMMYFUNCTION("""COMPUTED_VALUE"""),"1Zhte_TGc173a8WWc7feC_7HQ_A-M9Q7Np-aK2NPeTIo")</f>
        <v>1Zhte_TGc173a8WWc7feC_7HQ_A-M9Q7Np-aK2NPeTIo</v>
      </c>
    </row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11" t="s">
        <v>17</v>
      </c>
      <c r="D6" s="11">
        <v>100.0</v>
      </c>
      <c r="E6" s="11">
        <v>100.0</v>
      </c>
      <c r="F6" s="11" t="s">
        <v>18</v>
      </c>
      <c r="G6" s="8"/>
      <c r="H6" s="8"/>
      <c r="I6" s="8"/>
      <c r="J6" s="11">
        <v>10.0</v>
      </c>
      <c r="K6" s="8"/>
      <c r="L6" s="8"/>
      <c r="M6" s="8"/>
      <c r="N6" s="8"/>
      <c r="O6" s="8"/>
    </row>
    <row r="7" ht="15.75" customHeight="1">
      <c r="A7" s="8"/>
      <c r="B7" s="11" t="s">
        <v>19</v>
      </c>
      <c r="C7" s="11" t="s">
        <v>17</v>
      </c>
      <c r="D7" s="11">
        <v>100.0</v>
      </c>
      <c r="E7" s="11">
        <v>100.0</v>
      </c>
      <c r="F7" s="11" t="s">
        <v>18</v>
      </c>
      <c r="G7" s="8"/>
      <c r="H7" s="8"/>
      <c r="I7" s="8"/>
      <c r="J7" s="11">
        <v>10.0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22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2" width="14.43"/>
    <col customWidth="1" min="13" max="13" width="30.0"/>
    <col customWidth="1" min="14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11"/>
      <c r="D6" s="31">
        <v>0.0</v>
      </c>
      <c r="E6" s="31">
        <v>100.0</v>
      </c>
      <c r="F6" s="8"/>
      <c r="G6" s="8"/>
      <c r="H6" s="31">
        <v>0.0</v>
      </c>
      <c r="I6" s="31">
        <v>0.0</v>
      </c>
      <c r="J6" s="8"/>
      <c r="K6" s="31">
        <v>10.0</v>
      </c>
      <c r="L6" s="31">
        <v>10.0</v>
      </c>
      <c r="M6" s="11"/>
      <c r="N6" s="8"/>
      <c r="O6" s="8"/>
      <c r="R6" s="32">
        <v>0.0</v>
      </c>
      <c r="S6" s="9" t="s">
        <v>24</v>
      </c>
      <c r="T6" s="32">
        <v>0.0</v>
      </c>
      <c r="U6" s="32">
        <v>0.0</v>
      </c>
      <c r="W6" s="32">
        <v>100.0</v>
      </c>
      <c r="AE6" s="32">
        <v>100.0</v>
      </c>
      <c r="AG6" s="33">
        <v>45765.0</v>
      </c>
      <c r="AH6" s="9" t="s">
        <v>25</v>
      </c>
      <c r="AI6" s="32">
        <v>1.0</v>
      </c>
      <c r="AT6" s="32">
        <v>100000.0</v>
      </c>
      <c r="AU6" s="32">
        <v>100000.0</v>
      </c>
      <c r="AW6" s="32">
        <v>0.0</v>
      </c>
      <c r="AX6" s="32">
        <v>0.0</v>
      </c>
      <c r="AY6" s="9" t="s">
        <v>26</v>
      </c>
      <c r="AZ6" s="32">
        <v>0.0</v>
      </c>
      <c r="BB6" s="9" t="s">
        <v>27</v>
      </c>
      <c r="BC6" s="32">
        <v>0.0</v>
      </c>
      <c r="BE6" s="32">
        <v>100000.0</v>
      </c>
      <c r="BF6" s="32">
        <v>100000.0</v>
      </c>
      <c r="BI6" s="9" t="s">
        <v>28</v>
      </c>
      <c r="BJ6" s="32">
        <v>100.0</v>
      </c>
      <c r="BK6" s="32">
        <v>0.0</v>
      </c>
      <c r="BO6" s="9" t="s">
        <v>17</v>
      </c>
      <c r="BT6" s="9" t="s">
        <v>16</v>
      </c>
      <c r="BU6" s="32">
        <v>0.0</v>
      </c>
      <c r="BV6" s="32">
        <v>0.0</v>
      </c>
      <c r="BW6" s="32">
        <v>0.0</v>
      </c>
      <c r="CI6" s="9" t="s">
        <v>17</v>
      </c>
      <c r="CJ6" s="32">
        <v>0.0</v>
      </c>
    </row>
    <row r="7" ht="15.75" customHeight="1">
      <c r="A7" s="8"/>
      <c r="B7" s="11" t="s">
        <v>18</v>
      </c>
      <c r="C7" s="8"/>
      <c r="D7" s="31">
        <v>0.0</v>
      </c>
      <c r="E7" s="31">
        <v>100.0</v>
      </c>
      <c r="F7" s="8"/>
      <c r="G7" s="8"/>
      <c r="H7" s="31">
        <v>0.0</v>
      </c>
      <c r="I7" s="31">
        <v>0.0</v>
      </c>
      <c r="J7" s="8"/>
      <c r="K7" s="31">
        <v>10.0</v>
      </c>
      <c r="L7" s="31">
        <v>10.0</v>
      </c>
      <c r="M7" s="11"/>
      <c r="N7" s="8"/>
      <c r="O7" s="8"/>
      <c r="R7" s="32">
        <v>0.0</v>
      </c>
      <c r="S7" s="9" t="s">
        <v>24</v>
      </c>
      <c r="T7" s="32">
        <v>0.0</v>
      </c>
      <c r="U7" s="32">
        <v>0.0</v>
      </c>
      <c r="W7" s="32">
        <v>100.0</v>
      </c>
      <c r="AE7" s="32">
        <v>100.0</v>
      </c>
      <c r="AG7" s="33">
        <v>45979.0</v>
      </c>
      <c r="AH7" s="9" t="s">
        <v>25</v>
      </c>
      <c r="AI7" s="32">
        <v>1.0</v>
      </c>
      <c r="AT7" s="32">
        <v>100000.0</v>
      </c>
      <c r="AU7" s="32">
        <v>100000.0</v>
      </c>
      <c r="AW7" s="32">
        <v>0.0</v>
      </c>
      <c r="AX7" s="32">
        <v>0.0</v>
      </c>
      <c r="AY7" s="9" t="s">
        <v>26</v>
      </c>
      <c r="AZ7" s="32">
        <v>0.0</v>
      </c>
      <c r="BC7" s="32">
        <v>0.0</v>
      </c>
      <c r="BE7" s="32">
        <v>100000.0</v>
      </c>
      <c r="BF7" s="32">
        <v>100000.0</v>
      </c>
      <c r="BI7" s="9" t="s">
        <v>28</v>
      </c>
      <c r="BJ7" s="32">
        <v>100.0</v>
      </c>
      <c r="BK7" s="32">
        <v>0.0</v>
      </c>
      <c r="BO7" s="9" t="s">
        <v>17</v>
      </c>
      <c r="BT7" s="9" t="s">
        <v>19</v>
      </c>
      <c r="BU7" s="32">
        <v>0.0</v>
      </c>
      <c r="BV7" s="32">
        <v>0.0</v>
      </c>
      <c r="BW7" s="32">
        <v>0.0</v>
      </c>
      <c r="CI7" s="9" t="s">
        <v>17</v>
      </c>
      <c r="CJ7" s="32">
        <v>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22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IFERROR(__xludf.DUMMYFUNCTION("""COMPUTED_VALUE"""),"AccruedInterest")</f>
        <v>AccruedInterest</v>
      </c>
      <c r="D5" s="27" t="str">
        <f>IFERROR(__xludf.DUMMYFUNCTION("""COMPUTED_VALUE"""),"Analyst")</f>
        <v>Analyst</v>
      </c>
      <c r="E5" s="27" t="str">
        <f>IFERROR(__xludf.DUMMYFUNCTION("""COMPUTED_VALUE"""),"Asset Class")</f>
        <v>Asset Class</v>
      </c>
      <c r="F5" s="28" t="str">
        <f>IFERROR(__xludf.DUMMYFUNCTION("""COMPUTED_VALUE"""),"Asset Derivative")</f>
        <v>Asset Derivative</v>
      </c>
      <c r="G5" s="27" t="str">
        <f>IFERROR(__xludf.DUMMYFUNCTION("""COMPUTED_VALUE"""),"AUECID")</f>
        <v>AUECID</v>
      </c>
      <c r="H5" s="27" t="str">
        <f>IFERROR(__xludf.DUMMYFUNCTION("""COMPUTED_VALUE"""),"AUECModifiedDate")</f>
        <v>AUECModifiedDate</v>
      </c>
      <c r="I5" s="27" t="str">
        <f>IFERROR(__xludf.DUMMYFUNCTION("""COMPUTED_VALUE"""),"Average Price")</f>
        <v>Average Price</v>
      </c>
      <c r="J5" s="27" t="str">
        <f>IFERROR(__xludf.DUMMYFUNCTION("""COMPUTED_VALUE"""),"BloombergSymbol")</f>
        <v>BloombergSymbol</v>
      </c>
      <c r="K5" s="27" t="str">
        <f>IFERROR(__xludf.DUMMYFUNCTION("""COMPUTED_VALUE"""),"Broker")</f>
        <v>Broker</v>
      </c>
      <c r="L5" s="27" t="str">
        <f>IFERROR(__xludf.DUMMYFUNCTION("""COMPUTED_VALUE"""),"CalcBasis")</f>
        <v>CalcBasis</v>
      </c>
      <c r="M5" s="27" t="str">
        <f>IFERROR(__xludf.DUMMYFUNCTION("""COMPUTED_VALUE"""),"CashSettledPrice")</f>
        <v>CashSettledPrice</v>
      </c>
      <c r="N5" s="27" t="str">
        <f>IFERROR(__xludf.DUMMYFUNCTION("""COMPUTED_VALUE"""),"ChangeComment")</f>
        <v>ChangeComment</v>
      </c>
      <c r="O5" s="27" t="str">
        <f>IFERROR(__xludf.DUMMYFUNCTION("""COMPUTED_VALUE"""),"ChangeType")</f>
        <v>ChangeType</v>
      </c>
      <c r="P5" s="27" t="str">
        <f>IFERROR(__xludf.DUMMYFUNCTION("""COMPUTED_VALUE"""),"ClearingBrokerFee")</f>
        <v>ClearingBrokerFee</v>
      </c>
      <c r="Q5" s="27" t="str">
        <f>IFERROR(__xludf.DUMMYFUNCTION("""COMPUTED_VALUE"""),"ClearingFee")</f>
        <v>ClearingFee</v>
      </c>
      <c r="R5" s="27" t="str">
        <f>IFERROR(__xludf.DUMMYFUNCTION("""COMPUTED_VALUE"""),"ClosedTotalCommissionandFees")</f>
        <v>ClosedTotalCommissionandFees</v>
      </c>
      <c r="S5" s="27" t="str">
        <f>IFERROR(__xludf.DUMMYFUNCTION("""COMPUTED_VALUE"""),"ClosingAlgo")</f>
        <v>ClosingAlgo</v>
      </c>
      <c r="T5" s="29" t="str">
        <f>IFERROR(__xludf.DUMMYFUNCTION("""COMPUTED_VALUE"""),"ClosingDate")</f>
        <v>ClosingDate</v>
      </c>
      <c r="U5" s="29" t="str">
        <f>IFERROR(__xludf.DUMMYFUNCTION("""COMPUTED_VALUE"""),"ClosingStatus")</f>
        <v>ClosingStatus</v>
      </c>
      <c r="V5" s="29" t="str">
        <f>IFERROR(__xludf.DUMMYFUNCTION("""COMPUTED_VALUE"""),"Commission")</f>
        <v>Commission</v>
      </c>
      <c r="W5" s="29" t="str">
        <f>IFERROR(__xludf.DUMMYFUNCTION("""COMPUTED_VALUE"""),"CommissionAmt")</f>
        <v>CommissionAmt</v>
      </c>
      <c r="X5" s="29" t="str">
        <f>IFERROR(__xludf.DUMMYFUNCTION("""COMPUTED_VALUE"""),"CommissionRate")</f>
        <v>CommissionRate</v>
      </c>
      <c r="Y5" s="29" t="str">
        <f>IFERROR(__xludf.DUMMYFUNCTION("""COMPUTED_VALUE"""),"CompanyUserName")</f>
        <v>CompanyUserName</v>
      </c>
      <c r="Z5" s="29" t="str">
        <f>IFERROR(__xludf.DUMMYFUNCTION("""COMPUTED_VALUE"""),"ContractMultiplier")</f>
        <v>ContractMultiplier</v>
      </c>
      <c r="AA5" s="29" t="str">
        <f>IFERROR(__xludf.DUMMYFUNCTION("""COMPUTED_VALUE"""),"CountryName")</f>
        <v>CountryName</v>
      </c>
      <c r="AB5" s="29" t="str">
        <f>IFERROR(__xludf.DUMMYFUNCTION("""COMPUTED_VALUE"""),"CountryOfRisk")</f>
        <v>CountryOfRisk</v>
      </c>
      <c r="AC5" s="29" t="str">
        <f>IFERROR(__xludf.DUMMYFUNCTION("""COMPUTED_VALUE"""),"CumQty")</f>
        <v>CumQty</v>
      </c>
      <c r="AD5" s="29" t="str">
        <f>IFERROR(__xludf.DUMMYFUNCTION("""COMPUTED_VALUE"""),"CurrencyID")</f>
        <v>CurrencyID</v>
      </c>
      <c r="AE5" s="29" t="str">
        <f>IFERROR(__xludf.DUMMYFUNCTION("""COMPUTED_VALUE"""),"CurrencyName")</f>
        <v>CurrencyName</v>
      </c>
      <c r="AF5" s="29" t="str">
        <f>IFERROR(__xludf.DUMMYFUNCTION("""COMPUTED_VALUE"""),"CusipSymbol")</f>
        <v>CusipSymbol</v>
      </c>
      <c r="AG5" s="29" t="str">
        <f>IFERROR(__xludf.DUMMYFUNCTION("""COMPUTED_VALUE"""),"CustomUDA1")</f>
        <v>CustomUDA1</v>
      </c>
      <c r="AH5" s="29" t="str">
        <f>IFERROR(__xludf.DUMMYFUNCTION("""COMPUTED_VALUE"""),"CustomUDA2")</f>
        <v>CustomUDA2</v>
      </c>
      <c r="AI5" s="29" t="str">
        <f>IFERROR(__xludf.DUMMYFUNCTION("""COMPUTED_VALUE"""),"CustomUDA3")</f>
        <v>CustomUDA3</v>
      </c>
      <c r="AJ5" s="29" t="str">
        <f>IFERROR(__xludf.DUMMYFUNCTION("""COMPUTED_VALUE"""),"CustomUDA4")</f>
        <v>CustomUDA4</v>
      </c>
      <c r="AK5" s="29" t="str">
        <f>IFERROR(__xludf.DUMMYFUNCTION("""COMPUTED_VALUE"""),"CustomUDA5")</f>
        <v>CustomUDA5</v>
      </c>
      <c r="AL5" s="29" t="str">
        <f>IFERROR(__xludf.DUMMYFUNCTION("""COMPUTED_VALUE"""),"CustomUDA6")</f>
        <v>CustomUDA6</v>
      </c>
      <c r="AM5" s="29" t="str">
        <f>IFERROR(__xludf.DUMMYFUNCTION("""COMPUTED_VALUE"""),"CustomUDA7")</f>
        <v>CustomUDA7</v>
      </c>
      <c r="AN5" s="29" t="str">
        <f>IFERROR(__xludf.DUMMYFUNCTION("""COMPUTED_VALUE"""),"Delta")</f>
        <v>Delta</v>
      </c>
      <c r="AO5" s="29" t="str">
        <f>IFERROR(__xludf.DUMMYFUNCTION("""COMPUTED_VALUE"""),"Description")</f>
        <v>Description</v>
      </c>
      <c r="AP5" s="29" t="str">
        <f>IFERROR(__xludf.DUMMYFUNCTION("""COMPUTED_VALUE"""),"ExchangeName")</f>
        <v>ExchangeName</v>
      </c>
      <c r="AQ5" s="29" t="str">
        <f>IFERROR(__xludf.DUMMYFUNCTION("""COMPUTED_VALUE"""),"ExecutedQty")</f>
        <v>ExecutedQty</v>
      </c>
      <c r="AR5" s="29" t="str">
        <f>IFERROR(__xludf.DUMMYFUNCTION("""COMPUTED_VALUE"""),"ExpirationDate")</f>
        <v>ExpirationDate</v>
      </c>
      <c r="AS5" s="29" t="str">
        <f>IFERROR(__xludf.DUMMYFUNCTION("""COMPUTED_VALUE"""),"ExternalTransID")</f>
        <v>ExternalTransID</v>
      </c>
      <c r="AT5" s="29" t="str">
        <f>IFERROR(__xludf.DUMMYFUNCTION("""COMPUTED_VALUE"""),"FXConversionMethodOperator")</f>
        <v>FXConversionMethodOperator</v>
      </c>
      <c r="AU5" s="29" t="str">
        <f>IFERROR(__xludf.DUMMYFUNCTION("""COMPUTED_VALUE"""),"FXRate")</f>
        <v>FXRate</v>
      </c>
      <c r="AV5" s="29" t="str">
        <f>IFERROR(__xludf.DUMMYFUNCTION("""COMPUTED_VALUE"""),"GroupID")</f>
        <v>GroupID</v>
      </c>
      <c r="AW5" s="29" t="str">
        <f>IFERROR(__xludf.DUMMYFUNCTION("""COMPUTED_VALUE"""),"IDCOSymbol")</f>
        <v>IDCOSymbol</v>
      </c>
      <c r="AX5" s="29" t="str">
        <f>IFERROR(__xludf.DUMMYFUNCTION("""COMPUTED_VALUE"""),"InternalComments")</f>
        <v>InternalComments</v>
      </c>
      <c r="AY5" s="29" t="str">
        <f>IFERROR(__xludf.DUMMYFUNCTION("""COMPUTED_VALUE"""),"IsExerciseAtZero")</f>
        <v>IsExerciseAtZero</v>
      </c>
      <c r="AZ5" s="29" t="str">
        <f>IFERROR(__xludf.DUMMYFUNCTION("""COMPUTED_VALUE"""),"ISINSymbol")</f>
        <v>ISINSymbol</v>
      </c>
      <c r="BA5" s="29" t="str">
        <f>IFERROR(__xludf.DUMMYFUNCTION("""COMPUTED_VALUE"""),"IsNDF")</f>
        <v>IsNDF</v>
      </c>
      <c r="BB5" s="29" t="str">
        <f>IFERROR(__xludf.DUMMYFUNCTION("""COMPUTED_VALUE"""),"IsPosition")</f>
        <v>IsPosition</v>
      </c>
      <c r="BC5" s="29" t="str">
        <f>IFERROR(__xludf.DUMMYFUNCTION("""COMPUTED_VALUE"""),"IsPreAllocated")</f>
        <v>IsPreAllocated</v>
      </c>
      <c r="BD5" s="29" t="str">
        <f>IFERROR(__xludf.DUMMYFUNCTION("""COMPUTED_VALUE"""),"Issuer")</f>
        <v>Issuer</v>
      </c>
      <c r="BE5" s="29" t="str">
        <f>IFERROR(__xludf.DUMMYFUNCTION("""COMPUTED_VALUE"""),"IsSwapped")</f>
        <v>IsSwapped</v>
      </c>
      <c r="BF5" s="29" t="str">
        <f>IFERROR(__xludf.DUMMYFUNCTION("""COMPUTED_VALUE"""),"LeadCurrencyID")</f>
        <v>LeadCurrencyID</v>
      </c>
      <c r="BG5" s="29" t="str">
        <f>IFERROR(__xludf.DUMMYFUNCTION("""COMPUTED_VALUE"""),"LiquidTag")</f>
        <v>LiquidTag</v>
      </c>
      <c r="BH5" s="29" t="str">
        <f>IFERROR(__xludf.DUMMYFUNCTION("""COMPUTED_VALUE"""),"LongOrShort")</f>
        <v>LongOrShort</v>
      </c>
      <c r="BI5" s="29" t="str">
        <f>IFERROR(__xludf.DUMMYFUNCTION("""COMPUTED_VALUE"""),"LotId")</f>
        <v>LotId</v>
      </c>
      <c r="BJ5" s="29" t="str">
        <f>IFERROR(__xludf.DUMMYFUNCTION("""COMPUTED_VALUE"""),"M2MProfitLoss")</f>
        <v>M2MProfitLoss</v>
      </c>
      <c r="BK5" s="29" t="str">
        <f>IFERROR(__xludf.DUMMYFUNCTION("""COMPUTED_VALUE"""),"MarkPrice")</f>
        <v>MarkPrice</v>
      </c>
      <c r="BL5" s="29" t="str">
        <f>IFERROR(__xludf.DUMMYFUNCTION("""COMPUTED_VALUE"""),"MasterFund")</f>
        <v>MasterFund</v>
      </c>
      <c r="BM5" s="29" t="str">
        <f>IFERROR(__xludf.DUMMYFUNCTION("""COMPUTED_VALUE"""),"MiscFees")</f>
        <v>MiscFees</v>
      </c>
      <c r="BN5" s="29" t="str">
        <f>IFERROR(__xludf.DUMMYFUNCTION("""COMPUTED_VALUE"""),"NavLockStatus")</f>
        <v>NavLockStatus</v>
      </c>
      <c r="BO5" s="34" t="str">
        <f>IFERROR(__xludf.DUMMYFUNCTION("""COMPUTED_VALUE"""),"Net Notional")</f>
        <v>Net Notional</v>
      </c>
      <c r="BP5" s="29" t="str">
        <f>IFERROR(__xludf.DUMMYFUNCTION("""COMPUTED_VALUE"""),"NirvanaProcessDate")</f>
        <v>NirvanaProcessDate</v>
      </c>
      <c r="BQ5" s="29" t="str">
        <f>IFERROR(__xludf.DUMMYFUNCTION("""COMPUTED_VALUE"""),"OccFee")</f>
        <v>OccFee</v>
      </c>
      <c r="BR5" s="29" t="str">
        <f>IFERROR(__xludf.DUMMYFUNCTION("""COMPUTED_VALUE"""),"OptionPremiumAdjustment")</f>
        <v>OptionPremiumAdjustment</v>
      </c>
      <c r="BS5" s="29" t="str">
        <f>IFERROR(__xludf.DUMMYFUNCTION("""COMPUTED_VALUE"""),"OrderSideTagValue")</f>
        <v>OrderSideTagValue</v>
      </c>
      <c r="BT5" s="29" t="str">
        <f>IFERROR(__xludf.DUMMYFUNCTION("""COMPUTED_VALUE"""),"OrderType")</f>
        <v>OrderType</v>
      </c>
      <c r="BU5" s="29" t="str">
        <f>IFERROR(__xludf.DUMMYFUNCTION("""COMPUTED_VALUE"""),"OrfFee")</f>
        <v>OrfFee</v>
      </c>
      <c r="BV5" s="29" t="str">
        <f>IFERROR(__xludf.DUMMYFUNCTION("""COMPUTED_VALUE"""),"Original Side")</f>
        <v>Original Side</v>
      </c>
      <c r="BW5" s="29" t="str">
        <f>IFERROR(__xludf.DUMMYFUNCTION("""COMPUTED_VALUE"""),"OriginalPurchase Date")</f>
        <v>OriginalPurchase Date</v>
      </c>
      <c r="BX5" s="29" t="str">
        <f>IFERROR(__xludf.DUMMYFUNCTION("""COMPUTED_VALUE"""),"OSISymbol")</f>
        <v>OSISymbol</v>
      </c>
      <c r="BY5" s="29" t="str">
        <f>IFERROR(__xludf.DUMMYFUNCTION("""COMPUTED_VALUE"""),"OtherBrokerFees")</f>
        <v>OtherBrokerFees</v>
      </c>
      <c r="BZ5" s="29" t="str">
        <f>IFERROR(__xludf.DUMMYFUNCTION("""COMPUTED_VALUE"""),"ParentRowPK")</f>
        <v>ParentRowPK</v>
      </c>
      <c r="CA5" s="29" t="str">
        <f>IFERROR(__xludf.DUMMYFUNCTION("""COMPUTED_VALUE"""),"Percentage")</f>
        <v>Percentage</v>
      </c>
      <c r="CB5" s="29" t="str">
        <f>IFERROR(__xludf.DUMMYFUNCTION("""COMPUTED_VALUE"""),"PositionTag")</f>
        <v>PositionTag</v>
      </c>
      <c r="CC5" s="29" t="str">
        <f>IFERROR(__xludf.DUMMYFUNCTION("""COMPUTED_VALUE"""),"PositionType")</f>
        <v>PositionType</v>
      </c>
      <c r="CD5" s="29" t="str">
        <f>IFERROR(__xludf.DUMMYFUNCTION("""COMPUTED_VALUE"""),"Process Date")</f>
        <v>Process Date</v>
      </c>
      <c r="CE5" s="29" t="str">
        <f>IFERROR(__xludf.DUMMYFUNCTION("""COMPUTED_VALUE"""),"ProxySymbol")</f>
        <v>ProxySymbol</v>
      </c>
      <c r="CF5" s="29" t="str">
        <f>IFERROR(__xludf.DUMMYFUNCTION("""COMPUTED_VALUE"""),"PutOrCall")</f>
        <v>PutOrCall</v>
      </c>
      <c r="CG5" s="29" t="str">
        <f>IFERROR(__xludf.DUMMYFUNCTION("""COMPUTED_VALUE"""),"Quantity")</f>
        <v>Quantity</v>
      </c>
      <c r="CH5" s="29" t="str">
        <f>IFERROR(__xludf.DUMMYFUNCTION("""COMPUTED_VALUE"""),"Region")</f>
        <v>Region</v>
      </c>
      <c r="CI5" s="29" t="str">
        <f>IFERROR(__xludf.DUMMYFUNCTION("""COMPUTED_VALUE"""),"ReutersSymbol")</f>
        <v>ReutersSymbol</v>
      </c>
      <c r="CJ5" s="29" t="str">
        <f>IFERROR(__xludf.DUMMYFUNCTION("""COMPUTED_VALUE"""),"RiskCurrency")</f>
        <v>RiskCurrency</v>
      </c>
      <c r="CK5" s="29" t="str">
        <f>IFERROR(__xludf.DUMMYFUNCTION("""COMPUTED_VALUE"""),"SecFee")</f>
        <v>SecFee</v>
      </c>
      <c r="CL5" s="29" t="str">
        <f>IFERROR(__xludf.DUMMYFUNCTION("""COMPUTED_VALUE"""),"SectorName")</f>
        <v>SectorName</v>
      </c>
      <c r="CM5" s="29" t="str">
        <f>IFERROR(__xludf.DUMMYFUNCTION("""COMPUTED_VALUE"""),"Security Name")</f>
        <v>Security Name</v>
      </c>
      <c r="CN5" s="29" t="str">
        <f>IFERROR(__xludf.DUMMYFUNCTION("""COMPUTED_VALUE"""),"SecurityTypeName")</f>
        <v>SecurityTypeName</v>
      </c>
      <c r="CO5" s="29" t="str">
        <f>IFERROR(__xludf.DUMMYFUNCTION("""COMPUTED_VALUE"""),"SedolSymbol")</f>
        <v>SedolSymbol</v>
      </c>
      <c r="CP5" s="29" t="str">
        <f>IFERROR(__xludf.DUMMYFUNCTION("""COMPUTED_VALUE"""),"SettlCurrAmt")</f>
        <v>SettlCurrAmt</v>
      </c>
      <c r="CQ5" s="29" t="str">
        <f>IFERROR(__xludf.DUMMYFUNCTION("""COMPUTED_VALUE"""),"SettlCurrFxRate")</f>
        <v>SettlCurrFxRate</v>
      </c>
      <c r="CR5" s="29" t="str">
        <f>IFERROR(__xludf.DUMMYFUNCTION("""COMPUTED_VALUE"""),"SettlCurrFxRateCalc")</f>
        <v>SettlCurrFxRateCalc</v>
      </c>
      <c r="CS5" s="29" t="str">
        <f>IFERROR(__xludf.DUMMYFUNCTION("""COMPUTED_VALUE"""),"SettlCurrUnitCost")</f>
        <v>SettlCurrUnitCost</v>
      </c>
      <c r="CT5" s="29" t="str">
        <f>IFERROR(__xludf.DUMMYFUNCTION("""COMPUTED_VALUE"""),"Settlement Mode")</f>
        <v>Settlement Mode</v>
      </c>
      <c r="CU5" s="29" t="str">
        <f>IFERROR(__xludf.DUMMYFUNCTION("""COMPUTED_VALUE"""),"Settlement Qty")</f>
        <v>Settlement Qty</v>
      </c>
      <c r="CV5" s="29" t="str">
        <f>IFERROR(__xludf.DUMMYFUNCTION("""COMPUTED_VALUE"""),"SettlementCurrencyID")</f>
        <v>SettlementCurrencyID</v>
      </c>
      <c r="CW5" s="29" t="str">
        <f>IFERROR(__xludf.DUMMYFUNCTION("""COMPUTED_VALUE"""),"SettlementDate")</f>
        <v>SettlementDate</v>
      </c>
      <c r="CX5" s="29" t="str">
        <f>IFERROR(__xludf.DUMMYFUNCTION("""COMPUTED_VALUE"""),"SideMultiplier")</f>
        <v>SideMultiplier</v>
      </c>
      <c r="CY5" s="29" t="str">
        <f>IFERROR(__xludf.DUMMYFUNCTION("""COMPUTED_VALUE"""),"SoftCommission")</f>
        <v>SoftCommission</v>
      </c>
      <c r="CZ5" s="29" t="str">
        <f>IFERROR(__xludf.DUMMYFUNCTION("""COMPUTED_VALUE"""),"SoftCommissionAmt")</f>
        <v>SoftCommissionAmt</v>
      </c>
      <c r="DA5" s="29" t="str">
        <f>IFERROR(__xludf.DUMMYFUNCTION("""COMPUTED_VALUE"""),"SoftCommissionCalcBasis")</f>
        <v>SoftCommissionCalcBasis</v>
      </c>
      <c r="DB5" s="29" t="str">
        <f>IFERROR(__xludf.DUMMYFUNCTION("""COMPUTED_VALUE"""),"SoftCommissionRate")</f>
        <v>SoftCommissionRate</v>
      </c>
      <c r="DC5" s="29" t="str">
        <f>IFERROR(__xludf.DUMMYFUNCTION("""COMPUTED_VALUE"""),"StampDuty")</f>
        <v>StampDuty</v>
      </c>
      <c r="DD5" s="29" t="str">
        <f>IFERROR(__xludf.DUMMYFUNCTION("""COMPUTED_VALUE"""),"Strategy")</f>
        <v>Strategy</v>
      </c>
      <c r="DE5" s="29" t="str">
        <f>IFERROR(__xludf.DUMMYFUNCTION("""COMPUTED_VALUE"""),"Strike Price")</f>
        <v>Strike Price</v>
      </c>
      <c r="DF5" s="29" t="str">
        <f>IFERROR(__xludf.DUMMYFUNCTION("""COMPUTED_VALUE"""),"SubSectorName")</f>
        <v>SubSectorName</v>
      </c>
      <c r="DG5" s="29" t="str">
        <f>IFERROR(__xludf.DUMMYFUNCTION("""COMPUTED_VALUE"""),"SwapParameters")</f>
        <v>SwapParameters</v>
      </c>
      <c r="DH5" s="29" t="str">
        <f>IFERROR(__xludf.DUMMYFUNCTION("""COMPUTED_VALUE"""),"Symbol")</f>
        <v>Symbol</v>
      </c>
      <c r="DI5" s="29" t="str">
        <f>IFERROR(__xludf.DUMMYFUNCTION("""COMPUTED_VALUE"""),"TaxlotClosingId")</f>
        <v>TaxlotClosingId</v>
      </c>
      <c r="DJ5" s="29" t="str">
        <f>IFERROR(__xludf.DUMMYFUNCTION("""COMPUTED_VALUE"""),"TaxLotID")</f>
        <v>TaxLotID</v>
      </c>
      <c r="DK5" s="29" t="str">
        <f>IFERROR(__xludf.DUMMYFUNCTION("""COMPUTED_VALUE"""),"TaxlotPk")</f>
        <v>TaxlotPk</v>
      </c>
      <c r="DL5" s="29" t="str">
        <f>IFERROR(__xludf.DUMMYFUNCTION("""COMPUTED_VALUE"""),"TaxLotQtyToClose")</f>
        <v>TaxLotQtyToClose</v>
      </c>
      <c r="DM5" s="29" t="str">
        <f>IFERROR(__xludf.DUMMYFUNCTION("""COMPUTED_VALUE"""),"TaxonCommissions")</f>
        <v>TaxonCommissions</v>
      </c>
      <c r="DN5" s="29" t="str">
        <f>IFERROR(__xludf.DUMMYFUNCTION("""COMPUTED_VALUE"""),"TimeOfSaveUTC")</f>
        <v>TimeOfSaveUTC</v>
      </c>
      <c r="DO5" s="29" t="str">
        <f>IFERROR(__xludf.DUMMYFUNCTION("""COMPUTED_VALUE"""),"TotalCommission&amp;Fees")</f>
        <v>TotalCommission&amp;Fees</v>
      </c>
      <c r="DP5" s="29" t="str">
        <f>IFERROR(__xludf.DUMMYFUNCTION("""COMPUTED_VALUE"""),"TotalCommissionandFees")</f>
        <v>TotalCommissionandFees</v>
      </c>
      <c r="DQ5" s="29" t="str">
        <f>IFERROR(__xludf.DUMMYFUNCTION("""COMPUTED_VALUE"""),"Tradedate")</f>
        <v>Tradedate</v>
      </c>
      <c r="DR5" s="29" t="str">
        <f>IFERROR(__xludf.DUMMYFUNCTION("""COMPUTED_VALUE"""),"TradeAttribute1")</f>
        <v>TradeAttribute1</v>
      </c>
      <c r="DS5" s="29" t="str">
        <f>IFERROR(__xludf.DUMMYFUNCTION("""COMPUTED_VALUE"""),"TradeAttribute2")</f>
        <v>TradeAttribute2</v>
      </c>
      <c r="DT5" s="29" t="str">
        <f>IFERROR(__xludf.DUMMYFUNCTION("""COMPUTED_VALUE"""),"TradeAttribute3")</f>
        <v>TradeAttribute3</v>
      </c>
      <c r="DU5" s="29" t="str">
        <f>IFERROR(__xludf.DUMMYFUNCTION("""COMPUTED_VALUE"""),"TradeAttribute4")</f>
        <v>TradeAttribute4</v>
      </c>
      <c r="DV5" s="29" t="str">
        <f>IFERROR(__xludf.DUMMYFUNCTION("""COMPUTED_VALUE"""),"TradeAttribute5")</f>
        <v>TradeAttribute5</v>
      </c>
      <c r="DW5" s="29" t="str">
        <f>IFERROR(__xludf.DUMMYFUNCTION("""COMPUTED_VALUE"""),"TradeAttribute6")</f>
        <v>TradeAttribute6</v>
      </c>
      <c r="DX5" s="29" t="str">
        <f>IFERROR(__xludf.DUMMYFUNCTION("""COMPUTED_VALUE"""),"TradingAccountName")</f>
        <v>TradingAccountName</v>
      </c>
      <c r="DY5" s="29" t="str">
        <f>IFERROR(__xludf.DUMMYFUNCTION("""COMPUTED_VALUE"""),"TransactionLevy")</f>
        <v>TransactionLevy</v>
      </c>
      <c r="DZ5" s="29" t="str">
        <f>IFERROR(__xludf.DUMMYFUNCTION("""COMPUTED_VALUE"""),"TransactionType")</f>
        <v>TransactionType</v>
      </c>
      <c r="EA5" s="29" t="str">
        <f>IFERROR(__xludf.DUMMYFUNCTION("""COMPUTED_VALUE"""),"UcitsEligibleTag")</f>
        <v>UcitsEligibleTag</v>
      </c>
      <c r="EB5" s="29" t="str">
        <f>IFERROR(__xludf.DUMMYFUNCTION("""COMPUTED_VALUE"""),"UDAAsset")</f>
        <v>UDAAsset</v>
      </c>
      <c r="EC5" s="29" t="str">
        <f>IFERROR(__xludf.DUMMYFUNCTION("""COMPUTED_VALUE"""),"UnderlyingDelta")</f>
        <v>UnderlyingDelta</v>
      </c>
      <c r="ED5" s="29" t="str">
        <f>IFERROR(__xludf.DUMMYFUNCTION("""COMPUTED_VALUE"""),"UnderlyingName")</f>
        <v>UnderlyingName</v>
      </c>
      <c r="EE5" s="29" t="str">
        <f>IFERROR(__xludf.DUMMYFUNCTION("""COMPUTED_VALUE"""),"UnderlyingSymbol")</f>
        <v>UnderlyingSymbol</v>
      </c>
      <c r="EF5" s="29" t="str">
        <f>IFERROR(__xludf.DUMMYFUNCTION("""COMPUTED_VALUE"""),"UnitCost")</f>
        <v>UnitCost</v>
      </c>
      <c r="EG5" s="29" t="str">
        <f>IFERROR(__xludf.DUMMYFUNCTION("""COMPUTED_VALUE"""),"UnRealizedPNL")</f>
        <v>UnRealizedPNL</v>
      </c>
      <c r="EH5" s="29" t="str">
        <f>IFERROR(__xludf.DUMMYFUNCTION("""COMPUTED_VALUE"""),"Venue")</f>
        <v>Venue</v>
      </c>
      <c r="EI5" s="29" t="str">
        <f>IFERROR(__xludf.DUMMYFUNCTION("""COMPUTED_VALUE"""),"VsCurrencyID")</f>
        <v>VsCurrencyID</v>
      </c>
      <c r="EJ5" s="29" t="str">
        <f>IFERROR(__xludf.DUMMYFUNCTION("""COMPUTED_VALUE"""),"WorkflowState")</f>
        <v>WorkflowState</v>
      </c>
      <c r="EK5" s="29" t="str">
        <f>IFERROR(__xludf.DUMMYFUNCTION("""COMPUTED_VALUE"""),"AvgPriceBase")</f>
        <v>AvgPriceBase</v>
      </c>
      <c r="EL5" s="29" t="str">
        <f>IFERROR(__xludf.DUMMYFUNCTION("""COMPUTED_VALUE"""),"MarketCap")</f>
        <v>MarketCap</v>
      </c>
      <c r="EM5" s="29" t="str">
        <f>IFERROR(__xludf.DUMMYFUNCTION("""COMPUTED_VALUE"""),"UnitCostBase")</f>
        <v>UnitCostBase</v>
      </c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5" t="s">
        <v>18</v>
      </c>
      <c r="C6" s="8"/>
      <c r="D6" s="11"/>
      <c r="E6" s="35" t="s">
        <v>32</v>
      </c>
      <c r="F6" s="8"/>
      <c r="G6" s="8"/>
      <c r="H6" s="8"/>
      <c r="I6" s="31">
        <v>10.0</v>
      </c>
      <c r="J6" s="8"/>
      <c r="K6" s="8"/>
      <c r="L6" s="8"/>
      <c r="M6" s="8"/>
      <c r="N6" s="8"/>
      <c r="O6" s="8"/>
      <c r="Z6" s="9">
        <v>100.0</v>
      </c>
      <c r="BO6" s="32">
        <v>100000.0</v>
      </c>
      <c r="CX6" s="9">
        <v>1.0</v>
      </c>
      <c r="DE6" s="32">
        <v>20.0</v>
      </c>
      <c r="DH6" s="9" t="s">
        <v>16</v>
      </c>
    </row>
    <row r="7" ht="15.75" customHeight="1">
      <c r="A7" s="8"/>
      <c r="B7" s="35" t="s">
        <v>18</v>
      </c>
      <c r="C7" s="8"/>
      <c r="D7" s="8"/>
      <c r="E7" s="35" t="s">
        <v>32</v>
      </c>
      <c r="F7" s="8"/>
      <c r="G7" s="8"/>
      <c r="H7" s="8"/>
      <c r="I7" s="31">
        <v>10.0</v>
      </c>
      <c r="J7" s="8"/>
      <c r="K7" s="8"/>
      <c r="L7" s="8"/>
      <c r="M7" s="8"/>
      <c r="N7" s="8"/>
      <c r="O7" s="8"/>
      <c r="Z7" s="9">
        <v>100.0</v>
      </c>
      <c r="BO7" s="32">
        <v>100000.0</v>
      </c>
      <c r="CX7" s="9">
        <v>1.0</v>
      </c>
      <c r="DE7" s="32">
        <v>68.0</v>
      </c>
      <c r="DH7" s="9" t="s">
        <v>19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IFERROR(__xludf.DUMMYFUNCTION("""COMPUTED_VALUE"""),"AccountValue")</f>
        <v>AccountValue</v>
      </c>
      <c r="D5" s="27" t="str">
        <f>IFERROR(__xludf.DUMMYFUNCTION("""COMPUTED_VALUE"""),"AccruedInterest")</f>
        <v>AccruedInterest</v>
      </c>
      <c r="E5" s="27" t="str">
        <f>IFERROR(__xludf.DUMMYFUNCTION("""COMPUTED_VALUE"""),"Asset")</f>
        <v>Asset</v>
      </c>
      <c r="F5" s="28" t="str">
        <f>IFERROR(__xludf.DUMMYFUNCTION("""COMPUTED_VALUE"""),"AUEC Fee1")</f>
        <v>AUEC Fee1</v>
      </c>
      <c r="G5" s="27" t="str">
        <f>IFERROR(__xludf.DUMMYFUNCTION("""COMPUTED_VALUE"""),"AUCE Fee2")</f>
        <v>AUCE Fee2</v>
      </c>
      <c r="H5" s="27" t="str">
        <f>IFERROR(__xludf.DUMMYFUNCTION("""COMPUTED_VALUE"""),"AUECID")</f>
        <v>AUECID</v>
      </c>
      <c r="I5" s="27" t="str">
        <f>IFERROR(__xludf.DUMMYFUNCTION("""COMPUTED_VALUE"""),"AUECLocalDateToday")</f>
        <v>AUECLocalDateToday</v>
      </c>
      <c r="J5" s="27" t="str">
        <f>IFERROR(__xludf.DUMMYFUNCTION("""COMPUTED_VALUE"""),"Average Price")</f>
        <v>Average Price</v>
      </c>
      <c r="K5" s="27" t="str">
        <f>IFERROR(__xludf.DUMMYFUNCTION("""COMPUTED_VALUE"""),"AvgPriceRealizedPL")</f>
        <v>AvgPriceRealizedPL</v>
      </c>
      <c r="L5" s="27" t="str">
        <f>IFERROR(__xludf.DUMMYFUNCTION("""COMPUTED_VALUE"""),"Broker")</f>
        <v>Broker</v>
      </c>
      <c r="M5" s="27" t="str">
        <f>IFERROR(__xludf.DUMMYFUNCTION("""COMPUTED_VALUE"""),"Clearing Broker Fee")</f>
        <v>Clearing Broker Fee</v>
      </c>
      <c r="N5" s="27" t="str">
        <f>IFERROR(__xludf.DUMMYFUNCTION("""COMPUTED_VALUE"""),"ClosedQty")</f>
        <v>ClosedQty</v>
      </c>
      <c r="O5" s="27" t="str">
        <f>IFERROR(__xludf.DUMMYFUNCTION("""COMPUTED_VALUE"""),"Commission")</f>
        <v>Commission</v>
      </c>
      <c r="P5" s="27" t="str">
        <f>IFERROR(__xludf.DUMMYFUNCTION("""COMPUTED_VALUE"""),"CostBasisRealizePNL")</f>
        <v>CostBasisRealizePNL</v>
      </c>
      <c r="Q5" s="27" t="str">
        <f>IFERROR(__xludf.DUMMYFUNCTION("""COMPUTED_VALUE"""),"Currency")</f>
        <v>Currency</v>
      </c>
      <c r="R5" s="27" t="str">
        <f>IFERROR(__xludf.DUMMYFUNCTION("""COMPUTED_VALUE"""),"Description")</f>
        <v>Description</v>
      </c>
      <c r="S5" s="27" t="str">
        <f>IFERROR(__xludf.DUMMYFUNCTION("""COMPUTED_VALUE"""),"EndDate")</f>
        <v>EndDate</v>
      </c>
      <c r="T5" s="29" t="str">
        <f>IFERROR(__xludf.DUMMYFUNCTION("""COMPUTED_VALUE"""),"ExchangeID")</f>
        <v>ExchangeID</v>
      </c>
      <c r="U5" s="29" t="str">
        <f>IFERROR(__xludf.DUMMYFUNCTION("""COMPUTED_VALUE"""),"Expiration Date")</f>
        <v>Expiration Date</v>
      </c>
      <c r="V5" s="29" t="str">
        <f>IFERROR(__xludf.DUMMYFUNCTION("""COMPUTED_VALUE"""),"ExpiredQty")</f>
        <v>ExpiredQty</v>
      </c>
      <c r="W5" s="29" t="str">
        <f>IFERROR(__xludf.DUMMYFUNCTION("""COMPUTED_VALUE"""),"ExpiredTaxlotID")</f>
        <v>ExpiredTaxlotID</v>
      </c>
      <c r="X5" s="29" t="str">
        <f>IFERROR(__xludf.DUMMYFUNCTION("""COMPUTED_VALUE"""),"FXRate")</f>
        <v>FXRate</v>
      </c>
      <c r="Y5" s="29" t="str">
        <f>IFERROR(__xludf.DUMMYFUNCTION("""COMPUTED_VALUE"""),"FXRateoperator")</f>
        <v>FXRateoperator</v>
      </c>
      <c r="Z5" s="29" t="str">
        <f>IFERROR(__xludf.DUMMYFUNCTION("""COMPUTED_VALUE"""),"ID")</f>
        <v>ID</v>
      </c>
      <c r="AA5" s="29" t="str">
        <f>IFERROR(__xludf.DUMMYFUNCTION("""COMPUTED_VALUE"""),"If Pay/Recevie Changes")</f>
        <v>If Pay/Recevie Changes</v>
      </c>
      <c r="AB5" s="29" t="str">
        <f>IFERROR(__xludf.DUMMYFUNCTION("""COMPUTED_VALUE"""),"IntPositionType")</f>
        <v>IntPositionType</v>
      </c>
      <c r="AC5" s="29" t="str">
        <f>IFERROR(__xludf.DUMMYFUNCTION("""COMPUTED_VALUE"""),"LeadCurrencyID")</f>
        <v>LeadCurrencyID</v>
      </c>
      <c r="AD5" s="29" t="str">
        <f>IFERROR(__xludf.DUMMYFUNCTION("""COMPUTED_VALUE"""),"Leveraged Factor")</f>
        <v>Leveraged Factor</v>
      </c>
      <c r="AE5" s="29" t="str">
        <f>IFERROR(__xludf.DUMMYFUNCTION("""COMPUTED_VALUE"""),"MarkPriceForMonth")</f>
        <v>MarkPriceForMonth</v>
      </c>
      <c r="AF5" s="29" t="str">
        <f>IFERROR(__xludf.DUMMYFUNCTION("""COMPUTED_VALUE"""),"MonthToDateRealizedProfit")</f>
        <v>MonthToDateRealizedProfit</v>
      </c>
      <c r="AG5" s="29" t="str">
        <f>IFERROR(__xludf.DUMMYFUNCTION("""COMPUTED_VALUE"""),"Multiplier")</f>
        <v>Multiplier</v>
      </c>
      <c r="AH5" s="29" t="str">
        <f>IFERROR(__xludf.DUMMYFUNCTION("""COMPUTED_VALUE"""),"NotionalValue")</f>
        <v>NotionalValue</v>
      </c>
      <c r="AI5" s="29" t="str">
        <f>IFERROR(__xludf.DUMMYFUNCTION("""COMPUTED_VALUE"""),"OCC Fee")</f>
        <v>OCC Fee</v>
      </c>
      <c r="AJ5" s="29" t="str">
        <f>IFERROR(__xludf.DUMMYFUNCTION("""COMPUTED_VALUE"""),"OpenQty")</f>
        <v>OpenQty</v>
      </c>
      <c r="AK5" s="29" t="str">
        <f>IFERROR(__xludf.DUMMYFUNCTION("""COMPUTED_VALUE"""),"Option Activated")</f>
        <v>Option Activated</v>
      </c>
      <c r="AL5" s="29" t="str">
        <f>IFERROR(__xludf.DUMMYFUNCTION("""COMPUTED_VALUE"""),"Option Type")</f>
        <v>Option Type</v>
      </c>
      <c r="AM5" s="29" t="str">
        <f>IFERROR(__xludf.DUMMYFUNCTION("""COMPUTED_VALUE"""),"OptionPremiumAdjustment")</f>
        <v>OptionPremiumAdjustment</v>
      </c>
      <c r="AN5" s="29" t="str">
        <f>IFERROR(__xludf.DUMMYFUNCTION("""COMPUTED_VALUE"""),"ORF Fee")</f>
        <v>ORF Fee</v>
      </c>
      <c r="AO5" s="29" t="str">
        <f>IFERROR(__xludf.DUMMYFUNCTION("""COMPUTED_VALUE"""),"Original Side")</f>
        <v>Original Side</v>
      </c>
      <c r="AP5" s="29" t="str">
        <f>IFERROR(__xludf.DUMMYFUNCTION("""COMPUTED_VALUE"""),"OriginalPurchaseDate")</f>
        <v>OriginalPurchaseDate</v>
      </c>
      <c r="AQ5" s="29" t="str">
        <f>IFERROR(__xludf.DUMMYFUNCTION("""COMPUTED_VALUE"""),"Other Broker Fees")</f>
        <v>Other Broker Fees</v>
      </c>
      <c r="AR5" s="29" t="str">
        <f>IFERROR(__xludf.DUMMYFUNCTION("""COMPUTED_VALUE"""),"ParentTradeDate")</f>
        <v>ParentTradeDate</v>
      </c>
      <c r="AS5" s="29" t="str">
        <f>IFERROR(__xludf.DUMMYFUNCTION("""COMPUTED_VALUE"""),"Pay/Recive")</f>
        <v>Pay/Recive</v>
      </c>
      <c r="AT5" s="29" t="str">
        <f>IFERROR(__xludf.DUMMYFUNCTION("""COMPUTED_VALUE"""),"PositionType")</f>
        <v>PositionType</v>
      </c>
      <c r="AU5" s="29" t="str">
        <f>IFERROR(__xludf.DUMMYFUNCTION("""COMPUTED_VALUE"""),"ProcessDate")</f>
        <v>ProcessDate</v>
      </c>
      <c r="AV5" s="29" t="str">
        <f>IFERROR(__xludf.DUMMYFUNCTION("""COMPUTED_VALUE"""),"QtyCurrency")</f>
        <v>QtyCurrency</v>
      </c>
      <c r="AW5" s="29" t="str">
        <f>IFERROR(__xludf.DUMMYFUNCTION("""COMPUTED_VALUE"""),"Quantity")</f>
        <v>Quantity</v>
      </c>
      <c r="AX5" s="29" t="str">
        <f>IFERROR(__xludf.DUMMYFUNCTION("""COMPUTED_VALUE"""),"RecordType")</f>
        <v>RecordType</v>
      </c>
      <c r="AY5" s="29" t="str">
        <f>IFERROR(__xludf.DUMMYFUNCTION("""COMPUTED_VALUE"""),"SEC Fee")</f>
        <v>SEC Fee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IFERROR(__xludf.DUMMYFUNCTION("""COMPUTED_VALUE"""),"Settlement Date")</f>
        <v>Settlement Date</v>
      </c>
      <c r="BB5" s="29" t="str">
        <f>IFERROR(__xludf.DUMMYFUNCTION("""COMPUTED_VALUE"""),"Settlement FxRate")</f>
        <v>Settlement FxRate</v>
      </c>
      <c r="BC5" s="29" t="str">
        <f>IFERROR(__xludf.DUMMYFUNCTION("""COMPUTED_VALUE"""),"Settlement FxRate Operator")</f>
        <v>Settlement FxRate Operator</v>
      </c>
      <c r="BD5" s="29" t="str">
        <f>IFERROR(__xludf.DUMMYFUNCTION("""COMPUTED_VALUE"""),"Settlement Price")</f>
        <v>Settlement Price</v>
      </c>
      <c r="BE5" s="29" t="str">
        <f>IFERROR(__xludf.DUMMYFUNCTION("""COMPUTED_VALUE"""),"Side")</f>
        <v>Side</v>
      </c>
      <c r="BF5" s="29" t="str">
        <f>IFERROR(__xludf.DUMMYFUNCTION("""COMPUTED_VALUE"""),"Soft Commission")</f>
        <v>Soft Commission</v>
      </c>
      <c r="BG5" s="29" t="str">
        <f>IFERROR(__xludf.DUMMYFUNCTION("""COMPUTED_VALUE"""),"Stamp Duty")</f>
        <v>Stamp Duty</v>
      </c>
      <c r="BH5" s="29" t="str">
        <f>IFERROR(__xludf.DUMMYFUNCTION("""COMPUTED_VALUE"""),"StartTaxlotID")</f>
        <v>StartTaxlotID</v>
      </c>
      <c r="BI5" s="29" t="str">
        <f>IFERROR(__xludf.DUMMYFUNCTION("""COMPUTED_VALUE"""),"Status")</f>
        <v>Status</v>
      </c>
      <c r="BJ5" s="29" t="str">
        <f>IFERROR(__xludf.DUMMYFUNCTION("""COMPUTED_VALUE"""),"Strategy")</f>
        <v>Strategy</v>
      </c>
      <c r="BK5" s="29" t="str">
        <f>IFERROR(__xludf.DUMMYFUNCTION("""COMPUTED_VALUE"""),"Strike Price")</f>
        <v>Strike Price</v>
      </c>
      <c r="BL5" s="29" t="str">
        <f>IFERROR(__xludf.DUMMYFUNCTION("""COMPUTED_VALUE"""),"Symbol")</f>
        <v>Symbol</v>
      </c>
      <c r="BM5" s="29" t="str">
        <f>IFERROR(__xludf.DUMMYFUNCTION("""COMPUTED_VALUE"""),"SymbolAveragePrice")</f>
        <v>SymbolAveragePrice</v>
      </c>
      <c r="BN5" s="29" t="str">
        <f>IFERROR(__xludf.DUMMYFUNCTION("""COMPUTED_VALUE"""),"Tax On Commissions")</f>
        <v>Tax On Commissions</v>
      </c>
      <c r="BO5" s="29" t="str">
        <f>IFERROR(__xludf.DUMMYFUNCTION("""COMPUTED_VALUE"""),"TaxLotClosingId")</f>
        <v>TaxLotClosingId</v>
      </c>
      <c r="BP5" s="29" t="str">
        <f>IFERROR(__xludf.DUMMYFUNCTION("""COMPUTED_VALUE"""),"Trade Date")</f>
        <v>Trade Date</v>
      </c>
      <c r="BQ5" s="29" t="str">
        <f>IFERROR(__xludf.DUMMYFUNCTION("""COMPUTED_VALUE"""),"Transaction Levy")</f>
        <v>Transaction Levy</v>
      </c>
      <c r="BR5" s="29" t="str">
        <f>IFERROR(__xludf.DUMMYFUNCTION("""COMPUTED_VALUE"""),"Transaction Type")</f>
        <v>Transaction Type</v>
      </c>
      <c r="BS5" s="29" t="str">
        <f>IFERROR(__xludf.DUMMYFUNCTION("""COMPUTED_VALUE"""),"TransactionSource")</f>
        <v>TransactionSource</v>
      </c>
      <c r="BT5" s="29" t="str">
        <f>IFERROR(__xludf.DUMMYFUNCTION("""COMPUTED_VALUE"""),"Underlying Symbol")</f>
        <v>Underlying Symbol</v>
      </c>
      <c r="BU5" s="29" t="str">
        <f>IFERROR(__xludf.DUMMYFUNCTION("""COMPUTED_VALUE"""),"UnderlyingID")</f>
        <v>UnderlyingID</v>
      </c>
      <c r="BV5" s="29" t="str">
        <f>IFERROR(__xludf.DUMMYFUNCTION("""COMPUTED_VALUE"""),"Venue")</f>
        <v>Venue</v>
      </c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IFERROR(__xludf.DUMMYFUNCTION("""COMPUTED_VALUE"""),"checkBox")</f>
        <v>checkBox</v>
      </c>
      <c r="E5" s="27" t="str">
        <f>IFERROR(__xludf.DUMMYFUNCTION("""COMPUTED_VALUE"""),"Close Date")</f>
        <v>Close Date</v>
      </c>
      <c r="F5" s="28" t="str">
        <f>IFERROR(__xludf.DUMMYFUNCTION("""COMPUTED_VALUE"""),"ClosedAveragePrice")</f>
        <v>ClosedAveragePrice</v>
      </c>
      <c r="G5" s="27" t="str">
        <f>IFERROR(__xludf.DUMMYFUNCTION("""COMPUTED_VALUE"""),"ClosedQty")</f>
        <v>ClosedQty</v>
      </c>
      <c r="H5" s="27" t="str">
        <f>IFERROR(__xludf.DUMMYFUNCTION("""COMPUTED_VALUE"""),"Closing Method")</f>
        <v>Closing Method</v>
      </c>
      <c r="I5" s="27" t="str">
        <f>IFERROR(__xludf.DUMMYFUNCTION("""COMPUTED_VALUE"""),"ClosingID")</f>
        <v>ClosingID</v>
      </c>
      <c r="J5" s="27" t="str">
        <f>IFERROR(__xludf.DUMMYFUNCTION("""COMPUTED_VALUE"""),"ClosingMode")</f>
        <v>ClosingMode</v>
      </c>
      <c r="K5" s="27" t="str">
        <f>IFERROR(__xludf.DUMMYFUNCTION("""COMPUTED_VALUE"""),"ClosingPositionTag")</f>
        <v>ClosingPositionTag</v>
      </c>
      <c r="L5" s="27" t="str">
        <f>IFERROR(__xludf.DUMMYFUNCTION("""COMPUTED_VALUE"""),"ClosingSide")</f>
        <v>ClosingSide</v>
      </c>
      <c r="M5" s="27" t="str">
        <f>IFERROR(__xludf.DUMMYFUNCTION("""COMPUTED_VALUE"""),"ClosingTotalCommissionandFees")</f>
        <v>ClosingTotalCommissionandFees</v>
      </c>
      <c r="N5" s="27" t="str">
        <f>IFERROR(__xludf.DUMMYFUNCTION("""COMPUTED_VALUE"""),"Column1")</f>
        <v>Column1</v>
      </c>
      <c r="O5" s="27" t="str">
        <f>IFERROR(__xludf.DUMMYFUNCTION("""COMPUTED_VALUE"""),"CostBasisGrossPNL")</f>
        <v>CostBasisGrossPNL</v>
      </c>
      <c r="P5" s="27" t="str">
        <f>IFERROR(__xludf.DUMMYFUNCTION("""COMPUTED_VALUE"""),"Currency")</f>
        <v>Currency</v>
      </c>
      <c r="Q5" s="27" t="str">
        <f>IFERROR(__xludf.DUMMYFUNCTION("""COMPUTED_VALUE"""),"CurrencyID")</f>
        <v>CurrencyID</v>
      </c>
      <c r="R5" s="27" t="str">
        <f>IFERROR(__xludf.DUMMYFUNCTION("""COMPUTED_VALUE"""),"Exchange")</f>
        <v>Exchange</v>
      </c>
      <c r="S5" s="27" t="str">
        <f>IFERROR(__xludf.DUMMYFUNCTION("""COMPUTED_VALUE"""),"NotionalChange")</f>
        <v>NotionalChange</v>
      </c>
      <c r="T5" s="29" t="str">
        <f>IFERROR(__xludf.DUMMYFUNCTION("""COMPUTED_VALUE"""),"OpenAveragePrice")</f>
        <v>OpenAveragePrice</v>
      </c>
      <c r="U5" s="29" t="str">
        <f>IFERROR(__xludf.DUMMYFUNCTION("""COMPUTED_VALUE"""),"Original Purchase Date")</f>
        <v>Original Purchase Date</v>
      </c>
      <c r="V5" s="29" t="str">
        <f>IFERROR(__xludf.DUMMYFUNCTION("""COMPUTED_VALUE"""),"Position Type")</f>
        <v>Position Type</v>
      </c>
      <c r="W5" s="29" t="str">
        <f>IFERROR(__xludf.DUMMYFUNCTION("""COMPUTED_VALUE"""),"PositionSide")</f>
        <v>PositionSide</v>
      </c>
      <c r="X5" s="29" t="str">
        <f>IFERROR(__xludf.DUMMYFUNCTION("""COMPUTED_VALUE"""),"PositionTotalCommissionandFees")</f>
        <v>PositionTotalCommissionandFees</v>
      </c>
      <c r="Y5" s="29" t="str">
        <f>IFERROR(__xludf.DUMMYFUNCTION("""COMPUTED_VALUE"""),"Realized PNL(C.B.)")</f>
        <v>Realized PNL(C.B.)</v>
      </c>
      <c r="Z5" s="29" t="str">
        <f>IFERROR(__xludf.DUMMYFUNCTION("""COMPUTED_VALUE"""),"Side")</f>
        <v>Side</v>
      </c>
      <c r="AA5" s="29" t="str">
        <f>IFERROR(__xludf.DUMMYFUNCTION("""COMPUTED_VALUE"""),"Strategy")</f>
        <v>Strategy</v>
      </c>
      <c r="AB5" s="29" t="str">
        <f>IFERROR(__xludf.DUMMYFUNCTION("""COMPUTED_VALUE"""),"Symbol")</f>
        <v>Symbol</v>
      </c>
      <c r="AC5" s="29" t="str">
        <f>IFERROR(__xludf.DUMMYFUNCTION("""COMPUTED_VALUE"""),"Taxlot ID")</f>
        <v>Taxlot ID</v>
      </c>
      <c r="AD5" s="29" t="str">
        <f>IFERROR(__xludf.DUMMYFUNCTION("""COMPUTED_VALUE"""),"UnderlyingName")</f>
        <v>UnderlyingName</v>
      </c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11" t="s">
        <v>32</v>
      </c>
      <c r="D6" s="11"/>
      <c r="E6" s="30"/>
      <c r="F6" s="8"/>
      <c r="G6" s="11">
        <v>100.0</v>
      </c>
      <c r="H6" s="11" t="s">
        <v>35</v>
      </c>
      <c r="I6" s="8"/>
      <c r="J6" s="11" t="s">
        <v>36</v>
      </c>
      <c r="K6" s="11" t="s">
        <v>37</v>
      </c>
      <c r="L6" s="8"/>
      <c r="M6" s="11">
        <v>-100000.0</v>
      </c>
      <c r="N6" s="8"/>
      <c r="O6" s="8"/>
      <c r="P6" s="9" t="s">
        <v>38</v>
      </c>
      <c r="R6" s="9" t="s">
        <v>39</v>
      </c>
      <c r="S6" s="9">
        <v>0.0</v>
      </c>
      <c r="T6" s="32">
        <v>10.0</v>
      </c>
      <c r="V6" s="9" t="s">
        <v>40</v>
      </c>
      <c r="W6" s="9" t="s">
        <v>40</v>
      </c>
      <c r="X6" s="9">
        <v>0.0</v>
      </c>
      <c r="Z6" s="9" t="s">
        <v>17</v>
      </c>
      <c r="AB6" s="9" t="s">
        <v>16</v>
      </c>
      <c r="AD6" s="9" t="s">
        <v>41</v>
      </c>
    </row>
    <row r="7" ht="15.75" customHeight="1">
      <c r="A7" s="8"/>
      <c r="B7" s="11" t="s">
        <v>18</v>
      </c>
      <c r="C7" s="11" t="s">
        <v>32</v>
      </c>
      <c r="D7" s="8"/>
      <c r="E7" s="8"/>
      <c r="F7" s="8"/>
      <c r="G7" s="11">
        <v>100.0</v>
      </c>
      <c r="H7" s="11" t="s">
        <v>35</v>
      </c>
      <c r="I7" s="8"/>
      <c r="J7" s="11" t="s">
        <v>36</v>
      </c>
      <c r="K7" s="35" t="s">
        <v>37</v>
      </c>
      <c r="L7" s="8"/>
      <c r="M7" s="11">
        <v>-100000.0</v>
      </c>
      <c r="N7" s="8"/>
      <c r="O7" s="8"/>
      <c r="P7" s="9" t="s">
        <v>38</v>
      </c>
      <c r="R7" s="9" t="s">
        <v>39</v>
      </c>
      <c r="S7" s="9">
        <v>0.0</v>
      </c>
      <c r="T7" s="32">
        <v>10.0</v>
      </c>
      <c r="V7" s="9" t="s">
        <v>40</v>
      </c>
      <c r="W7" s="9" t="s">
        <v>40</v>
      </c>
      <c r="X7" s="9">
        <v>0.0</v>
      </c>
      <c r="Z7" s="9" t="s">
        <v>17</v>
      </c>
      <c r="AB7" s="9" t="s">
        <v>19</v>
      </c>
      <c r="AD7" s="9" t="s">
        <v>41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VerifyExpiredSettledGrid!$4:$4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53" width="14.43"/>
    <col customWidth="1" min="54" max="54" width="22.71"/>
    <col customWidth="1" min="55" max="71" width="14.43"/>
    <col customWidth="1" min="72" max="72" width="19.43"/>
    <col customWidth="1" min="73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8"/>
      <c r="D6" s="31">
        <v>0.0</v>
      </c>
      <c r="E6" s="31">
        <v>100.0</v>
      </c>
      <c r="F6" s="8"/>
      <c r="G6" s="8"/>
      <c r="H6" s="31">
        <v>0.0</v>
      </c>
      <c r="I6" s="31">
        <v>0.0</v>
      </c>
      <c r="J6" s="8"/>
      <c r="K6" s="31">
        <v>10.0</v>
      </c>
      <c r="L6" s="31">
        <v>10.0</v>
      </c>
      <c r="M6" s="8"/>
      <c r="N6" s="8"/>
      <c r="O6" s="8"/>
      <c r="R6" s="32">
        <v>0.0</v>
      </c>
      <c r="S6" s="9" t="s">
        <v>42</v>
      </c>
      <c r="T6" s="32">
        <v>0.0</v>
      </c>
      <c r="U6" s="32">
        <v>0.0</v>
      </c>
      <c r="Z6" s="9" t="s">
        <v>38</v>
      </c>
      <c r="AE6" s="32">
        <v>100.0</v>
      </c>
      <c r="AH6" s="9" t="s">
        <v>25</v>
      </c>
      <c r="AI6" s="32">
        <v>1.0</v>
      </c>
      <c r="AT6" s="32">
        <v>100000.0</v>
      </c>
      <c r="AU6" s="36">
        <v>100000.0</v>
      </c>
      <c r="AW6" s="32">
        <v>0.0</v>
      </c>
      <c r="AX6" s="32">
        <v>0.0</v>
      </c>
      <c r="AY6" s="9" t="s">
        <v>26</v>
      </c>
      <c r="AZ6" s="32">
        <v>0.0</v>
      </c>
      <c r="BB6" s="9" t="s">
        <v>27</v>
      </c>
      <c r="BC6" s="32">
        <v>0.0</v>
      </c>
      <c r="BE6" s="32">
        <v>100000.0</v>
      </c>
      <c r="BF6" s="32">
        <v>100000.0</v>
      </c>
      <c r="BI6" s="9" t="s">
        <v>28</v>
      </c>
      <c r="BJ6" s="32">
        <v>100.0</v>
      </c>
      <c r="BK6" s="32">
        <v>0.0</v>
      </c>
      <c r="BO6" s="9" t="s">
        <v>17</v>
      </c>
      <c r="BT6" s="9" t="s">
        <v>16</v>
      </c>
      <c r="BU6" s="32">
        <v>0.0</v>
      </c>
      <c r="BW6" s="32">
        <v>0.0</v>
      </c>
      <c r="BX6" s="32">
        <v>0.0</v>
      </c>
      <c r="CI6" s="9" t="s">
        <v>17</v>
      </c>
      <c r="CJ6" s="32">
        <v>0.0</v>
      </c>
    </row>
    <row r="7" ht="15.75" customHeight="1">
      <c r="A7" s="8"/>
      <c r="B7" s="11" t="s">
        <v>18</v>
      </c>
      <c r="C7" s="8"/>
      <c r="D7" s="37">
        <v>0.0</v>
      </c>
      <c r="E7" s="31">
        <v>100.0</v>
      </c>
      <c r="F7" s="8"/>
      <c r="G7" s="8"/>
      <c r="H7" s="31">
        <v>0.0</v>
      </c>
      <c r="I7" s="31">
        <v>0.0</v>
      </c>
      <c r="J7" s="8"/>
      <c r="K7" s="31">
        <v>10.0</v>
      </c>
      <c r="L7" s="31">
        <v>10.0</v>
      </c>
      <c r="M7" s="8"/>
      <c r="N7" s="8"/>
      <c r="O7" s="8"/>
      <c r="R7" s="32">
        <v>0.0</v>
      </c>
      <c r="S7" s="38" t="s">
        <v>42</v>
      </c>
      <c r="T7" s="32">
        <v>0.0</v>
      </c>
      <c r="U7" s="32">
        <v>0.0</v>
      </c>
      <c r="Z7" s="38" t="s">
        <v>38</v>
      </c>
      <c r="AE7" s="32">
        <v>100.0</v>
      </c>
      <c r="AH7" s="9" t="s">
        <v>25</v>
      </c>
      <c r="AI7" s="32">
        <v>1.0</v>
      </c>
      <c r="AT7" s="36">
        <v>100000.0</v>
      </c>
      <c r="AU7" s="36">
        <v>100000.0</v>
      </c>
      <c r="AW7" s="32">
        <v>0.0</v>
      </c>
      <c r="AX7" s="32">
        <v>0.0</v>
      </c>
      <c r="AY7" s="39" t="s">
        <v>26</v>
      </c>
      <c r="AZ7" s="32">
        <v>0.0</v>
      </c>
      <c r="BC7" s="32">
        <v>0.0</v>
      </c>
      <c r="BE7" s="32">
        <v>100000.0</v>
      </c>
      <c r="BF7" s="32">
        <v>100000.0</v>
      </c>
      <c r="BI7" s="9" t="s">
        <v>28</v>
      </c>
      <c r="BJ7" s="32">
        <v>100.0</v>
      </c>
      <c r="BK7" s="32">
        <v>0.0</v>
      </c>
      <c r="BO7" s="9" t="s">
        <v>17</v>
      </c>
      <c r="BT7" s="9" t="s">
        <v>19</v>
      </c>
      <c r="BU7" s="32">
        <v>0.0</v>
      </c>
      <c r="BW7" s="32">
        <v>0.0</v>
      </c>
      <c r="BX7" s="32">
        <v>0.0</v>
      </c>
      <c r="CI7" s="9" t="s">
        <v>17</v>
      </c>
      <c r="CJ7" s="32">
        <v>0.0</v>
      </c>
    </row>
    <row r="8" ht="15.75" customHeight="1">
      <c r="A8" s="8"/>
      <c r="B8" s="11" t="s">
        <v>18</v>
      </c>
      <c r="C8" s="8"/>
      <c r="D8" s="37">
        <v>0.0</v>
      </c>
      <c r="E8" s="31">
        <v>100.0</v>
      </c>
      <c r="F8" s="8"/>
      <c r="G8" s="8"/>
      <c r="H8" s="31">
        <v>0.0</v>
      </c>
      <c r="I8" s="31">
        <v>0.0</v>
      </c>
      <c r="J8" s="8"/>
      <c r="K8" s="31">
        <v>0.0</v>
      </c>
      <c r="L8" s="31">
        <v>0.0</v>
      </c>
      <c r="M8" s="8"/>
      <c r="N8" s="8"/>
      <c r="O8" s="8"/>
      <c r="R8" s="32">
        <v>0.0</v>
      </c>
      <c r="S8" s="38" t="s">
        <v>42</v>
      </c>
      <c r="T8" s="32">
        <v>0.0</v>
      </c>
      <c r="U8" s="32">
        <v>0.0</v>
      </c>
      <c r="Z8" s="38" t="s">
        <v>38</v>
      </c>
      <c r="AE8" s="32">
        <v>100.0</v>
      </c>
      <c r="AH8" s="9" t="s">
        <v>25</v>
      </c>
      <c r="AI8" s="32">
        <v>1.0</v>
      </c>
      <c r="AT8" s="36">
        <v>100000.0</v>
      </c>
      <c r="AU8" s="36">
        <v>100000.0</v>
      </c>
      <c r="AW8" s="32">
        <v>0.0</v>
      </c>
      <c r="AX8" s="32">
        <v>-100000.0</v>
      </c>
      <c r="AZ8" s="32">
        <v>0.0</v>
      </c>
      <c r="BB8" s="9" t="s">
        <v>27</v>
      </c>
      <c r="BC8" s="32">
        <v>0.0</v>
      </c>
      <c r="BE8" s="32">
        <v>0.0</v>
      </c>
      <c r="BF8" s="32">
        <v>0.0</v>
      </c>
      <c r="BI8" s="9" t="s">
        <v>28</v>
      </c>
      <c r="BJ8" s="32">
        <v>100.0</v>
      </c>
      <c r="BK8" s="32">
        <v>0.0</v>
      </c>
      <c r="BO8" s="9" t="s">
        <v>43</v>
      </c>
      <c r="BT8" s="9" t="s">
        <v>16</v>
      </c>
      <c r="BU8" s="32">
        <v>0.0</v>
      </c>
      <c r="BW8" s="40">
        <v>-100000.0</v>
      </c>
      <c r="BX8" s="32">
        <v>0.0</v>
      </c>
      <c r="CI8" s="9" t="s">
        <v>36</v>
      </c>
      <c r="CJ8" s="32">
        <v>0.0</v>
      </c>
    </row>
    <row r="9" ht="15.75" customHeight="1">
      <c r="A9" s="8"/>
      <c r="B9" s="11" t="s">
        <v>18</v>
      </c>
      <c r="C9" s="8"/>
      <c r="D9" s="37">
        <v>0.0</v>
      </c>
      <c r="E9" s="31">
        <v>100.0</v>
      </c>
      <c r="F9" s="8"/>
      <c r="G9" s="8"/>
      <c r="H9" s="31">
        <v>0.0</v>
      </c>
      <c r="I9" s="31">
        <v>0.0</v>
      </c>
      <c r="J9" s="8"/>
      <c r="K9" s="31">
        <v>0.0</v>
      </c>
      <c r="L9" s="31">
        <v>0.0</v>
      </c>
      <c r="M9" s="8"/>
      <c r="N9" s="8"/>
      <c r="O9" s="8"/>
      <c r="R9" s="32">
        <v>0.0</v>
      </c>
      <c r="S9" s="38" t="s">
        <v>42</v>
      </c>
      <c r="T9" s="32">
        <v>0.0</v>
      </c>
      <c r="U9" s="32">
        <v>0.0</v>
      </c>
      <c r="Z9" s="38" t="s">
        <v>38</v>
      </c>
      <c r="AE9" s="32">
        <v>100.0</v>
      </c>
      <c r="AH9" s="9" t="s">
        <v>25</v>
      </c>
      <c r="AI9" s="32">
        <v>1.0</v>
      </c>
      <c r="AT9" s="36">
        <v>100000.0</v>
      </c>
      <c r="AU9" s="36">
        <v>100000.0</v>
      </c>
      <c r="AW9" s="32">
        <v>0.0</v>
      </c>
      <c r="AX9" s="40">
        <v>-100000.0</v>
      </c>
      <c r="AZ9" s="32">
        <v>0.0</v>
      </c>
      <c r="BC9" s="32">
        <v>0.0</v>
      </c>
      <c r="BE9" s="32">
        <v>0.0</v>
      </c>
      <c r="BF9" s="32">
        <v>0.0</v>
      </c>
      <c r="BI9" s="9" t="s">
        <v>28</v>
      </c>
      <c r="BJ9" s="32">
        <v>100.0</v>
      </c>
      <c r="BK9" s="32">
        <v>0.0</v>
      </c>
      <c r="BO9" s="9" t="s">
        <v>43</v>
      </c>
      <c r="BT9" s="9" t="s">
        <v>19</v>
      </c>
      <c r="BU9" s="32">
        <v>0.0</v>
      </c>
      <c r="BW9" s="40">
        <v>-100000.0</v>
      </c>
      <c r="BX9" s="32">
        <v>0.0</v>
      </c>
      <c r="CI9" s="9" t="s">
        <v>36</v>
      </c>
      <c r="CJ9" s="32">
        <v>0.0</v>
      </c>
    </row>
    <row r="10" ht="15.75" customHeight="1">
      <c r="A10" s="8"/>
      <c r="B10" s="11" t="s">
        <v>18</v>
      </c>
      <c r="C10" s="8"/>
      <c r="D10" s="37">
        <v>0.0</v>
      </c>
      <c r="E10" s="31">
        <v>10000.0</v>
      </c>
      <c r="F10" s="8"/>
      <c r="G10" s="8"/>
      <c r="H10" s="31">
        <v>0.0</v>
      </c>
      <c r="I10" s="31">
        <v>0.0</v>
      </c>
      <c r="J10" s="8"/>
      <c r="K10" s="31">
        <v>0.0</v>
      </c>
      <c r="L10" s="31">
        <v>68.0</v>
      </c>
      <c r="M10" s="8"/>
      <c r="N10" s="8"/>
      <c r="O10" s="8"/>
      <c r="R10" s="32">
        <v>0.0</v>
      </c>
      <c r="S10" s="9" t="s">
        <v>24</v>
      </c>
      <c r="T10" s="32">
        <v>0.0</v>
      </c>
      <c r="U10" s="32">
        <v>0.0</v>
      </c>
      <c r="Z10" s="9" t="s">
        <v>44</v>
      </c>
      <c r="AE10" s="32">
        <v>10000.0</v>
      </c>
      <c r="AH10" s="9" t="s">
        <v>25</v>
      </c>
      <c r="AI10" s="32">
        <v>0.0</v>
      </c>
      <c r="AT10" s="32">
        <v>0.0</v>
      </c>
      <c r="AU10" s="32">
        <v>780000.0</v>
      </c>
      <c r="AW10" s="32">
        <v>0.0</v>
      </c>
      <c r="AX10" s="41">
        <v>100000.0</v>
      </c>
      <c r="AZ10" s="32">
        <v>0.0</v>
      </c>
      <c r="BC10" s="32">
        <v>0.0</v>
      </c>
      <c r="BE10" s="32">
        <v>0.0</v>
      </c>
      <c r="BF10" s="32">
        <v>680000.0</v>
      </c>
      <c r="BJ10" s="32">
        <v>10000.0</v>
      </c>
      <c r="BK10" s="32">
        <v>0.0</v>
      </c>
      <c r="BO10" s="9" t="s">
        <v>17</v>
      </c>
      <c r="BT10" s="9" t="s">
        <v>45</v>
      </c>
      <c r="BU10" s="32">
        <v>0.0</v>
      </c>
      <c r="BW10" s="41">
        <v>100000.0</v>
      </c>
      <c r="BX10" s="32">
        <v>0.0</v>
      </c>
      <c r="CI10" s="9" t="s">
        <v>36</v>
      </c>
      <c r="CJ10" s="32">
        <v>0.0</v>
      </c>
    </row>
    <row r="11" ht="15.75" customHeight="1">
      <c r="A11" s="8"/>
      <c r="B11" s="11" t="s">
        <v>18</v>
      </c>
      <c r="C11" s="8"/>
      <c r="D11" s="37">
        <v>0.0</v>
      </c>
      <c r="E11" s="31">
        <v>10000.0</v>
      </c>
      <c r="F11" s="8"/>
      <c r="G11" s="8"/>
      <c r="H11" s="31">
        <v>0.0</v>
      </c>
      <c r="I11" s="31">
        <v>0.0</v>
      </c>
      <c r="J11" s="8"/>
      <c r="K11" s="31">
        <v>20.0</v>
      </c>
      <c r="L11" s="31">
        <v>20.0</v>
      </c>
      <c r="M11" s="8"/>
      <c r="N11" s="8"/>
      <c r="O11" s="8"/>
      <c r="R11" s="32">
        <v>0.0</v>
      </c>
      <c r="S11" s="9" t="s">
        <v>24</v>
      </c>
      <c r="T11" s="32">
        <v>0.0</v>
      </c>
      <c r="U11" s="32">
        <v>0.0</v>
      </c>
      <c r="Z11" s="38" t="s">
        <v>38</v>
      </c>
      <c r="AE11" s="32">
        <v>10000.0</v>
      </c>
      <c r="AH11" s="9" t="s">
        <v>25</v>
      </c>
      <c r="AI11" s="32">
        <v>1.0</v>
      </c>
      <c r="AT11" s="36">
        <v>300000.0</v>
      </c>
      <c r="AU11" s="36">
        <v>300000.0</v>
      </c>
      <c r="AW11" s="32">
        <v>0.0</v>
      </c>
      <c r="AX11" s="41">
        <v>100000.0</v>
      </c>
      <c r="AZ11" s="32">
        <v>0.0</v>
      </c>
      <c r="BC11" s="32">
        <v>0.0</v>
      </c>
      <c r="BE11" s="32">
        <v>200000.0</v>
      </c>
      <c r="BF11" s="32">
        <v>200000.0</v>
      </c>
      <c r="BJ11" s="32">
        <v>10000.0</v>
      </c>
      <c r="BK11" s="32">
        <v>0.0</v>
      </c>
      <c r="BO11" s="9" t="s">
        <v>17</v>
      </c>
      <c r="BT11" s="9" t="s">
        <v>46</v>
      </c>
      <c r="BU11" s="32">
        <v>0.0</v>
      </c>
      <c r="BW11" s="41">
        <v>100000.0</v>
      </c>
      <c r="BX11" s="32">
        <v>0.0</v>
      </c>
      <c r="CI11" s="9" t="s">
        <v>36</v>
      </c>
      <c r="CJ11" s="32">
        <v>0.0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26" width="14.43"/>
    <col customWidth="1" min="27" max="27" width="20.29"/>
    <col customWidth="1" min="28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IFERROR(__xludf.DUMMYFUNCTION("""COMPUTED_VALUE"""),"checkBox")</f>
        <v>checkBox</v>
      </c>
      <c r="E5" s="27" t="str">
        <f>IFERROR(__xludf.DUMMYFUNCTION("""COMPUTED_VALUE"""),"Close Date")</f>
        <v>Close Date</v>
      </c>
      <c r="F5" s="28" t="str">
        <f>IFERROR(__xludf.DUMMYFUNCTION("""COMPUTED_VALUE"""),"ClosedAveragePrice")</f>
        <v>ClosedAveragePrice</v>
      </c>
      <c r="G5" s="27" t="str">
        <f>IFERROR(__xludf.DUMMYFUNCTION("""COMPUTED_VALUE"""),"ClosedQty")</f>
        <v>ClosedQty</v>
      </c>
      <c r="H5" s="27" t="str">
        <f>IFERROR(__xludf.DUMMYFUNCTION("""COMPUTED_VALUE"""),"Closing Method")</f>
        <v>Closing Method</v>
      </c>
      <c r="I5" s="27" t="str">
        <f>IFERROR(__xludf.DUMMYFUNCTION("""COMPUTED_VALUE"""),"ClosingID")</f>
        <v>ClosingID</v>
      </c>
      <c r="J5" s="27" t="str">
        <f>IFERROR(__xludf.DUMMYFUNCTION("""COMPUTED_VALUE"""),"ClosingMode")</f>
        <v>ClosingMode</v>
      </c>
      <c r="K5" s="27" t="str">
        <f>IFERROR(__xludf.DUMMYFUNCTION("""COMPUTED_VALUE"""),"ClosingPositionTag")</f>
        <v>ClosingPositionTag</v>
      </c>
      <c r="L5" s="27" t="str">
        <f>IFERROR(__xludf.DUMMYFUNCTION("""COMPUTED_VALUE"""),"ClosingSide")</f>
        <v>ClosingSide</v>
      </c>
      <c r="M5" s="27" t="str">
        <f>IFERROR(__xludf.DUMMYFUNCTION("""COMPUTED_VALUE"""),"ClosingTotalCommissionandFees")</f>
        <v>ClosingTotalCommissionandFees</v>
      </c>
      <c r="N5" s="27" t="str">
        <f>IFERROR(__xludf.DUMMYFUNCTION("""COMPUTED_VALUE"""),"CostBasisGrossPNL")</f>
        <v>CostBasisGrossPNL</v>
      </c>
      <c r="O5" s="27" t="str">
        <f>IFERROR(__xludf.DUMMYFUNCTION("""COMPUTED_VALUE"""),"Currency")</f>
        <v>Currency</v>
      </c>
      <c r="P5" s="27" t="str">
        <f>IFERROR(__xludf.DUMMYFUNCTION("""COMPUTED_VALUE"""),"CurrencyID")</f>
        <v>CurrencyID</v>
      </c>
      <c r="Q5" s="27" t="str">
        <f>IFERROR(__xludf.DUMMYFUNCTION("""COMPUTED_VALUE"""),"Exchange")</f>
        <v>Exchange</v>
      </c>
      <c r="R5" s="27" t="str">
        <f>IFERROR(__xludf.DUMMYFUNCTION("""COMPUTED_VALUE"""),"NotionalChange")</f>
        <v>NotionalChange</v>
      </c>
      <c r="S5" s="27" t="str">
        <f>IFERROR(__xludf.DUMMYFUNCTION("""COMPUTED_VALUE"""),"OpenAveragePrice")</f>
        <v>OpenAveragePrice</v>
      </c>
      <c r="T5" s="29" t="str">
        <f>IFERROR(__xludf.DUMMYFUNCTION("""COMPUTED_VALUE"""),"Original Purchase Date")</f>
        <v>Original Purchase Date</v>
      </c>
      <c r="U5" s="29" t="str">
        <f>IFERROR(__xludf.DUMMYFUNCTION("""COMPUTED_VALUE"""),"Position Type")</f>
        <v>Position Type</v>
      </c>
      <c r="V5" s="29" t="str">
        <f>IFERROR(__xludf.DUMMYFUNCTION("""COMPUTED_VALUE"""),"PositionSide")</f>
        <v>PositionSide</v>
      </c>
      <c r="W5" s="29" t="str">
        <f>IFERROR(__xludf.DUMMYFUNCTION("""COMPUTED_VALUE"""),"PositionTotalCommissionandFees")</f>
        <v>PositionTotalCommissionandFees</v>
      </c>
      <c r="X5" s="29" t="str">
        <f>IFERROR(__xludf.DUMMYFUNCTION("""COMPUTED_VALUE"""),"Realized PNL(C.B.)")</f>
        <v>Realized PNL(C.B.)</v>
      </c>
      <c r="Y5" s="29" t="str">
        <f>IFERROR(__xludf.DUMMYFUNCTION("""COMPUTED_VALUE"""),"Side")</f>
        <v>Side</v>
      </c>
      <c r="Z5" s="29" t="str">
        <f>IFERROR(__xludf.DUMMYFUNCTION("""COMPUTED_VALUE"""),"Strategy")</f>
        <v>Strategy</v>
      </c>
      <c r="AA5" s="29" t="str">
        <f>IFERROR(__xludf.DUMMYFUNCTION("""COMPUTED_VALUE"""),"Symbol")</f>
        <v>Symbol</v>
      </c>
      <c r="AB5" s="29" t="str">
        <f>IFERROR(__xludf.DUMMYFUNCTION("""COMPUTED_VALUE"""),"Taxlot ID")</f>
        <v>Taxlot ID</v>
      </c>
      <c r="AC5" s="29" t="str">
        <f>IFERROR(__xludf.DUMMYFUNCTION("""COMPUTED_VALUE"""),"UnderlyingName")</f>
        <v>UnderlyingName</v>
      </c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35" t="s">
        <v>32</v>
      </c>
      <c r="D6" s="11"/>
      <c r="E6" s="30"/>
      <c r="F6" s="8"/>
      <c r="G6" s="11">
        <v>100.0</v>
      </c>
      <c r="H6" s="11" t="s">
        <v>35</v>
      </c>
      <c r="I6" s="8"/>
      <c r="J6" s="11" t="s">
        <v>36</v>
      </c>
      <c r="K6" s="11" t="s">
        <v>37</v>
      </c>
      <c r="L6" s="8"/>
      <c r="M6" s="42">
        <v>-100000.0</v>
      </c>
      <c r="N6" s="8"/>
      <c r="O6" s="11" t="s">
        <v>38</v>
      </c>
      <c r="Q6" s="9" t="s">
        <v>39</v>
      </c>
      <c r="R6" s="9">
        <v>0.0</v>
      </c>
      <c r="S6" s="32">
        <v>10.0</v>
      </c>
      <c r="U6" s="9" t="s">
        <v>40</v>
      </c>
      <c r="V6" s="9" t="s">
        <v>40</v>
      </c>
      <c r="W6" s="9">
        <v>0.0</v>
      </c>
      <c r="Y6" s="9" t="s">
        <v>17</v>
      </c>
      <c r="AA6" s="9" t="s">
        <v>16</v>
      </c>
      <c r="AC6" s="9" t="s">
        <v>41</v>
      </c>
    </row>
    <row r="7" ht="15.75" customHeight="1">
      <c r="A7" s="8"/>
      <c r="B7" s="35" t="s">
        <v>18</v>
      </c>
      <c r="C7" s="35" t="s">
        <v>32</v>
      </c>
      <c r="D7" s="8"/>
      <c r="E7" s="8"/>
      <c r="F7" s="8"/>
      <c r="G7" s="11">
        <v>100.0</v>
      </c>
      <c r="H7" s="11" t="s">
        <v>35</v>
      </c>
      <c r="I7" s="8"/>
      <c r="J7" s="11" t="s">
        <v>36</v>
      </c>
      <c r="K7" s="11" t="s">
        <v>37</v>
      </c>
      <c r="L7" s="8"/>
      <c r="M7" s="42">
        <v>-100000.0</v>
      </c>
      <c r="N7" s="8"/>
      <c r="O7" s="11" t="s">
        <v>38</v>
      </c>
      <c r="Q7" s="9" t="s">
        <v>39</v>
      </c>
      <c r="R7" s="9">
        <v>0.0</v>
      </c>
      <c r="S7" s="32">
        <v>10.0</v>
      </c>
      <c r="U7" s="9" t="s">
        <v>40</v>
      </c>
      <c r="V7" s="9" t="s">
        <v>40</v>
      </c>
      <c r="W7" s="9">
        <v>0.0</v>
      </c>
      <c r="Y7" s="9" t="s">
        <v>17</v>
      </c>
      <c r="AA7" s="9" t="s">
        <v>19</v>
      </c>
      <c r="AC7" s="9" t="s">
        <v>41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UnWindTradeSettlement!$4:$4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