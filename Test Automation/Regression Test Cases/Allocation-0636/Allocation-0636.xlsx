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isableCheckside" sheetId="4" r:id="rId6"/>
    <sheet state="visible" name="CreateDoneAwayOrder" sheetId="5" r:id="rId7"/>
    <sheet state="visible" name="GetDataAllocation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<sst xmlns="http://schemas.openxmlformats.org/spreadsheetml/2006/main" count="64" uniqueCount="30">
  <si>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</si>
  <si>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</si>
  <si>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</si>
  <si>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</si>
  <si>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</si>
  <si>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</si>
  <si>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</si>
  <si>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</si>
  <si>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</si>
  <si>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</si>
  <si>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</si>
  <si>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</si>
  <si>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</si>
  <si>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DisableCheckside</t>
  </si>
  <si>
    <t>Data Format</t>
  </si>
  <si>
    <t>Input Format</t>
  </si>
  <si>
    <t>Allocation1</t>
  </si>
  <si>
    <t>TradingTicket</t>
  </si>
  <si>
    <t>CreateDoneAwayOrder</t>
  </si>
  <si>
    <t>MSFT</t>
  </si>
  <si>
    <t>Buy</t>
  </si>
  <si>
    <t>MS</t>
  </si>
  <si>
    <t>Market</t>
  </si>
  <si>
    <t>S1</t>
  </si>
  <si>
    <t>Sell</t>
  </si>
  <si>
    <t>GetDataAllocation</t>
  </si>
  <si>
    <t>Historical</t>
  </si>
  <si>
    <t>1/1/1800</t>
  </si>
  <si>
    <t>CheckAllocatedGroups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</si>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</sst>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IFERROR(__xludf.DUMMYFUNCTION("""COMPUTED_VALUE"""),"Admin")</f>
        <v>Admin</v>
      </c>
      <c r="B783" t="str">
        <f>IFERROR(__xludf.DUMMYFUNCTION("""COMPUTED_VALUE"""),"DeselectAccounts")</f>
        <v>DeselectAccounts</v>
      </c>
      <c r="C783" t="str">
        <f>IFERROR(__xludf.DUMMYFUNCTION("""COMPUTED_VALUE"""),"1H6AwalClVecdoJUQp5wTWXzd6NE4Y5Hty6PTKnO9Rk4")</f>
        <v>1H6AwalClVecdoJUQp5wTWXzd6NE4Y5Hty6PTKnO9Rk4</v>
      </c>
    </row>
    <row r="784" ht="15.75" customHeight="1">
      <c r="A784" t="str">
        <f>IFERROR(__xludf.DUMMYFUNCTION("""COMPUTED_VALUE"""),"TradingTicket")</f>
        <v>TradingTicket</v>
      </c>
      <c r="B784" t="str">
        <f>IFERROR(__xludf.DUMMYFUNCTION("""COMPUTED_VALUE"""),"ResizeEnsureTT")</f>
        <v>ResizeEnsureTT</v>
      </c>
      <c r="C784" t="str">
        <f>IFERROR(__xludf.DUMMYFUNCTION("""COMPUTED_VALUE"""),"1X1m60ND44-Chxr6N4sH6Fqbh_pqzIH8Cfy3c89u2_lQ")</f>
        <v>1X1m60ND44-Chxr6N4sH6Fqbh_pqzIH8Cfy3c89u2_lQ</v>
      </c>
    </row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IFERROR(__xludf.DUMMYFUNCTION("""COMPUTED_VALUE"""),"Asset")</f>
        <v>Asset</v>
      </c>
      <c r="C5" s="27" t="str">
        <f>IFERROR(__xludf.DUMMYFUNCTION("""COMPUTED_VALUE"""),"Account Name")</f>
        <v>Account Name</v>
      </c>
      <c r="D5" s="27" t="str">
        <f>IFERROR(__xludf.DUMMYFUNCTION("""COMPUTED_VALUE"""),"Broker")</f>
        <v>Broker</v>
      </c>
      <c r="E5" s="27" t="str">
        <f>IFERROR(__xludf.DUMMYFUNCTION("""COMPUTED_VALUE"""),"ValidateCheckSide")</f>
        <v>ValidateCheckSide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0"/>
      <c r="E6" s="32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DisableCheckside!$4:$4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1" t="s">
        <v>20</v>
      </c>
      <c r="D6" s="35">
        <v>100.0</v>
      </c>
      <c r="E6" s="36"/>
      <c r="F6" s="31" t="s">
        <v>16</v>
      </c>
      <c r="G6" s="31" t="s">
        <v>21</v>
      </c>
      <c r="H6" s="33"/>
      <c r="I6" s="31" t="s">
        <v>22</v>
      </c>
      <c r="J6" s="36">
        <v>10.0</v>
      </c>
      <c r="K6" s="33"/>
      <c r="L6" s="33"/>
      <c r="M6" s="37" t="s">
        <v>23</v>
      </c>
      <c r="N6" s="38">
        <v>42352.0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1" t="s">
        <v>19</v>
      </c>
      <c r="C7" s="31" t="s">
        <v>24</v>
      </c>
      <c r="D7" s="36">
        <v>100.0</v>
      </c>
      <c r="E7" s="36"/>
      <c r="F7" s="31" t="s">
        <v>16</v>
      </c>
      <c r="G7" s="31" t="s">
        <v>21</v>
      </c>
      <c r="H7" s="33"/>
      <c r="I7" s="31" t="s">
        <v>22</v>
      </c>
      <c r="J7" s="39">
        <v>10.0</v>
      </c>
      <c r="K7" s="33"/>
      <c r="L7" s="33"/>
      <c r="M7" s="37" t="s">
        <v>23</v>
      </c>
      <c r="N7" s="38">
        <v>42350.0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8" t="s">
        <v>27</v>
      </c>
      <c r="D6" s="40">
        <f>TODAY()</f>
        <v>45616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0"/>
      <c r="B6" s="31" t="s">
        <v>16</v>
      </c>
      <c r="C6" s="33"/>
      <c r="D6" s="30"/>
      <c r="E6" s="41">
        <v>100.0</v>
      </c>
      <c r="F6" s="33"/>
      <c r="G6" s="31" t="s">
        <v>29</v>
      </c>
      <c r="H6" s="33"/>
      <c r="I6" s="33"/>
      <c r="J6" s="33"/>
      <c r="K6" s="36">
        <v>10.0</v>
      </c>
      <c r="L6" s="36">
        <v>10.0</v>
      </c>
      <c r="M6" s="33"/>
      <c r="N6" s="33"/>
      <c r="O6" s="31" t="s">
        <v>21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41">
        <v>100.0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41"/>
      <c r="AU6" s="41"/>
      <c r="AV6" s="33"/>
      <c r="AW6" s="33"/>
      <c r="AX6" s="33"/>
      <c r="AY6" s="33"/>
      <c r="AZ6" s="33"/>
      <c r="BA6" s="33"/>
      <c r="BB6" s="33"/>
      <c r="BC6" s="33"/>
      <c r="BD6" s="33"/>
      <c r="BE6" s="41">
        <v>1000.0</v>
      </c>
      <c r="BF6" s="41">
        <v>1000.0</v>
      </c>
      <c r="BG6" s="33"/>
      <c r="BH6" s="33"/>
      <c r="BI6" s="33"/>
      <c r="BJ6" s="37">
        <v>100.0</v>
      </c>
      <c r="BK6" s="33"/>
      <c r="BL6" s="33"/>
      <c r="BM6" s="33"/>
      <c r="BN6" s="33"/>
      <c r="BO6" s="33" t="s">
        <v>20</v>
      </c>
      <c r="BP6" s="33"/>
      <c r="BQ6" s="33"/>
      <c r="BR6" s="33"/>
      <c r="BS6" s="33"/>
      <c r="BT6" s="33" t="s">
        <v>19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42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33"/>
      <c r="B7" s="31" t="s">
        <v>16</v>
      </c>
      <c r="C7" s="33"/>
      <c r="D7" s="33"/>
      <c r="E7" s="41">
        <v>100.0</v>
      </c>
      <c r="F7" s="33"/>
      <c r="G7" s="31" t="s">
        <v>29</v>
      </c>
      <c r="H7" s="33"/>
      <c r="I7" s="33"/>
      <c r="J7" s="33"/>
      <c r="K7" s="39">
        <v>10.0</v>
      </c>
      <c r="L7" s="39">
        <v>10.0</v>
      </c>
      <c r="M7" s="33"/>
      <c r="N7" s="33"/>
      <c r="O7" s="31" t="s">
        <v>21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41">
        <v>100.0</v>
      </c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41"/>
      <c r="AU7" s="41"/>
      <c r="AV7" s="33"/>
      <c r="AW7" s="33"/>
      <c r="AX7" s="33"/>
      <c r="AY7" s="33"/>
      <c r="AZ7" s="33"/>
      <c r="BA7" s="33"/>
      <c r="BB7" s="33"/>
      <c r="BC7" s="33"/>
      <c r="BD7" s="33"/>
      <c r="BE7" s="41">
        <v>1000.0</v>
      </c>
      <c r="BF7" s="41">
        <v>1000.0</v>
      </c>
      <c r="BG7" s="33"/>
      <c r="BH7" s="33"/>
      <c r="BI7" s="33"/>
      <c r="BJ7" s="37">
        <v>100.0</v>
      </c>
      <c r="BK7" s="33"/>
      <c r="BL7" s="33"/>
      <c r="BM7" s="33"/>
      <c r="BN7" s="33"/>
      <c r="BO7" s="33" t="s">
        <v>24</v>
      </c>
      <c r="BP7" s="33"/>
      <c r="BQ7" s="33"/>
      <c r="BR7" s="33"/>
      <c r="BS7" s="33"/>
      <c r="BT7" s="33" t="s">
        <v>19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42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