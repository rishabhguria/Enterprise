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AllocateFromBlotter" sheetId="9" r:id="rId11"/>
    <sheet state="visible" name="ReplaceSubOrder" sheetId="10" r:id="rId12"/>
    <sheet state="visible" name="CreateReplaceOrder" sheetId="11" r:id="rId13"/>
    <sheet state="visible" name="VerifySubOrder" sheetId="12" r:id="rId14"/>
    <sheet state="visible" name="SelectTrade1" sheetId="13" r:id="rId15"/>
    <sheet state="visible" name="AcknowledgeTrade1" sheetId="14" r:id="rId16"/>
    <sheet state="visible" name="ExecuteTrade1" sheetId="15" r:id="rId17"/>
    <sheet state="visible" name="SelectTradeOnOrderGrid1" sheetId="16" r:id="rId18"/>
    <sheet state="visible" name="AllocateFromBlotter1" sheetId="17" r:id="rId19"/>
    <sheet state="visible" name="ReplaceSubOrder1" sheetId="18" r:id="rId20"/>
    <sheet state="visible" name="CreateReplaceOrder1" sheetId="19" r:id="rId21"/>
    <sheet state="visible" name="VerifySubOrder1" sheetId="20" r:id="rId22"/>
    <sheet state="visible" name="SelectTrade2" sheetId="21" r:id="rId23"/>
    <sheet state="visible" name="AcknowledgeTrade2" sheetId="22" r:id="rId24"/>
    <sheet state="visible" name="ExecuteTrade2" sheetId="23" r:id="rId25"/>
    <sheet state="visible" name="SelectTradeOnOrderGrid2" sheetId="24" r:id="rId26"/>
    <sheet state="visible" name="AllocateFromBlotter2" sheetId="25" r:id="rId27"/>
    <sheet state="visible" name="ReplaceSubOrder2" sheetId="26" r:id="rId28"/>
    <sheet state="visible" name="CreateReplaceOrder2" sheetId="27" r:id="rId29"/>
    <sheet state="visible" name="VerifySubOrder2" sheetId="28" r:id="rId30"/>
  </sheets>
  <definedNames/>
  <calcPr/>
</workbook>
</file>

<file path=xl/sharedStrings.xml><?xml version="1.0" encoding="utf-8"?>
<sst xmlns="http://schemas.openxmlformats.org/spreadsheetml/2006/main" count="240" uniqueCount="37">
  <si>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</si>
  <si>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</si>
  <si>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</si>
  <si>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</si>
  <si>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</si>
  <si>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</si>
  <si>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</si>
  <si>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</si>
  <si>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</si>
  <si>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</si>
  <si>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</si>
  <si>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</si>
  <si>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</si>
  <si>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</si>
  <si>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</si>
  <si>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</si>
  <si>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LSCC</t>
  </si>
  <si>
    <t>Buy</t>
  </si>
  <si>
    <t>Unallocated</t>
  </si>
  <si>
    <t>MS</t>
  </si>
  <si>
    <t xml:space="preserve"> O:AAPL 13N715.00</t>
  </si>
  <si>
    <t xml:space="preserve">Buy to Open </t>
  </si>
  <si>
    <t>IBM</t>
  </si>
  <si>
    <t>Allocation2</t>
  </si>
  <si>
    <t>Simulator</t>
  </si>
  <si>
    <t>SelectTrade</t>
  </si>
  <si>
    <t>AcknowledgeTrade</t>
  </si>
  <si>
    <t>ExecuteTrade</t>
  </si>
  <si>
    <t>Blotter</t>
  </si>
  <si>
    <t>SelectTradeOnOrderGrid</t>
  </si>
  <si>
    <t>AllocateFromBlotter</t>
  </si>
  <si>
    <t>Allocation1</t>
  </si>
  <si>
    <t>ReplaceSubOrder</t>
  </si>
  <si>
    <t>CreateReplaceOrder</t>
  </si>
  <si>
    <t>VerifySubOrder</t>
  </si>
  <si>
    <t>PendingReplace</t>
  </si>
  <si>
    <t>Buy to 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</si>
</sst>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IFERROR(__xludf.DUMMYFUNCTION("""COMPUTED_VALUE"""),"QTT")</f>
        <v>QTT</v>
      </c>
      <c r="B765" t="str">
        <f>IFERROR(__xludf.DUMMYFUNCTION("""COMPUTED_VALUE"""),"BookmarkOrVerifyHotKeyinHamberg")</f>
        <v>BookmarkOrVerifyHotKeyinHamberg</v>
      </c>
      <c r="C765" t="str">
        <f>IFERROR(__xludf.DUMMYFUNCTION("""COMPUTED_VALUE"""),"1fqeJETrWs5bkb8u-VXsfp35T-5kIzPjT669RuSWt6gg")</f>
        <v>1fqeJETrWs5bkb8u-VXsfp35T-5kIzPjT669RuSWt6gg</v>
      </c>
    </row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">
      <formula1>"OpenTTFromPST,EnterDetailsOnTT,ValidateSymbolTT,VerifyDataTT,SetUIPreferencesTT,SetBrokerWisePreferencesTT,VerifyComplianceOrder,TradeNewSub,CreateStageOrder,CreateReplaceOrder,SetGeneralPreference,CreateNewSubOrder,TradeBloomberg,ClickSymbolLookup,Verify"&amp;"TT,CreateLiveOrder,UpdateMasterFundOnTT,SetTTCompliancePreference,ImportSymbol,ExportSymbolFromRAList,CheckPendingNewOrderAlert,AddSymbolOnRAList,DeleteSymbolListFromRA,RemoveSymbolFromRAList,ToggleBlombergOnRA,CreateDoneAwayOrder,CreateComplianceOrder,Ad"&amp;"dOptionTrade,SendLiveBloomberg,ViewAllocation,CreateReplaceLiveOrder,CreateNewSubLiveOrder,VerifyBasketExport,VerifyCustomAllocationonTT,CustomOrderTT,CheckStepSheet,OptionTradingThroughSecurity,CreateTradeWithAlgoBroker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12">
        <v>100.0</v>
      </c>
      <c r="F6" s="12" t="s">
        <v>18</v>
      </c>
      <c r="G6" s="12" t="s">
        <v>19</v>
      </c>
      <c r="H6" s="8"/>
      <c r="I6" s="8"/>
      <c r="J6" s="12">
        <v>2.0</v>
      </c>
      <c r="K6" s="8"/>
      <c r="L6" s="8"/>
      <c r="M6" s="8"/>
      <c r="N6" s="30">
        <f t="shared" ref="N6:N8" si="1">today()</f>
        <v>45527</v>
      </c>
      <c r="O6" s="8"/>
    </row>
    <row r="7" ht="15.75" customHeight="1">
      <c r="A7" s="8"/>
      <c r="B7" s="12" t="s">
        <v>20</v>
      </c>
      <c r="C7" s="12" t="s">
        <v>21</v>
      </c>
      <c r="D7" s="12">
        <v>100.0</v>
      </c>
      <c r="E7" s="12">
        <v>100.0</v>
      </c>
      <c r="F7" s="12" t="s">
        <v>18</v>
      </c>
      <c r="G7" s="12" t="s">
        <v>19</v>
      </c>
      <c r="H7" s="8"/>
      <c r="I7" s="8"/>
      <c r="J7" s="12">
        <v>2.0</v>
      </c>
      <c r="K7" s="8"/>
      <c r="L7" s="8"/>
      <c r="M7" s="8"/>
      <c r="N7" s="30">
        <f t="shared" si="1"/>
        <v>45527</v>
      </c>
      <c r="O7" s="8"/>
    </row>
    <row r="8" ht="15.75" customHeight="1">
      <c r="A8" s="8"/>
      <c r="B8" s="12" t="s">
        <v>22</v>
      </c>
      <c r="C8" s="12" t="s">
        <v>17</v>
      </c>
      <c r="D8" s="12">
        <v>100.0</v>
      </c>
      <c r="E8" s="12">
        <v>100.0</v>
      </c>
      <c r="F8" s="12" t="s">
        <v>23</v>
      </c>
      <c r="G8" s="12" t="s">
        <v>19</v>
      </c>
      <c r="H8" s="8"/>
      <c r="I8" s="8"/>
      <c r="J8" s="12">
        <v>2.0</v>
      </c>
      <c r="K8" s="8"/>
      <c r="L8" s="8"/>
      <c r="M8" s="8"/>
      <c r="N8" s="30">
        <f t="shared" si="1"/>
        <v>45527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17</v>
      </c>
      <c r="C6" s="12" t="s">
        <v>16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9" t="s">
        <v>17</v>
      </c>
      <c r="C6" s="12" t="s">
        <v>16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1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200.0</v>
      </c>
      <c r="E6" s="31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32" t="s">
        <v>35</v>
      </c>
      <c r="AL6" s="9">
        <v>200.0</v>
      </c>
      <c r="AQ6" s="9" t="s">
        <v>19</v>
      </c>
      <c r="AR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20</v>
      </c>
      <c r="E6" s="31"/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12" t="s">
        <v>20</v>
      </c>
      <c r="AK6" s="12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200.0</v>
      </c>
      <c r="E6" s="31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20</v>
      </c>
      <c r="AJ6" s="32" t="s">
        <v>36</v>
      </c>
      <c r="AK6" s="32" t="s">
        <v>35</v>
      </c>
      <c r="AL6" s="9">
        <v>200.0</v>
      </c>
      <c r="AQ6" s="9" t="s">
        <v>19</v>
      </c>
      <c r="AR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22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22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1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200.0</v>
      </c>
      <c r="E6" s="31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17</v>
      </c>
      <c r="AK6" s="32" t="s">
        <v>35</v>
      </c>
      <c r="AL6" s="9">
        <v>200.0</v>
      </c>
      <c r="AQ6" s="9" t="s">
        <v>19</v>
      </c>
      <c r="AR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